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13_ncr:1_{9449A52D-A29A-4E62-9C3B-9237BD67F9E8}" xr6:coauthVersionLast="47" xr6:coauthVersionMax="47" xr10:uidLastSave="{00000000-0000-0000-0000-000000000000}"/>
  <bookViews>
    <workbookView xWindow="-110" yWindow="-110" windowWidth="19420" windowHeight="10420" firstSheet="7" activeTab="9" xr2:uid="{17896F5F-2E7C-4E54-BE4F-7A8DE5547995}"/>
  </bookViews>
  <sheets>
    <sheet name="HR_DATASET" sheetId="1" r:id="rId1"/>
    <sheet name="Cleaned_Data" sheetId="2" r:id="rId2"/>
    <sheet name="PT_KPISummary" sheetId="16" r:id="rId3"/>
    <sheet name="PT1_TurnoverByDept1" sheetId="11" r:id="rId4"/>
    <sheet name="PT2_TerminationTrend" sheetId="12" r:id="rId5"/>
    <sheet name="PT3_TenureByPerformance" sheetId="13" r:id="rId6"/>
    <sheet name=" PT4_RecruitmentSource" sheetId="14" r:id="rId7"/>
    <sheet name="PT5_SalaryByGender" sheetId="15" r:id="rId8"/>
    <sheet name="PT6_AgeGroupEngagement" sheetId="10" r:id="rId9"/>
    <sheet name="Dashboard" sheetId="17" r:id="rId10"/>
  </sheets>
  <definedNames>
    <definedName name="ExternalData_1" localSheetId="1" hidden="1">'Cleaned_Data'!$A$1:$AL$312</definedName>
    <definedName name="Slicer_Department">#N/A</definedName>
    <definedName name="Slicer_PerformanceScore">#N/A</definedName>
    <definedName name="Slicer_Sex">#N/A</definedName>
  </definedNames>
  <calcPr calcId="191029"/>
  <pivotCaches>
    <pivotCache cacheId="137"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6" l="1"/>
  <c r="C6" i="16"/>
  <c r="AM2" i="2"/>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Y312" i="1"/>
  <c r="Y311" i="1"/>
  <c r="Y310" i="1"/>
  <c r="Y309" i="1"/>
  <c r="Y308" i="1"/>
  <c r="Y307" i="1"/>
  <c r="Y306" i="1"/>
  <c r="Y305" i="1"/>
  <c r="Y304" i="1"/>
  <c r="Y303" i="1"/>
  <c r="Y302" i="1"/>
  <c r="Y301" i="1"/>
  <c r="Y300" i="1"/>
  <c r="Y299" i="1"/>
  <c r="Y298" i="1"/>
  <c r="Y297" i="1"/>
  <c r="Y296" i="1"/>
  <c r="Y295" i="1"/>
  <c r="Y294" i="1"/>
  <c r="Y293" i="1"/>
  <c r="Y292" i="1"/>
  <c r="Y291" i="1"/>
  <c r="Y290" i="1"/>
  <c r="Y289" i="1"/>
  <c r="Y288" i="1"/>
  <c r="Y287" i="1"/>
  <c r="Y286" i="1"/>
  <c r="Y285" i="1"/>
  <c r="Y284" i="1"/>
  <c r="Y283" i="1"/>
  <c r="Y282" i="1"/>
  <c r="Y281" i="1"/>
  <c r="Y280" i="1"/>
  <c r="Y279" i="1"/>
  <c r="Y278" i="1"/>
  <c r="Y277" i="1"/>
  <c r="Y276" i="1"/>
  <c r="Y275" i="1"/>
  <c r="Y274" i="1"/>
  <c r="Y273" i="1"/>
  <c r="Y272" i="1"/>
  <c r="Y271" i="1"/>
  <c r="Y270" i="1"/>
  <c r="Y269" i="1"/>
  <c r="Y268" i="1"/>
  <c r="Y267" i="1"/>
  <c r="Y266" i="1"/>
  <c r="Y265" i="1"/>
  <c r="Y264" i="1"/>
  <c r="Y263" i="1"/>
  <c r="Y262" i="1"/>
  <c r="Y261" i="1"/>
  <c r="Y260" i="1"/>
  <c r="Y259" i="1"/>
  <c r="Y258" i="1"/>
  <c r="Y257" i="1"/>
  <c r="Y256" i="1"/>
  <c r="Y255" i="1"/>
  <c r="Y254" i="1"/>
  <c r="Y253" i="1"/>
  <c r="Y252" i="1"/>
  <c r="Y251" i="1"/>
  <c r="Y250" i="1"/>
  <c r="Y249" i="1"/>
  <c r="Y248" i="1"/>
  <c r="Y247" i="1"/>
  <c r="Y246" i="1"/>
  <c r="Y245" i="1"/>
  <c r="Y244" i="1"/>
  <c r="Y243" i="1"/>
  <c r="Y242" i="1"/>
  <c r="Y241" i="1"/>
  <c r="Y240" i="1"/>
  <c r="Y239" i="1"/>
  <c r="Y238" i="1"/>
  <c r="Y237" i="1"/>
  <c r="Y236" i="1"/>
  <c r="Y235" i="1"/>
  <c r="Y234" i="1"/>
  <c r="Y233" i="1"/>
  <c r="Y232" i="1"/>
  <c r="Y231" i="1"/>
  <c r="Y230" i="1"/>
  <c r="Y229" i="1"/>
  <c r="Y228" i="1"/>
  <c r="Y227" i="1"/>
  <c r="Y226" i="1"/>
  <c r="Y225" i="1"/>
  <c r="Y224" i="1"/>
  <c r="Y223" i="1"/>
  <c r="Y222" i="1"/>
  <c r="Y221" i="1"/>
  <c r="Y220" i="1"/>
  <c r="Y219" i="1"/>
  <c r="Y218" i="1"/>
  <c r="Y217" i="1"/>
  <c r="Y216" i="1"/>
  <c r="Y215" i="1"/>
  <c r="Y214" i="1"/>
  <c r="Y213" i="1"/>
  <c r="Y212" i="1"/>
  <c r="Y211" i="1"/>
  <c r="Y210" i="1"/>
  <c r="Y209" i="1"/>
  <c r="Y208" i="1"/>
  <c r="Y207" i="1"/>
  <c r="Y206" i="1"/>
  <c r="Y205" i="1"/>
  <c r="Y204"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Y5" i="1"/>
  <c r="Y4" i="1"/>
  <c r="Y3" i="1"/>
  <c r="Y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03FE8E-41AD-49F9-AE40-740615C8B38F}" keepAlive="1" name="Query - hrdata" description="Connection to the 'hrdata' query in the workbook." type="5" refreshedVersion="8" background="1" saveData="1">
    <dbPr connection="Provider=Microsoft.Mashup.OleDb.1;Data Source=$Workbook$;Location=hrdata;Extended Properties=&quot;&quot;" command="SELECT * FROM [hrdata]"/>
  </connection>
  <connection id="2" xr16:uid="{928819F7-F53C-4D51-8925-621D4409D8B4}" keepAlive="1" name="Query - ManagerLookup" description="Connection to the 'ManagerLookup' query in the workbook." type="5" refreshedVersion="0" background="1">
    <dbPr connection="Provider=Microsoft.Mashup.OleDb.1;Data Source=$Workbook$;Location=ManagerLookup;Extended Properties=&quot;&quot;" command="SELECT * FROM [ManagerLookup]"/>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<sst xmlns="http://schemas.openxmlformats.org/spreadsheetml/2006/main" count="9511" uniqueCount="630">
  <si>
    <t>Employee_Name</t>
  </si>
  <si>
    <t>EmpID</t>
  </si>
  <si>
    <t>MarriedID</t>
  </si>
  <si>
    <t>MaritalStatusID</t>
  </si>
  <si>
    <t>GenderID</t>
  </si>
  <si>
    <t>EmpStatusID</t>
  </si>
  <si>
    <t>DeptID</t>
  </si>
  <si>
    <t>PerfScoreID</t>
  </si>
  <si>
    <t>FromDiversityJobFairID</t>
  </si>
  <si>
    <t>Salary</t>
  </si>
  <si>
    <t>Termd</t>
  </si>
  <si>
    <t>PositionID</t>
  </si>
  <si>
    <t>Position</t>
  </si>
  <si>
    <t>State</t>
  </si>
  <si>
    <t>Zip</t>
  </si>
  <si>
    <t>DOB</t>
  </si>
  <si>
    <t>Age</t>
  </si>
  <si>
    <t>Age Group</t>
  </si>
  <si>
    <t>Sex</t>
  </si>
  <si>
    <t>MaritalDesc</t>
  </si>
  <si>
    <t>CitizenDesc</t>
  </si>
  <si>
    <t>HispanicLatino</t>
  </si>
  <si>
    <t>RaceDesc</t>
  </si>
  <si>
    <t>DateofHire</t>
  </si>
  <si>
    <t>Year</t>
  </si>
  <si>
    <t>DateofTermination</t>
  </si>
  <si>
    <t>TermReason</t>
  </si>
  <si>
    <t>EmploymentStatus</t>
  </si>
  <si>
    <t>Department</t>
  </si>
  <si>
    <t>ManagerName</t>
  </si>
  <si>
    <t>ManagerID</t>
  </si>
  <si>
    <t>RecruitmentSource</t>
  </si>
  <si>
    <t>PerformanceScore</t>
  </si>
  <si>
    <t>EngagementSurvey</t>
  </si>
  <si>
    <t>EmpSatisfaction</t>
  </si>
  <si>
    <t>SpecialProjectsCount</t>
  </si>
  <si>
    <t>LastPerformanceReview_Date</t>
  </si>
  <si>
    <t>Absences</t>
  </si>
  <si>
    <t>Adinolfi, Wilson  K</t>
  </si>
  <si>
    <t>Production Technician I</t>
  </si>
  <si>
    <t>MA</t>
  </si>
  <si>
    <t>Adult</t>
  </si>
  <si>
    <t xml:space="preserve">M </t>
  </si>
  <si>
    <t>Single</t>
  </si>
  <si>
    <t>US Citizen</t>
  </si>
  <si>
    <t>No</t>
  </si>
  <si>
    <t>White</t>
  </si>
  <si>
    <t>N/A-StillEmployed</t>
  </si>
  <si>
    <t>Active</t>
  </si>
  <si>
    <t xml:space="preserve">Production       </t>
  </si>
  <si>
    <t>Michael Albert</t>
  </si>
  <si>
    <t>LinkedIn</t>
  </si>
  <si>
    <t>Exceeds</t>
  </si>
  <si>
    <t xml:space="preserve">Ait Sidi, Karthikeyan   </t>
  </si>
  <si>
    <t>Sr. DBA</t>
  </si>
  <si>
    <t>Married</t>
  </si>
  <si>
    <t>career change</t>
  </si>
  <si>
    <t>Voluntarily Terminated</t>
  </si>
  <si>
    <t>IT/IS</t>
  </si>
  <si>
    <t>Simon Roup</t>
  </si>
  <si>
    <t>Indeed</t>
  </si>
  <si>
    <t>Fully Meets</t>
  </si>
  <si>
    <t>Akinkuolie, Sarah</t>
  </si>
  <si>
    <t>Production Technician II</t>
  </si>
  <si>
    <t>F</t>
  </si>
  <si>
    <t>hours</t>
  </si>
  <si>
    <t>Kissy Sullivan</t>
  </si>
  <si>
    <t>Alagbe,Trina</t>
  </si>
  <si>
    <t>Elijiah Gray</t>
  </si>
  <si>
    <t xml:space="preserve">Anderson, Carol </t>
  </si>
  <si>
    <t>Divorced</t>
  </si>
  <si>
    <t>return to school</t>
  </si>
  <si>
    <t>Webster Butler</t>
  </si>
  <si>
    <t>Google Search</t>
  </si>
  <si>
    <t xml:space="preserve">Anderson, Linda  </t>
  </si>
  <si>
    <t>Amy Dunn</t>
  </si>
  <si>
    <t>Andreola, Colby</t>
  </si>
  <si>
    <t>Software Engineer</t>
  </si>
  <si>
    <t>Software Engineering</t>
  </si>
  <si>
    <t>Alex Sweetwater</t>
  </si>
  <si>
    <t>Athwal, Sam</t>
  </si>
  <si>
    <t>Widowed</t>
  </si>
  <si>
    <t>Ketsia Liebig</t>
  </si>
  <si>
    <t>Employee Referral</t>
  </si>
  <si>
    <t>Bachiochi, Linda</t>
  </si>
  <si>
    <t>Black or African American</t>
  </si>
  <si>
    <t>Brannon Miller</t>
  </si>
  <si>
    <t>Diversity Job Fair</t>
  </si>
  <si>
    <t xml:space="preserve">Bacong, Alejandro </t>
  </si>
  <si>
    <t>IT Support</t>
  </si>
  <si>
    <t>Peter Monroe</t>
  </si>
  <si>
    <t xml:space="preserve">Baczenski, Rachael  </t>
  </si>
  <si>
    <t>Yes</t>
  </si>
  <si>
    <t>Another position</t>
  </si>
  <si>
    <t>David Stanley</t>
  </si>
  <si>
    <t>Barbara, Thomas</t>
  </si>
  <si>
    <t>Senior</t>
  </si>
  <si>
    <t>unhappy</t>
  </si>
  <si>
    <t>Barbossa, Hector</t>
  </si>
  <si>
    <t>Data Analyst</t>
  </si>
  <si>
    <t>TX</t>
  </si>
  <si>
    <t>Barone, Francesco  A</t>
  </si>
  <si>
    <t>Two or more races</t>
  </si>
  <si>
    <t>Kelley Spirea</t>
  </si>
  <si>
    <t>Barton, Nader</t>
  </si>
  <si>
    <t>On-line Web application</t>
  </si>
  <si>
    <t>Bates, Norman</t>
  </si>
  <si>
    <t>attendance</t>
  </si>
  <si>
    <t>Terminated for Cause</t>
  </si>
  <si>
    <t xml:space="preserve">Beak, Kimberly  </t>
  </si>
  <si>
    <t xml:space="preserve">Beatrice, Courtney </t>
  </si>
  <si>
    <t>Eligible NonCitizen</t>
  </si>
  <si>
    <t>Becker, Renee</t>
  </si>
  <si>
    <t>Database Administrator</t>
  </si>
  <si>
    <t>performance</t>
  </si>
  <si>
    <t>Becker, Scott</t>
  </si>
  <si>
    <t>Asian</t>
  </si>
  <si>
    <t>Bernstein, Sean</t>
  </si>
  <si>
    <t>Biden, Lowan  M</t>
  </si>
  <si>
    <t>Billis, Helen</t>
  </si>
  <si>
    <t>Blount, Dianna</t>
  </si>
  <si>
    <t>CareerBuilder</t>
  </si>
  <si>
    <t>Needs Improvement</t>
  </si>
  <si>
    <t>Bondwell, Betsy</t>
  </si>
  <si>
    <t>Booth, Frank</t>
  </si>
  <si>
    <t>Enterprise Architect</t>
  </si>
  <si>
    <t>CT</t>
  </si>
  <si>
    <t>Learned that he is a gangster</t>
  </si>
  <si>
    <t>Boutwell, Bonalyn</t>
  </si>
  <si>
    <t>Sr. Accountant</t>
  </si>
  <si>
    <t>Admin Offices</t>
  </si>
  <si>
    <t>Brandon R. LeBlanc</t>
  </si>
  <si>
    <t>Bozzi, Charles</t>
  </si>
  <si>
    <t>Production Manager</t>
  </si>
  <si>
    <t>retiring</t>
  </si>
  <si>
    <t>Janet King</t>
  </si>
  <si>
    <t>Brill, Donna</t>
  </si>
  <si>
    <t>Brown, Mia</t>
  </si>
  <si>
    <t>Accountant I</t>
  </si>
  <si>
    <t xml:space="preserve">Buccheri, Joseph  </t>
  </si>
  <si>
    <t xml:space="preserve">Bugali, Josephine </t>
  </si>
  <si>
    <t>Separated</t>
  </si>
  <si>
    <t>Bunbury, Jessica</t>
  </si>
  <si>
    <t>Area Sales Manager</t>
  </si>
  <si>
    <t>VA</t>
  </si>
  <si>
    <t>Sales</t>
  </si>
  <si>
    <t>John Smith</t>
  </si>
  <si>
    <t>Burke, Joelle</t>
  </si>
  <si>
    <t xml:space="preserve">Burkett, Benjamin </t>
  </si>
  <si>
    <t xml:space="preserve">Cady, Max </t>
  </si>
  <si>
    <t>Software Engineering Manager</t>
  </si>
  <si>
    <t>Jennifer Zamora</t>
  </si>
  <si>
    <t>Candie, Calvin</t>
  </si>
  <si>
    <t>Carabbio, Judith</t>
  </si>
  <si>
    <t xml:space="preserve">Carey, Michael  </t>
  </si>
  <si>
    <t>Carr, Claudia  N</t>
  </si>
  <si>
    <t xml:space="preserve">Carter, Michelle </t>
  </si>
  <si>
    <t>VT</t>
  </si>
  <si>
    <t xml:space="preserve">Chace, Beatrice </t>
  </si>
  <si>
    <t>Champaigne, Brian</t>
  </si>
  <si>
    <t>BI Director</t>
  </si>
  <si>
    <t>Chan, Lin</t>
  </si>
  <si>
    <t>Chang, Donovan  E</t>
  </si>
  <si>
    <t>Chigurh, Anton</t>
  </si>
  <si>
    <t>Lynn Daneault</t>
  </si>
  <si>
    <t>Chivukula, Enola</t>
  </si>
  <si>
    <t>relocation out of area</t>
  </si>
  <si>
    <t xml:space="preserve">Cierpiszewski, Caroline  </t>
  </si>
  <si>
    <t>Non-Citizen</t>
  </si>
  <si>
    <t>Clayton, Rick</t>
  </si>
  <si>
    <t>Eric Dougall</t>
  </si>
  <si>
    <t>Cloninger, Jennifer</t>
  </si>
  <si>
    <t>Close, Phil</t>
  </si>
  <si>
    <t>Clukey, Elijian</t>
  </si>
  <si>
    <t>Cockel, James</t>
  </si>
  <si>
    <t>Cole, Spencer</t>
  </si>
  <si>
    <t>Corleone, Michael</t>
  </si>
  <si>
    <t>Corleone, Vito</t>
  </si>
  <si>
    <t>Director of Operations</t>
  </si>
  <si>
    <t xml:space="preserve">Cornett, Lisa </t>
  </si>
  <si>
    <t>Costello, Frank</t>
  </si>
  <si>
    <t>Crimmings,   Jean</t>
  </si>
  <si>
    <t>Cross, Noah</t>
  </si>
  <si>
    <t>Sr. Network Engineer</t>
  </si>
  <si>
    <t>Daneault, Lynn</t>
  </si>
  <si>
    <t>Sales Manager</t>
  </si>
  <si>
    <t>Debra Houlihan</t>
  </si>
  <si>
    <t xml:space="preserve">Daniele, Ann  </t>
  </si>
  <si>
    <t xml:space="preserve">Darson, Jene'ya </t>
  </si>
  <si>
    <t>Davis, Daniel</t>
  </si>
  <si>
    <t>Dee, Randy</t>
  </si>
  <si>
    <t>DeGweck,  James</t>
  </si>
  <si>
    <t>Del Bosque, Keyla</t>
  </si>
  <si>
    <t>Delarge, Alex</t>
  </si>
  <si>
    <t>AL</t>
  </si>
  <si>
    <t>PIP</t>
  </si>
  <si>
    <t>Demita, Carla</t>
  </si>
  <si>
    <t>more money</t>
  </si>
  <si>
    <t xml:space="preserve">Desimone, Carl </t>
  </si>
  <si>
    <t>DeVito, Tommy</t>
  </si>
  <si>
    <t>BI Developer</t>
  </si>
  <si>
    <t>Brian Champaigne</t>
  </si>
  <si>
    <t xml:space="preserve">Dickinson, Geoff </t>
  </si>
  <si>
    <t xml:space="preserve">Dietrich, Jenna  </t>
  </si>
  <si>
    <t>WA</t>
  </si>
  <si>
    <t>Website</t>
  </si>
  <si>
    <t xml:space="preserve">DiNocco, Lily </t>
  </si>
  <si>
    <t>Dobrin, Denisa  S</t>
  </si>
  <si>
    <t>Dolan, Linda</t>
  </si>
  <si>
    <t>Dougall, Eric</t>
  </si>
  <si>
    <t>IT Manager - Support</t>
  </si>
  <si>
    <t>Driver, Elle</t>
  </si>
  <si>
    <t>CA</t>
  </si>
  <si>
    <t xml:space="preserve">Dunn, Amy  </t>
  </si>
  <si>
    <t>Dunne, Amy</t>
  </si>
  <si>
    <t>Eaton, Marianne</t>
  </si>
  <si>
    <t>military</t>
  </si>
  <si>
    <t>Engdahl, Jean</t>
  </si>
  <si>
    <t>England, Rex</t>
  </si>
  <si>
    <t>Erilus, Angela</t>
  </si>
  <si>
    <t>Estremera, Miguel</t>
  </si>
  <si>
    <t>Evensen, April</t>
  </si>
  <si>
    <t>no-call, no-show</t>
  </si>
  <si>
    <t>Exantus, Susan</t>
  </si>
  <si>
    <t xml:space="preserve">Faller, Megan </t>
  </si>
  <si>
    <t>Fancett, Nicole</t>
  </si>
  <si>
    <t>Ferguson, Susan</t>
  </si>
  <si>
    <t xml:space="preserve">Fernandes, Nilson  </t>
  </si>
  <si>
    <t>Fett, Boba</t>
  </si>
  <si>
    <t>Network Engineer</t>
  </si>
  <si>
    <t>Fidelia,  Libby</t>
  </si>
  <si>
    <t>Fitzpatrick, Michael  J</t>
  </si>
  <si>
    <t>Foreman, Tanya</t>
  </si>
  <si>
    <t>Forrest, Alex</t>
  </si>
  <si>
    <t>Fatal attraction</t>
  </si>
  <si>
    <t>Foss, Jason</t>
  </si>
  <si>
    <t>IT Director</t>
  </si>
  <si>
    <t>Foster-Baker, Amy</t>
  </si>
  <si>
    <t>no</t>
  </si>
  <si>
    <t>Board of Directors</t>
  </si>
  <si>
    <t>Other</t>
  </si>
  <si>
    <t xml:space="preserve">Fraval, Maruk </t>
  </si>
  <si>
    <t>Galia, Lisa</t>
  </si>
  <si>
    <t>Garcia, Raul</t>
  </si>
  <si>
    <t>Gaul, Barbara</t>
  </si>
  <si>
    <t>Gentry, Mildred</t>
  </si>
  <si>
    <t>Gerke, Melisa</t>
  </si>
  <si>
    <t xml:space="preserve">Gill, Whitney  </t>
  </si>
  <si>
    <t>OH</t>
  </si>
  <si>
    <t>Gilles, Alex</t>
  </si>
  <si>
    <t>Girifalco, Evelyn</t>
  </si>
  <si>
    <t>Givens, Myriam</t>
  </si>
  <si>
    <t>IN</t>
  </si>
  <si>
    <t>Goble, Taisha</t>
  </si>
  <si>
    <t>Goeth, Amon</t>
  </si>
  <si>
    <t xml:space="preserve">Gold, Shenice  </t>
  </si>
  <si>
    <t>Gonzalez, Cayo</t>
  </si>
  <si>
    <t>Gonzalez, Juan</t>
  </si>
  <si>
    <t>Gonzalez, Maria</t>
  </si>
  <si>
    <t>Good, Susan</t>
  </si>
  <si>
    <t>Gordon, David</t>
  </si>
  <si>
    <t xml:space="preserve">Gosciminski, Phylicia  </t>
  </si>
  <si>
    <t>American Indian or Alaska Native</t>
  </si>
  <si>
    <t>Goyal, Roxana</t>
  </si>
  <si>
    <t xml:space="preserve">Gray, Elijiah  </t>
  </si>
  <si>
    <t>Gross, Paula</t>
  </si>
  <si>
    <t>Gruber, Hans</t>
  </si>
  <si>
    <t>Guilianno, Mike</t>
  </si>
  <si>
    <t>TN</t>
  </si>
  <si>
    <t>Handschiegl, Joanne</t>
  </si>
  <si>
    <t>Hankard, Earnest</t>
  </si>
  <si>
    <t xml:space="preserve">Harrington, Christie </t>
  </si>
  <si>
    <t>Harrison, Kara</t>
  </si>
  <si>
    <t>Heitzman, Anthony</t>
  </si>
  <si>
    <t>Hendrickson, Trina</t>
  </si>
  <si>
    <t>Hitchcock, Alfred</t>
  </si>
  <si>
    <t>NH</t>
  </si>
  <si>
    <t>Homberger, Adrienne  J</t>
  </si>
  <si>
    <t>Horton, Jayne</t>
  </si>
  <si>
    <t>Houlihan, Debra</t>
  </si>
  <si>
    <t>Director of Sales</t>
  </si>
  <si>
    <t>RI</t>
  </si>
  <si>
    <t>Howard, Estelle</t>
  </si>
  <si>
    <t>Administrative Assistant</t>
  </si>
  <si>
    <t>Hudson, Jane</t>
  </si>
  <si>
    <t>Hunts, Julissa</t>
  </si>
  <si>
    <t>Hutter, Rosalie</t>
  </si>
  <si>
    <t>Huynh, Ming</t>
  </si>
  <si>
    <t>Immediato, Walter</t>
  </si>
  <si>
    <t xml:space="preserve">Ivey, Rose </t>
  </si>
  <si>
    <t>Jackson, Maryellen</t>
  </si>
  <si>
    <t xml:space="preserve">Jacobi, Hannah  </t>
  </si>
  <si>
    <t>Jeannite, Tayana</t>
  </si>
  <si>
    <t xml:space="preserve">Jhaveri, Sneha  </t>
  </si>
  <si>
    <t>Johnson, George</t>
  </si>
  <si>
    <t xml:space="preserve">Johnson, Noelle </t>
  </si>
  <si>
    <t>Johnston, Yen</t>
  </si>
  <si>
    <t xml:space="preserve">Jung, Judy  </t>
  </si>
  <si>
    <t>Kampew, Donysha</t>
  </si>
  <si>
    <t>PA</t>
  </si>
  <si>
    <t>maternity leave - did not return</t>
  </si>
  <si>
    <t xml:space="preserve">Keatts, Kramer </t>
  </si>
  <si>
    <t>Khemmich, Bartholemew</t>
  </si>
  <si>
    <t>CO</t>
  </si>
  <si>
    <t>King, Janet</t>
  </si>
  <si>
    <t>President &amp; CEO</t>
  </si>
  <si>
    <t>Executive Office</t>
  </si>
  <si>
    <t xml:space="preserve">Kinsella, Kathleen  </t>
  </si>
  <si>
    <t xml:space="preserve">Kirill, Alexandra  </t>
  </si>
  <si>
    <t>Knapp, Bradley  J</t>
  </si>
  <si>
    <t>Kretschmer, John</t>
  </si>
  <si>
    <t>Kreuger, Freddy</t>
  </si>
  <si>
    <t>NY</t>
  </si>
  <si>
    <t>Lajiri,  Jyoti</t>
  </si>
  <si>
    <t>Landa, Hans</t>
  </si>
  <si>
    <t>Langford, Lindsey</t>
  </si>
  <si>
    <t>Langton, Enrico</t>
  </si>
  <si>
    <t xml:space="preserve">LaRotonda, William  </t>
  </si>
  <si>
    <t>Latif, Mohammed</t>
  </si>
  <si>
    <t>Le, Binh</t>
  </si>
  <si>
    <t>Senior BI Developer</t>
  </si>
  <si>
    <t>Leach, Dallas</t>
  </si>
  <si>
    <t>LeBlanc, Brandon  R</t>
  </si>
  <si>
    <t>Shared Services Manager</t>
  </si>
  <si>
    <t>Lecter, Hannibal</t>
  </si>
  <si>
    <t>Leruth, Giovanni</t>
  </si>
  <si>
    <t>UT</t>
  </si>
  <si>
    <t>Liebig, Ketsia</t>
  </si>
  <si>
    <t xml:space="preserve">Linares, Marilyn </t>
  </si>
  <si>
    <t>Linden, Mathew</t>
  </si>
  <si>
    <t xml:space="preserve">Lindsay, Leonara </t>
  </si>
  <si>
    <t>Lundy, Susan</t>
  </si>
  <si>
    <t>Lunquist, Lisa</t>
  </si>
  <si>
    <t>Lydon, Allison</t>
  </si>
  <si>
    <t>Lynch, Lindsay</t>
  </si>
  <si>
    <t>MacLennan, Samuel</t>
  </si>
  <si>
    <t xml:space="preserve">Mahoney, Lauren  </t>
  </si>
  <si>
    <t>Manchester, Robyn</t>
  </si>
  <si>
    <t>Mancuso, Karen</t>
  </si>
  <si>
    <t>Mangal, Debbie</t>
  </si>
  <si>
    <t>Martin, Sandra</t>
  </si>
  <si>
    <t>Maurice, Shana</t>
  </si>
  <si>
    <t>Carthy, B'rigit</t>
  </si>
  <si>
    <t>Mckenna, Sandy</t>
  </si>
  <si>
    <t>McKinzie, Jac</t>
  </si>
  <si>
    <t>Meads, Elizabeth</t>
  </si>
  <si>
    <t>Medeiros, Jennifer</t>
  </si>
  <si>
    <t>Miller, Brannon</t>
  </si>
  <si>
    <t>yes</t>
  </si>
  <si>
    <t>Hispanic</t>
  </si>
  <si>
    <t>Miller, Ned</t>
  </si>
  <si>
    <t>Monkfish, Erasumus</t>
  </si>
  <si>
    <t>Monroe, Peter</t>
  </si>
  <si>
    <t>IT Manager - Infra</t>
  </si>
  <si>
    <t>Monterro, Luisa</t>
  </si>
  <si>
    <t>Moran, Patrick</t>
  </si>
  <si>
    <t>Morway, Tanya</t>
  </si>
  <si>
    <t>Motlagh,  Dawn</t>
  </si>
  <si>
    <t xml:space="preserve">Moumanil, Maliki </t>
  </si>
  <si>
    <t>Myers, Michael</t>
  </si>
  <si>
    <t>Navathe, Kurt</t>
  </si>
  <si>
    <t>Ndzi, Colombui</t>
  </si>
  <si>
    <t>Ndzi, Horia</t>
  </si>
  <si>
    <t xml:space="preserve">Newman, Richard </t>
  </si>
  <si>
    <t xml:space="preserve">Ngodup, Shari </t>
  </si>
  <si>
    <t>Nguyen, Dheepa</t>
  </si>
  <si>
    <t>GA</t>
  </si>
  <si>
    <t>Nguyen, Lei-Ming</t>
  </si>
  <si>
    <t>Nowlan, Kristie</t>
  </si>
  <si>
    <t>O'hare, Lynn</t>
  </si>
  <si>
    <t xml:space="preserve">Oliver, Brooke </t>
  </si>
  <si>
    <t>Onque, Jasmine</t>
  </si>
  <si>
    <t>FL</t>
  </si>
  <si>
    <t>Osturnka, Adeel</t>
  </si>
  <si>
    <t>Owad, Clinton</t>
  </si>
  <si>
    <t>Ozark, Travis</t>
  </si>
  <si>
    <t>NC</t>
  </si>
  <si>
    <t>Panjwani, Nina</t>
  </si>
  <si>
    <t>Patronick, Lucas</t>
  </si>
  <si>
    <t>Pearson, Randall</t>
  </si>
  <si>
    <t>Smith, Martin</t>
  </si>
  <si>
    <t>Pelletier, Ermine</t>
  </si>
  <si>
    <t>Perry, Shakira</t>
  </si>
  <si>
    <t>medical issues</t>
  </si>
  <si>
    <t>Peters, Lauren</t>
  </si>
  <si>
    <t xml:space="preserve">Peterson, Ebonee  </t>
  </si>
  <si>
    <t xml:space="preserve">Petingill, Shana  </t>
  </si>
  <si>
    <t>Petrowsky, Thelma</t>
  </si>
  <si>
    <t>Pham, Hong</t>
  </si>
  <si>
    <t xml:space="preserve">Pitt, Brad </t>
  </si>
  <si>
    <t>Potts, Xana</t>
  </si>
  <si>
    <t>KY</t>
  </si>
  <si>
    <t>Power, Morissa</t>
  </si>
  <si>
    <t xml:space="preserve">Punjabhi, Louis  </t>
  </si>
  <si>
    <t>Purinton, Janine</t>
  </si>
  <si>
    <t>Quinn, Sean</t>
  </si>
  <si>
    <t>Rachael, Maggie</t>
  </si>
  <si>
    <t>Rarrick, Quinn</t>
  </si>
  <si>
    <t>Ren, Kylo</t>
  </si>
  <si>
    <t>ID</t>
  </si>
  <si>
    <t>Rhoads, Thomas</t>
  </si>
  <si>
    <t xml:space="preserve">Rivera, Haley  </t>
  </si>
  <si>
    <t>Roberson, May</t>
  </si>
  <si>
    <t>Robertson, Peter</t>
  </si>
  <si>
    <t xml:space="preserve">Robinson, Alain  </t>
  </si>
  <si>
    <t>Robinson, Cherly</t>
  </si>
  <si>
    <t>Robinson, Elias</t>
  </si>
  <si>
    <t xml:space="preserve">Roby, Lori </t>
  </si>
  <si>
    <t>Roehrich, Bianca</t>
  </si>
  <si>
    <t>Principal Data Architect</t>
  </si>
  <si>
    <t>Roper, Katie</t>
  </si>
  <si>
    <t>Data Architect</t>
  </si>
  <si>
    <t xml:space="preserve">Rose, Ashley  </t>
  </si>
  <si>
    <t>Rossetti, Bruno</t>
  </si>
  <si>
    <t>Roup,Simon</t>
  </si>
  <si>
    <t>IT Manager - DB</t>
  </si>
  <si>
    <t>Ruiz, Ricardo</t>
  </si>
  <si>
    <t>Saada, Adell</t>
  </si>
  <si>
    <t>Saar-Beckles, Melinda</t>
  </si>
  <si>
    <t xml:space="preserve">Sadki, Nore  </t>
  </si>
  <si>
    <t>Sahoo, Adil</t>
  </si>
  <si>
    <t>Salter, Jason</t>
  </si>
  <si>
    <t xml:space="preserve">Data Analyst </t>
  </si>
  <si>
    <t>Sander, Kamrin</t>
  </si>
  <si>
    <t>Sewkumar, Nori</t>
  </si>
  <si>
    <t xml:space="preserve">Shepard, Anita </t>
  </si>
  <si>
    <t>Shields, Seffi</t>
  </si>
  <si>
    <t>Simard, Kramer</t>
  </si>
  <si>
    <t xml:space="preserve">Singh, Nan </t>
  </si>
  <si>
    <t>Sloan, Constance</t>
  </si>
  <si>
    <t>Smith, Joe</t>
  </si>
  <si>
    <t>Smith, John</t>
  </si>
  <si>
    <t>Smith, Leigh Ann</t>
  </si>
  <si>
    <t>Smith, Sade</t>
  </si>
  <si>
    <t xml:space="preserve">Soto, Julia </t>
  </si>
  <si>
    <t>Soze, Keyser</t>
  </si>
  <si>
    <t xml:space="preserve">Sparks, Taylor  </t>
  </si>
  <si>
    <t>Spirea, Kelley</t>
  </si>
  <si>
    <t>Squatrito, Kristen</t>
  </si>
  <si>
    <t>Stanford,Barbara  M</t>
  </si>
  <si>
    <t>Stansfield, Norman</t>
  </si>
  <si>
    <t>NV</t>
  </si>
  <si>
    <t xml:space="preserve">Steans, Tyrone  </t>
  </si>
  <si>
    <t>Stoica, Rick</t>
  </si>
  <si>
    <t>Strong, Caitrin</t>
  </si>
  <si>
    <t>MT</t>
  </si>
  <si>
    <t xml:space="preserve">Sullivan, Kissy </t>
  </si>
  <si>
    <t>Sullivan, Timothy</t>
  </si>
  <si>
    <t>Sutwell, Barbara</t>
  </si>
  <si>
    <t>Szabo, Andrew</t>
  </si>
  <si>
    <t>Tannen, Biff</t>
  </si>
  <si>
    <t xml:space="preserve">Tavares, Desiree  </t>
  </si>
  <si>
    <t xml:space="preserve">Tejeda, Lenora </t>
  </si>
  <si>
    <t xml:space="preserve">Terry, Sharlene </t>
  </si>
  <si>
    <t>OR</t>
  </si>
  <si>
    <t>Theamstern, Sophia</t>
  </si>
  <si>
    <t>Thibaud, Kenneth</t>
  </si>
  <si>
    <t>Tippett, Jeanette</t>
  </si>
  <si>
    <t>Torrence, Jack</t>
  </si>
  <si>
    <t>ND</t>
  </si>
  <si>
    <t>Trang, Mei</t>
  </si>
  <si>
    <t xml:space="preserve">Tredinnick, Neville </t>
  </si>
  <si>
    <t>True, Edward</t>
  </si>
  <si>
    <t>Trzeciak, Cybil</t>
  </si>
  <si>
    <t>Turpin, Jumil</t>
  </si>
  <si>
    <t>Valentin,Jackie</t>
  </si>
  <si>
    <t>AZ</t>
  </si>
  <si>
    <t xml:space="preserve">Veera, Abdellah </t>
  </si>
  <si>
    <t>Vega, Vincent</t>
  </si>
  <si>
    <t>Villanueva, Noah</t>
  </si>
  <si>
    <t>ME</t>
  </si>
  <si>
    <t>Voldemort, Lord</t>
  </si>
  <si>
    <t>Volk, Colleen</t>
  </si>
  <si>
    <t>gross misconduct</t>
  </si>
  <si>
    <t>Von Massenbach, Anna</t>
  </si>
  <si>
    <t>Walker, Roger</t>
  </si>
  <si>
    <t>Wallace, Courtney  E</t>
  </si>
  <si>
    <t>Wallace, Theresa</t>
  </si>
  <si>
    <t>Wang, Charlie</t>
  </si>
  <si>
    <t>Warfield, Sarah</t>
  </si>
  <si>
    <t>Whittier, Scott</t>
  </si>
  <si>
    <t>Wilber, Barry</t>
  </si>
  <si>
    <t>Wilkes, Annie</t>
  </si>
  <si>
    <t xml:space="preserve">Williams, Jacquelyn  </t>
  </si>
  <si>
    <t xml:space="preserve">Winthrop, Jordan  </t>
  </si>
  <si>
    <t>Wolk, Hang  T</t>
  </si>
  <si>
    <t>Woodson, Jason</t>
  </si>
  <si>
    <t xml:space="preserve">Ybarra, Catherine </t>
  </si>
  <si>
    <t>Zamora, Jennifer</t>
  </si>
  <si>
    <t>CIO</t>
  </si>
  <si>
    <t>Zhou, Julia</t>
  </si>
  <si>
    <t>Zima, Colleen</t>
  </si>
  <si>
    <t>Brandon R. Leblanc</t>
  </si>
  <si>
    <t>Board Of Directors</t>
  </si>
  <si>
    <t>Tenure_Years</t>
  </si>
  <si>
    <t>Production</t>
  </si>
  <si>
    <t>Linkedin</t>
  </si>
  <si>
    <t>Ait Sidi, Karthikeyan</t>
  </si>
  <si>
    <t>Sr. Dba</t>
  </si>
  <si>
    <t>It/Is</t>
  </si>
  <si>
    <t>Production Technician Ii</t>
  </si>
  <si>
    <t>Beatrice, Courtney</t>
  </si>
  <si>
    <t>Anderson, Carol</t>
  </si>
  <si>
    <t>Anderson, Linda</t>
  </si>
  <si>
    <t>Bacong, Alejandro</t>
  </si>
  <si>
    <t>It Support</t>
  </si>
  <si>
    <t>Baczenski, Rachael</t>
  </si>
  <si>
    <t>Beak, Kimberly</t>
  </si>
  <si>
    <t>Careerbuilder</t>
  </si>
  <si>
    <t>Buccheri, Joseph</t>
  </si>
  <si>
    <t>Bugali, Josephine</t>
  </si>
  <si>
    <t>Burkett, Benjamin</t>
  </si>
  <si>
    <t>Cady, Max</t>
  </si>
  <si>
    <t>Carey, Michael</t>
  </si>
  <si>
    <t>Carter, Michelle</t>
  </si>
  <si>
    <t>Chace, Beatrice</t>
  </si>
  <si>
    <t>Bi Director</t>
  </si>
  <si>
    <t>Cierpiszewski, Caroline</t>
  </si>
  <si>
    <t>Director Of Operations</t>
  </si>
  <si>
    <t>Cornett, Lisa</t>
  </si>
  <si>
    <t>Daniele, Ann</t>
  </si>
  <si>
    <t>Darson, Jene'Ya</t>
  </si>
  <si>
    <t>Degweck,  James</t>
  </si>
  <si>
    <t>Desimone, Carl</t>
  </si>
  <si>
    <t>Devito, Tommy</t>
  </si>
  <si>
    <t>Bi Developer</t>
  </si>
  <si>
    <t>Dickinson, Geoff</t>
  </si>
  <si>
    <t>Dietrich, Jenna</t>
  </si>
  <si>
    <t>Dinocco, Lily</t>
  </si>
  <si>
    <t>It Manager - Support</t>
  </si>
  <si>
    <t>Dunn, Amy</t>
  </si>
  <si>
    <t>Faller, Megan</t>
  </si>
  <si>
    <t>Fernandes, Nilson</t>
  </si>
  <si>
    <t>It Director</t>
  </si>
  <si>
    <t>Fraval, Maruk</t>
  </si>
  <si>
    <t>Gill, Whitney</t>
  </si>
  <si>
    <t>Gold, Shenice</t>
  </si>
  <si>
    <t>Gosciminski, Phylicia</t>
  </si>
  <si>
    <t>Gray, Elijiah</t>
  </si>
  <si>
    <t>Harrington, Christie</t>
  </si>
  <si>
    <t>Director Of Sales</t>
  </si>
  <si>
    <t>Ivey, Rose</t>
  </si>
  <si>
    <t>Jacobi, Hannah</t>
  </si>
  <si>
    <t>Jhaveri, Sneha</t>
  </si>
  <si>
    <t>Johnson, Noelle</t>
  </si>
  <si>
    <t>Jung, Judy</t>
  </si>
  <si>
    <t>Keatts, Kramer</t>
  </si>
  <si>
    <t>President &amp; Ceo</t>
  </si>
  <si>
    <t>Kinsella, Kathleen</t>
  </si>
  <si>
    <t>Kirill, Alexandra</t>
  </si>
  <si>
    <t>Larotonda, William</t>
  </si>
  <si>
    <t>Senior Bi Developer</t>
  </si>
  <si>
    <t>Leblanc, Brandon  R</t>
  </si>
  <si>
    <t>Linares, Marilyn</t>
  </si>
  <si>
    <t>Lindsay, Leonara</t>
  </si>
  <si>
    <t>Maclennan, Samuel</t>
  </si>
  <si>
    <t>Mahoney, Lauren</t>
  </si>
  <si>
    <t>Carthy, B'Rigit</t>
  </si>
  <si>
    <t>Mckinzie, Jac</t>
  </si>
  <si>
    <t>It Manager - Infra</t>
  </si>
  <si>
    <t>Moumanil, Maliki</t>
  </si>
  <si>
    <t>Newman, Richard</t>
  </si>
  <si>
    <t>Ngodup, Shari</t>
  </si>
  <si>
    <t>O'Hare, Lynn</t>
  </si>
  <si>
    <t>Oliver, Brooke</t>
  </si>
  <si>
    <t>Peterson, Ebonee</t>
  </si>
  <si>
    <t>Petingill, Shana</t>
  </si>
  <si>
    <t>Pitt, Brad</t>
  </si>
  <si>
    <t>Punjabhi, Louis</t>
  </si>
  <si>
    <t>Rivera, Haley</t>
  </si>
  <si>
    <t>Robinson, Alain</t>
  </si>
  <si>
    <t>Roby, Lori</t>
  </si>
  <si>
    <t>Rose, Ashley</t>
  </si>
  <si>
    <t>It Manager - Db</t>
  </si>
  <si>
    <t>Sadki, Nore</t>
  </si>
  <si>
    <t>Shepard, Anita</t>
  </si>
  <si>
    <t>Singh, Nan</t>
  </si>
  <si>
    <t>Soto, Julia</t>
  </si>
  <si>
    <t>Sparks, Taylor</t>
  </si>
  <si>
    <t>Steans, Tyrone</t>
  </si>
  <si>
    <t>Sullivan, Kissy</t>
  </si>
  <si>
    <t>Tavares, Desiree</t>
  </si>
  <si>
    <t>Tejeda, Lenora</t>
  </si>
  <si>
    <t>Terry, Sharlene</t>
  </si>
  <si>
    <t>Tredinnick, Neville</t>
  </si>
  <si>
    <t>Veera, Abdellah</t>
  </si>
  <si>
    <t>Williams, Jacquelyn</t>
  </si>
  <si>
    <t>Winthrop, Jordan</t>
  </si>
  <si>
    <t>Ybarra, Catherine</t>
  </si>
  <si>
    <t>Cio</t>
  </si>
  <si>
    <t>Active Employees</t>
  </si>
  <si>
    <t>Terminated Employees</t>
  </si>
  <si>
    <t>Turnover Rate</t>
  </si>
  <si>
    <t>Average Age</t>
  </si>
  <si>
    <t>Average Tenure</t>
  </si>
  <si>
    <t>Average Salary</t>
  </si>
  <si>
    <t>Average Engagement</t>
  </si>
  <si>
    <t>Row Labels</t>
  </si>
  <si>
    <t>Grand Total</t>
  </si>
  <si>
    <t>Sum of Termd</t>
  </si>
  <si>
    <t>Term_Year</t>
  </si>
  <si>
    <t>Count of EmpID</t>
  </si>
  <si>
    <t>Average of Tenure_Years</t>
  </si>
  <si>
    <t>Turnover By Department</t>
  </si>
  <si>
    <t>Termination Trend By Year</t>
  </si>
  <si>
    <t>Tenure By Performance Score</t>
  </si>
  <si>
    <t>Column Labels</t>
  </si>
  <si>
    <t>Recruitment Source Analysis</t>
  </si>
  <si>
    <t>Salary By Gender</t>
  </si>
  <si>
    <t>Average of Salary</t>
  </si>
  <si>
    <t>Average of EmpSatisfaction</t>
  </si>
  <si>
    <t>Head_Count</t>
  </si>
  <si>
    <t>KPIs</t>
  </si>
  <si>
    <t>Average of EngagementSurvey</t>
  </si>
  <si>
    <t>Sum of PctTerminated</t>
  </si>
  <si>
    <t>t</t>
  </si>
  <si>
    <t>Turnover by Age Group &amp; Engagement by Dept</t>
  </si>
  <si>
    <t>Male</t>
  </si>
  <si>
    <t>Female</t>
  </si>
  <si>
    <t>Average of Age</t>
  </si>
  <si>
    <t>Sum of ActiveEmployees</t>
  </si>
  <si>
    <t>Sum of Turnover Rate</t>
  </si>
  <si>
    <t>Tota Employees</t>
  </si>
  <si>
    <t>On-Line Web</t>
  </si>
  <si>
    <t>Diversity Fair</t>
  </si>
  <si>
    <t>Employee Ref</t>
  </si>
  <si>
    <t>Average Tenure of Terminated Employees by Department</t>
  </si>
  <si>
    <t>Employee Engagement and Satisfaction by Department</t>
  </si>
  <si>
    <t>Business Question 3</t>
  </si>
  <si>
    <t>Business Question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</si>
</sst>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quot;$&quot;#,##0"/>
    <numFmt numFmtId="174" formatCode="0.0%"/>
  </numFmts>
  <fonts count="6" x14ac:knownFonts="1">
    <font>
      <sz val="11"/>
      <color theme="1"/>
      <name val="Aptos Narrow"/>
      <family val="2"/>
      <scheme val="minor"/>
    </font>
    <font>
      <b/>
      <sz val="11"/>
      <color theme="1"/>
      <name val="Aptos Narrow"/>
      <family val="2"/>
      <scheme val="minor"/>
    </font>
    <font>
      <b/>
      <sz val="11"/>
      <color rgb="FF1F3A64"/>
      <name val="Aptos Narrow"/>
      <family val="2"/>
      <scheme val="minor"/>
    </font>
    <font>
      <sz val="36"/>
      <color rgb="FF1F3A64"/>
      <name val="Aptos Narrow"/>
      <family val="2"/>
      <scheme val="minor"/>
    </font>
    <font>
      <b/>
      <sz val="14"/>
      <color rgb="FF1F3A64"/>
      <name val="Calibri"/>
      <family val="2"/>
    </font>
    <font>
      <b/>
      <sz val="12"/>
      <color rgb="FF1F3A64"/>
      <name val="Arial"/>
      <family val="2"/>
    </font>
  </fonts>
  <fills count="3">
    <fill>
      <patternFill patternType="none"/>
    </fill>
    <fill>
      <patternFill patternType="gray125"/>
    </fill>
    <fill>
      <patternFill patternType="solid">
        <fgColor rgb="FFF5F7FA"/>
        <bgColor indexed="64"/>
      </patternFill>
    </fill>
  </fills>
  <borders count="4">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24">
    <xf numFmtId="0" fontId="0" fillId="0" borderId="0" xfId="0"/>
    <xf numFmtId="0" fontId="0" fillId="0" borderId="1" xfId="0" applyBorder="1" applyAlignment="1">
      <alignment horizontal="center" vertical="center"/>
    </xf>
    <xf numFmtId="0" fontId="0" fillId="0" borderId="2" xfId="0" applyBorder="1" applyAlignment="1">
      <alignment horizontal="center" vertical="center"/>
    </xf>
    <xf numFmtId="14" fontId="0" fillId="0" borderId="2" xfId="0" applyNumberFormat="1" applyBorder="1" applyAlignment="1">
      <alignment horizontal="center" vertical="center"/>
    </xf>
    <xf numFmtId="1" fontId="0" fillId="0" borderId="2" xfId="0" applyNumberFormat="1" applyBorder="1" applyAlignment="1">
      <alignment horizontal="center" vertical="center"/>
    </xf>
    <xf numFmtId="0" fontId="0" fillId="0" borderId="3" xfId="0" applyBorder="1" applyAlignment="1">
      <alignment horizontal="center" vertical="center"/>
    </xf>
    <xf numFmtId="0" fontId="0" fillId="0" borderId="0" xfId="0" applyAlignment="1">
      <alignment horizontal="left" vertical="center"/>
    </xf>
    <xf numFmtId="14" fontId="0" fillId="0" borderId="0" xfId="0" applyNumberFormat="1" applyAlignment="1">
      <alignment horizontal="left" vertical="center"/>
    </xf>
    <xf numFmtId="1" fontId="0" fillId="0" borderId="0" xfId="0" applyNumberFormat="1" applyAlignment="1">
      <alignment horizontal="left" vertical="center"/>
    </xf>
    <xf numFmtId="14" fontId="0" fillId="0" borderId="0" xfId="0" applyNumberFormat="1"/>
    <xf numFmtId="0" fontId="1" fillId="0" borderId="0" xfId="0" applyFon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74" fontId="0" fillId="0" borderId="0" xfId="0" applyNumberFormat="1"/>
    <xf numFmtId="9" fontId="0" fillId="0" borderId="0" xfId="0" applyNumberFormat="1"/>
    <xf numFmtId="0" fontId="0" fillId="2" borderId="0" xfId="0" applyFill="1"/>
    <xf numFmtId="0" fontId="3" fillId="0" borderId="0" xfId="0" applyFont="1"/>
    <xf numFmtId="0" fontId="4" fillId="0" borderId="0" xfId="0" applyFont="1" applyAlignment="1">
      <alignment horizontal="center" vertical="center" readingOrder="1"/>
    </xf>
    <xf numFmtId="0" fontId="2" fillId="0" borderId="0" xfId="0" applyFont="1"/>
    <xf numFmtId="0" fontId="5" fillId="0" borderId="0" xfId="0" applyFont="1"/>
  </cellXfs>
  <cellStyles count="1">
    <cellStyle name="Normal" xfId="0" builtinId="0"/>
  </cellStyles>
  <dxfs count="74">
    <dxf>
      <numFmt numFmtId="164" formatCode="0.0"/>
    </dxf>
    <dxf>
      <numFmt numFmtId="164" formatCode="0.0"/>
    </dxf>
    <dxf>
      <numFmt numFmtId="164" formatCode="0.0"/>
    </dxf>
    <dxf>
      <font>
        <b/>
        <i val="0"/>
        <color rgb="FF1F3A64"/>
      </font>
      <fill>
        <patternFill>
          <bgColor theme="0"/>
        </patternFill>
      </fill>
      <border diagonalUp="0" diagonalDown="0">
        <left/>
        <right/>
        <top/>
        <bottom/>
        <vertical/>
        <horizontal/>
      </border>
    </dxf>
    <dxf>
      <font>
        <color rgb="FF1F3A64"/>
      </font>
      <fill>
        <patternFill>
          <bgColor theme="0"/>
        </patternFill>
      </fill>
      <border>
        <left style="thin">
          <color auto="1"/>
        </left>
        <right style="thin">
          <color auto="1"/>
        </right>
        <top style="thin">
          <color auto="1"/>
        </top>
        <bottom style="thin">
          <color auto="1"/>
        </bottom>
      </border>
    </dxf>
    <dxf>
      <numFmt numFmtId="165" formatCode="&quot;$&quot;#,##0"/>
    </dxf>
    <dxf>
      <numFmt numFmtId="165" formatCode="&quot;$&quot;#,##0"/>
    </dxf>
    <dxf>
      <numFmt numFmtId="164" formatCode="0.0"/>
    </dxf>
    <dxf>
      <numFmt numFmtId="165" formatCode="&quot;$&quot;#,##0"/>
    </dxf>
    <dxf>
      <numFmt numFmtId="164" formatCode="0.0"/>
    </dxf>
    <dxf>
      <numFmt numFmtId="164" formatCode="0.0"/>
    </dxf>
    <dxf>
      <numFmt numFmtId="13" formatCode="0%"/>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center" textRotation="0" wrapText="0" indent="0" justifyLastLine="0" shrinkToFit="0" readingOrder="0"/>
    </dxf>
    <dxf>
      <numFmt numFmtId="19" formatCode="m/d/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m/d/yyyy"/>
      <alignment horizontal="left" vertical="center" textRotation="0" wrapText="0" indent="0" justifyLastLine="0" shrinkToFit="0" readingOrder="0"/>
    </dxf>
    <dxf>
      <numFmt numFmtId="1" formatCode="0"/>
      <alignment horizontal="left" vertical="center" textRotation="0" wrapText="0" indent="0" justifyLastLine="0" shrinkToFit="0" readingOrder="0"/>
    </dxf>
    <dxf>
      <numFmt numFmtId="19" formatCode="m/d/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 formatCode="0"/>
      <alignment horizontal="left" vertical="center" textRotation="0" wrapText="0" indent="0" justifyLastLine="0" shrinkToFit="0" readingOrder="0"/>
    </dxf>
    <dxf>
      <numFmt numFmtId="1" formatCode="0"/>
      <alignment horizontal="left" vertical="center" textRotation="0" wrapText="0" indent="0" justifyLastLine="0" shrinkToFit="0" readingOrder="0"/>
    </dxf>
    <dxf>
      <numFmt numFmtId="19" formatCode="m/d/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2" defaultTableStyle="TableStyleMedium2" defaultPivotStyle="PivotStyleLight16">
    <tableStyle name="Slicer Style 1" pivot="0" table="0" count="1" xr9:uid="{7566F413-E735-4CB9-A076-9E3FD8BBCC33}">
      <tableStyleElement type="headerRow" dxfId="4"/>
    </tableStyle>
    <tableStyle name="Slicer Style 2" pivot="0" table="0" count="2" xr9:uid="{1B57EC81-8889-4217-B28C-73F164B4BF24}">
      <tableStyleElement type="headerRow" dxfId="3"/>
    </tableStyle>
  </tableStyles>
  <colors>
    <mruColors>
      <color rgb="FF216788"/>
      <color rgb="FFBFBFBF"/>
      <color rgb="FF277396"/>
      <color rgb="FF1F3A64"/>
      <color rgb="FFFFFFFF"/>
      <color rgb="FFF5F7FA"/>
      <color rgb="FF1F4E78"/>
      <color rgb="FF595959"/>
      <color rgb="FFF2F2F2"/>
    </mruColors>
  </colors>
  <extLst>
    <ext xmlns:x14="http://schemas.microsoft.com/office/spreadsheetml/2009/9/main" uri="{46F421CA-312F-682f-3DD2-61675219B42D}">
      <x14:dxfs count="1">
        <dxf>
          <font>
            <color theme="0"/>
          </font>
          <fill>
            <patternFill>
              <bgColor rgb="FF1F3A64"/>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 PT4_RecruitmentSource!PivotTable5</c:name>
    <c:fmtId val="0"/>
  </c:pivotSource>
  <c:chart>
    <c:title>
      <c:tx>
        <c:rich>
          <a:bodyPr rot="0" spcFirstLastPara="1" vertOverflow="ellipsis" vert="horz" wrap="square" anchor="ctr" anchorCtr="1"/>
          <a:lstStyle/>
          <a:p>
            <a:pPr>
              <a:defRPr sz="1400" b="1" i="0" u="none" strike="noStrike" kern="1200" spc="0" baseline="0">
                <a:solidFill>
                  <a:srgbClr val="1F3A64"/>
                </a:solidFill>
                <a:latin typeface="Calibri" panose="020F0502020204030204" pitchFamily="34" charset="0"/>
                <a:ea typeface="+mn-ea"/>
                <a:cs typeface="Calibri" panose="020F0502020204030204" pitchFamily="34" charset="0"/>
              </a:defRPr>
            </a:pPr>
            <a:r>
              <a:rPr lang="en-US" b="1">
                <a:solidFill>
                  <a:srgbClr val="1F3A64"/>
                </a:solidFill>
              </a:rPr>
              <a:t>Recruitment Sources: Hires and Performance Ratings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3A64"/>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rgbClr val="1F3A64"/>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16788"/>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096385542168676E-2"/>
          <c:y val="0.25178010471204187"/>
          <c:w val="0.95180722891566261"/>
          <c:h val="0.30565774827884734"/>
        </c:manualLayout>
      </c:layout>
      <c:barChart>
        <c:barDir val="col"/>
        <c:grouping val="clustered"/>
        <c:varyColors val="0"/>
        <c:ser>
          <c:idx val="0"/>
          <c:order val="0"/>
          <c:tx>
            <c:strRef>
              <c:f>' PT4_RecruitmentSource'!$B$3:$B$4</c:f>
              <c:strCache>
                <c:ptCount val="1"/>
                <c:pt idx="0">
                  <c:v>Exceeds</c:v>
                </c:pt>
              </c:strCache>
            </c:strRef>
          </c:tx>
          <c:spPr>
            <a:solidFill>
              <a:srgbClr val="1F3A64"/>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PT4_RecruitmentSource'!$A$5:$A$14</c:f>
              <c:strCache>
                <c:ptCount val="9"/>
                <c:pt idx="0">
                  <c:v>Indeed</c:v>
                </c:pt>
                <c:pt idx="1">
                  <c:v>Linkedin</c:v>
                </c:pt>
                <c:pt idx="2">
                  <c:v>Google Search</c:v>
                </c:pt>
                <c:pt idx="3">
                  <c:v>Employee Ref</c:v>
                </c:pt>
                <c:pt idx="4">
                  <c:v>Diversity Fair</c:v>
                </c:pt>
                <c:pt idx="5">
                  <c:v>Careerbuilder</c:v>
                </c:pt>
                <c:pt idx="6">
                  <c:v>Website</c:v>
                </c:pt>
                <c:pt idx="7">
                  <c:v>Other</c:v>
                </c:pt>
                <c:pt idx="8">
                  <c:v>On-Line Web</c:v>
                </c:pt>
              </c:strCache>
            </c:strRef>
          </c:cat>
          <c:val>
            <c:numRef>
              <c:f>' PT4_RecruitmentSource'!$B$5:$B$14</c:f>
              <c:numCache>
                <c:formatCode>General</c:formatCode>
                <c:ptCount val="9"/>
                <c:pt idx="0">
                  <c:v>12</c:v>
                </c:pt>
                <c:pt idx="1">
                  <c:v>9</c:v>
                </c:pt>
                <c:pt idx="2">
                  <c:v>2</c:v>
                </c:pt>
                <c:pt idx="3">
                  <c:v>5</c:v>
                </c:pt>
                <c:pt idx="4">
                  <c:v>6</c:v>
                </c:pt>
                <c:pt idx="5">
                  <c:v>2</c:v>
                </c:pt>
                <c:pt idx="6">
                  <c:v>1</c:v>
                </c:pt>
              </c:numCache>
            </c:numRef>
          </c:val>
          <c:extLst>
            <c:ext xmlns:c16="http://schemas.microsoft.com/office/drawing/2014/chart" uri="{C3380CC4-5D6E-409C-BE32-E72D297353CC}">
              <c16:uniqueId val="{00000000-0C84-481C-9FB7-6840B31F2B72}"/>
            </c:ext>
          </c:extLst>
        </c:ser>
        <c:ser>
          <c:idx val="1"/>
          <c:order val="1"/>
          <c:tx>
            <c:strRef>
              <c:f>' PT4_RecruitmentSource'!$C$3:$C$4</c:f>
              <c:strCache>
                <c:ptCount val="1"/>
                <c:pt idx="0">
                  <c:v>Fully Meets</c:v>
                </c:pt>
              </c:strCache>
            </c:strRef>
          </c:tx>
          <c:spPr>
            <a:solidFill>
              <a:srgbClr val="216788"/>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PT4_RecruitmentSource'!$A$5:$A$14</c:f>
              <c:strCache>
                <c:ptCount val="9"/>
                <c:pt idx="0">
                  <c:v>Indeed</c:v>
                </c:pt>
                <c:pt idx="1">
                  <c:v>Linkedin</c:v>
                </c:pt>
                <c:pt idx="2">
                  <c:v>Google Search</c:v>
                </c:pt>
                <c:pt idx="3">
                  <c:v>Employee Ref</c:v>
                </c:pt>
                <c:pt idx="4">
                  <c:v>Diversity Fair</c:v>
                </c:pt>
                <c:pt idx="5">
                  <c:v>Careerbuilder</c:v>
                </c:pt>
                <c:pt idx="6">
                  <c:v>Website</c:v>
                </c:pt>
                <c:pt idx="7">
                  <c:v>Other</c:v>
                </c:pt>
                <c:pt idx="8">
                  <c:v>On-Line Web</c:v>
                </c:pt>
              </c:strCache>
            </c:strRef>
          </c:cat>
          <c:val>
            <c:numRef>
              <c:f>' PT4_RecruitmentSource'!$C$5:$C$14</c:f>
              <c:numCache>
                <c:formatCode>General</c:formatCode>
                <c:ptCount val="9"/>
                <c:pt idx="0">
                  <c:v>66</c:v>
                </c:pt>
                <c:pt idx="1">
                  <c:v>61</c:v>
                </c:pt>
                <c:pt idx="2">
                  <c:v>43</c:v>
                </c:pt>
                <c:pt idx="3">
                  <c:v>25</c:v>
                </c:pt>
                <c:pt idx="4">
                  <c:v>18</c:v>
                </c:pt>
                <c:pt idx="5">
                  <c:v>17</c:v>
                </c:pt>
                <c:pt idx="6">
                  <c:v>10</c:v>
                </c:pt>
                <c:pt idx="7">
                  <c:v>2</c:v>
                </c:pt>
                <c:pt idx="8">
                  <c:v>1</c:v>
                </c:pt>
              </c:numCache>
            </c:numRef>
          </c:val>
          <c:extLst>
            <c:ext xmlns:c16="http://schemas.microsoft.com/office/drawing/2014/chart" uri="{C3380CC4-5D6E-409C-BE32-E72D297353CC}">
              <c16:uniqueId val="{00000011-0C84-481C-9FB7-6840B31F2B72}"/>
            </c:ext>
          </c:extLst>
        </c:ser>
        <c:ser>
          <c:idx val="2"/>
          <c:order val="2"/>
          <c:tx>
            <c:strRef>
              <c:f>' PT4_RecruitmentSource'!$D$3:$D$4</c:f>
              <c:strCache>
                <c:ptCount val="1"/>
                <c:pt idx="0">
                  <c:v>Needs Improvement</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PT4_RecruitmentSource'!$A$5:$A$14</c:f>
              <c:strCache>
                <c:ptCount val="9"/>
                <c:pt idx="0">
                  <c:v>Indeed</c:v>
                </c:pt>
                <c:pt idx="1">
                  <c:v>Linkedin</c:v>
                </c:pt>
                <c:pt idx="2">
                  <c:v>Google Search</c:v>
                </c:pt>
                <c:pt idx="3">
                  <c:v>Employee Ref</c:v>
                </c:pt>
                <c:pt idx="4">
                  <c:v>Diversity Fair</c:v>
                </c:pt>
                <c:pt idx="5">
                  <c:v>Careerbuilder</c:v>
                </c:pt>
                <c:pt idx="6">
                  <c:v>Website</c:v>
                </c:pt>
                <c:pt idx="7">
                  <c:v>Other</c:v>
                </c:pt>
                <c:pt idx="8">
                  <c:v>On-Line Web</c:v>
                </c:pt>
              </c:strCache>
            </c:strRef>
          </c:cat>
          <c:val>
            <c:numRef>
              <c:f>' PT4_RecruitmentSource'!$D$5:$D$14</c:f>
              <c:numCache>
                <c:formatCode>General</c:formatCode>
                <c:ptCount val="9"/>
                <c:pt idx="0">
                  <c:v>4</c:v>
                </c:pt>
                <c:pt idx="1">
                  <c:v>3</c:v>
                </c:pt>
                <c:pt idx="2">
                  <c:v>3</c:v>
                </c:pt>
                <c:pt idx="4">
                  <c:v>4</c:v>
                </c:pt>
                <c:pt idx="5">
                  <c:v>4</c:v>
                </c:pt>
              </c:numCache>
            </c:numRef>
          </c:val>
          <c:extLst>
            <c:ext xmlns:c16="http://schemas.microsoft.com/office/drawing/2014/chart" uri="{C3380CC4-5D6E-409C-BE32-E72D297353CC}">
              <c16:uniqueId val="{00000012-0C84-481C-9FB7-6840B31F2B72}"/>
            </c:ext>
          </c:extLst>
        </c:ser>
        <c:ser>
          <c:idx val="3"/>
          <c:order val="3"/>
          <c:tx>
            <c:strRef>
              <c:f>' PT4_RecruitmentSource'!$E$3:$E$4</c:f>
              <c:strCache>
                <c:ptCount val="1"/>
                <c:pt idx="0">
                  <c:v>PIP</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PT4_RecruitmentSource'!$A$5:$A$14</c:f>
              <c:strCache>
                <c:ptCount val="9"/>
                <c:pt idx="0">
                  <c:v>Indeed</c:v>
                </c:pt>
                <c:pt idx="1">
                  <c:v>Linkedin</c:v>
                </c:pt>
                <c:pt idx="2">
                  <c:v>Google Search</c:v>
                </c:pt>
                <c:pt idx="3">
                  <c:v>Employee Ref</c:v>
                </c:pt>
                <c:pt idx="4">
                  <c:v>Diversity Fair</c:v>
                </c:pt>
                <c:pt idx="5">
                  <c:v>Careerbuilder</c:v>
                </c:pt>
                <c:pt idx="6">
                  <c:v>Website</c:v>
                </c:pt>
                <c:pt idx="7">
                  <c:v>Other</c:v>
                </c:pt>
                <c:pt idx="8">
                  <c:v>On-Line Web</c:v>
                </c:pt>
              </c:strCache>
            </c:strRef>
          </c:cat>
          <c:val>
            <c:numRef>
              <c:f>' PT4_RecruitmentSource'!$E$5:$E$14</c:f>
              <c:numCache>
                <c:formatCode>General</c:formatCode>
                <c:ptCount val="9"/>
                <c:pt idx="0">
                  <c:v>5</c:v>
                </c:pt>
                <c:pt idx="1">
                  <c:v>3</c:v>
                </c:pt>
                <c:pt idx="2">
                  <c:v>1</c:v>
                </c:pt>
                <c:pt idx="3">
                  <c:v>1</c:v>
                </c:pt>
                <c:pt idx="4">
                  <c:v>1</c:v>
                </c:pt>
                <c:pt idx="6">
                  <c:v>2</c:v>
                </c:pt>
              </c:numCache>
            </c:numRef>
          </c:val>
          <c:extLst>
            <c:ext xmlns:c16="http://schemas.microsoft.com/office/drawing/2014/chart" uri="{C3380CC4-5D6E-409C-BE32-E72D297353CC}">
              <c16:uniqueId val="{00000013-0C84-481C-9FB7-6840B31F2B72}"/>
            </c:ext>
          </c:extLst>
        </c:ser>
        <c:dLbls>
          <c:dLblPos val="outEnd"/>
          <c:showLegendKey val="0"/>
          <c:showVal val="1"/>
          <c:showCatName val="0"/>
          <c:showSerName val="0"/>
          <c:showPercent val="0"/>
          <c:showBubbleSize val="0"/>
        </c:dLbls>
        <c:gapWidth val="40"/>
        <c:overlap val="-27"/>
        <c:axId val="1935222656"/>
        <c:axId val="1935226976"/>
      </c:barChart>
      <c:catAx>
        <c:axId val="19352226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935226976"/>
        <c:crosses val="autoZero"/>
        <c:auto val="1"/>
        <c:lblAlgn val="ctr"/>
        <c:lblOffset val="100"/>
        <c:noMultiLvlLbl val="0"/>
      </c:catAx>
      <c:valAx>
        <c:axId val="1935226976"/>
        <c:scaling>
          <c:orientation val="minMax"/>
        </c:scaling>
        <c:delete val="1"/>
        <c:axPos val="l"/>
        <c:numFmt formatCode="General" sourceLinked="1"/>
        <c:majorTickMark val="none"/>
        <c:minorTickMark val="none"/>
        <c:tickLblPos val="nextTo"/>
        <c:crossAx val="1935222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[HR_Analytics_Dashboard.xlsx]PT5_SalaryByGender!PivotTable6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1400" b="1" i="0" u="none" strike="noStrike" kern="1200" spc="0" baseline="0">
                <a:solidFill>
                  <a:srgbClr val="1F3A64"/>
                </a:solidFill>
                <a:latin typeface="Calibri" panose="020F0502020204030204" pitchFamily="34" charset="0"/>
                <a:cs typeface="Calibri" panose="020F0502020204030204" pitchFamily="34" charset="0"/>
              </a:rPr>
              <a:t>Average Salary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rgbClr val="1F3A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77396"/>
          </a:solidFill>
          <a:ln>
            <a:noFill/>
          </a:ln>
          <a:effectLst/>
        </c:spPr>
      </c:pivotFmt>
      <c:pivotFmt>
        <c:idx val="2"/>
        <c:spPr>
          <a:solidFill>
            <a:srgbClr val="216788"/>
          </a:solidFill>
          <a:ln>
            <a:noFill/>
          </a:ln>
          <a:effectLst/>
        </c:spPr>
      </c:pivotFmt>
    </c:pivotFmts>
    <c:plotArea>
      <c:layout/>
      <c:barChart>
        <c:barDir val="col"/>
        <c:grouping val="clustered"/>
        <c:varyColors val="0"/>
        <c:ser>
          <c:idx val="0"/>
          <c:order val="0"/>
          <c:tx>
            <c:strRef>
              <c:f>PT5_SalaryByGender!$B$3</c:f>
              <c:strCache>
                <c:ptCount val="1"/>
                <c:pt idx="0">
                  <c:v>Total</c:v>
                </c:pt>
              </c:strCache>
            </c:strRef>
          </c:tx>
          <c:spPr>
            <a:solidFill>
              <a:srgbClr val="1F3A64"/>
            </a:solidFill>
            <a:ln>
              <a:noFill/>
            </a:ln>
            <a:effectLst/>
          </c:spPr>
          <c:invertIfNegative val="0"/>
          <c:dPt>
            <c:idx val="0"/>
            <c:invertIfNegative val="0"/>
            <c:bubble3D val="0"/>
            <c:spPr>
              <a:solidFill>
                <a:srgbClr val="277396"/>
              </a:solidFill>
              <a:ln>
                <a:noFill/>
              </a:ln>
              <a:effectLst/>
            </c:spPr>
            <c:extLst>
              <c:ext xmlns:c16="http://schemas.microsoft.com/office/drawing/2014/chart" uri="{C3380CC4-5D6E-409C-BE32-E72D297353CC}">
                <c16:uniqueId val="{00000002-9052-4080-84E4-EEA9AD4F62D7}"/>
              </c:ext>
            </c:extLst>
          </c:dPt>
          <c:dPt>
            <c:idx val="1"/>
            <c:invertIfNegative val="0"/>
            <c:bubble3D val="0"/>
            <c:spPr>
              <a:solidFill>
                <a:srgbClr val="216788"/>
              </a:solidFill>
              <a:ln>
                <a:noFill/>
              </a:ln>
              <a:effectLst/>
            </c:spPr>
            <c:extLst>
              <c:ext xmlns:c16="http://schemas.microsoft.com/office/drawing/2014/chart" uri="{C3380CC4-5D6E-409C-BE32-E72D297353CC}">
                <c16:uniqueId val="{00000003-9052-4080-84E4-EEA9AD4F62D7}"/>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PT5_SalaryByGender!$A$4:$A$6</c:f>
              <c:strCache>
                <c:ptCount val="2"/>
                <c:pt idx="0">
                  <c:v>Female</c:v>
                </c:pt>
                <c:pt idx="1">
                  <c:v>Male</c:v>
                </c:pt>
              </c:strCache>
            </c:strRef>
          </c:cat>
          <c:val>
            <c:numRef>
              <c:f>PT5_SalaryByGender!$B$4:$B$6</c:f>
              <c:numCache>
                <c:formatCode>"$"#,##0</c:formatCode>
                <c:ptCount val="2"/>
                <c:pt idx="0">
                  <c:v>67786.727272727279</c:v>
                </c:pt>
                <c:pt idx="1">
                  <c:v>70629.399999999994</c:v>
                </c:pt>
              </c:numCache>
            </c:numRef>
          </c:val>
          <c:extLst>
            <c:ext xmlns:c16="http://schemas.microsoft.com/office/drawing/2014/chart" uri="{C3380CC4-5D6E-409C-BE32-E72D297353CC}">
              <c16:uniqueId val="{00000000-9052-4080-84E4-EEA9AD4F62D7}"/>
            </c:ext>
          </c:extLst>
        </c:ser>
        <c:dLbls>
          <c:dLblPos val="outEnd"/>
          <c:showLegendKey val="0"/>
          <c:showVal val="1"/>
          <c:showCatName val="0"/>
          <c:showSerName val="0"/>
          <c:showPercent val="0"/>
          <c:showBubbleSize val="0"/>
        </c:dLbls>
        <c:gapWidth val="50"/>
        <c:overlap val="-27"/>
        <c:axId val="1392622992"/>
        <c:axId val="1392606672"/>
      </c:barChart>
      <c:catAx>
        <c:axId val="13926229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392606672"/>
        <c:crosses val="autoZero"/>
        <c:auto val="1"/>
        <c:lblAlgn val="ctr"/>
        <c:lblOffset val="100"/>
        <c:noMultiLvlLbl val="0"/>
      </c:catAx>
      <c:valAx>
        <c:axId val="1392606672"/>
        <c:scaling>
          <c:orientation val="minMax"/>
        </c:scaling>
        <c:delete val="1"/>
        <c:axPos val="l"/>
        <c:numFmt formatCode="&quot;$&quot;#,##0" sourceLinked="1"/>
        <c:majorTickMark val="none"/>
        <c:minorTickMark val="none"/>
        <c:tickLblPos val="nextTo"/>
        <c:crossAx val="139262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[HR_Analytics_Dashboard.xlsx]PT6_AgeGroupEngagement!PivotTable9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1F3A64"/>
                </a:solidFill>
                <a:latin typeface="Calibri" panose="020F0502020204030204" pitchFamily="34" charset="0"/>
                <a:cs typeface="Calibri" panose="020F0502020204030204" pitchFamily="34" charset="0"/>
              </a:rPr>
              <a:t>Average Tenure of Terminated Employees by Department</a:t>
            </a:r>
            <a:endParaRPr lang="en-US" b="1">
              <a:solidFill>
                <a:srgbClr val="1F3A64"/>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167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PT6_AgeGroupEngagement!$F$18</c:f>
              <c:strCache>
                <c:ptCount val="1"/>
                <c:pt idx="0">
                  <c:v>Total</c:v>
                </c:pt>
              </c:strCache>
            </c:strRef>
          </c:tx>
          <c:spPr>
            <a:solidFill>
              <a:srgbClr val="21678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PT6_AgeGroupEngagement!$E$19:$E$24</c:f>
              <c:strCache>
                <c:ptCount val="5"/>
                <c:pt idx="0">
                  <c:v>Software Engineering</c:v>
                </c:pt>
                <c:pt idx="1">
                  <c:v>Production</c:v>
                </c:pt>
                <c:pt idx="2">
                  <c:v>Sales</c:v>
                </c:pt>
                <c:pt idx="3">
                  <c:v>It/Is</c:v>
                </c:pt>
                <c:pt idx="4">
                  <c:v>Admin Offices</c:v>
                </c:pt>
              </c:strCache>
            </c:strRef>
          </c:cat>
          <c:val>
            <c:numRef>
              <c:f>PT6_AgeGroupEngagement!$F$19:$F$24</c:f>
              <c:numCache>
                <c:formatCode>0.0</c:formatCode>
                <c:ptCount val="5"/>
                <c:pt idx="0">
                  <c:v>3.75</c:v>
                </c:pt>
                <c:pt idx="1">
                  <c:v>3.7228915662650603</c:v>
                </c:pt>
                <c:pt idx="2">
                  <c:v>2.4</c:v>
                </c:pt>
                <c:pt idx="3">
                  <c:v>1.7</c:v>
                </c:pt>
                <c:pt idx="4">
                  <c:v>1</c:v>
                </c:pt>
              </c:numCache>
            </c:numRef>
          </c:val>
          <c:extLst>
            <c:ext xmlns:c16="http://schemas.microsoft.com/office/drawing/2014/chart" uri="{C3380CC4-5D6E-409C-BE32-E72D297353CC}">
              <c16:uniqueId val="{00000000-6950-4D98-8520-86803DE3314F}"/>
            </c:ext>
          </c:extLst>
        </c:ser>
        <c:dLbls>
          <c:dLblPos val="outEnd"/>
          <c:showLegendKey val="0"/>
          <c:showVal val="1"/>
          <c:showCatName val="0"/>
          <c:showSerName val="0"/>
          <c:showPercent val="0"/>
          <c:showBubbleSize val="0"/>
        </c:dLbls>
        <c:gapWidth val="40"/>
        <c:axId val="1982141120"/>
        <c:axId val="1982130560"/>
      </c:barChart>
      <c:catAx>
        <c:axId val="19821411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82130560"/>
        <c:crosses val="autoZero"/>
        <c:auto val="1"/>
        <c:lblAlgn val="ctr"/>
        <c:lblOffset val="100"/>
        <c:noMultiLvlLbl val="0"/>
      </c:catAx>
      <c:valAx>
        <c:axId val="1982130560"/>
        <c:scaling>
          <c:orientation val="minMax"/>
        </c:scaling>
        <c:delete val="1"/>
        <c:axPos val="t"/>
        <c:numFmt formatCode="0.0" sourceLinked="1"/>
        <c:majorTickMark val="none"/>
        <c:minorTickMark val="none"/>
        <c:tickLblPos val="nextTo"/>
        <c:crossAx val="198214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[HR_Analytics_Dashboard.xlsx]PT1_TurnoverByDept1!PivotTable2</c:name>
    <c:fmtId val="5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1400" b="1" i="0" u="none" strike="noStrike" baseline="0">
                <a:solidFill>
                  <a:srgbClr val="1F3A64"/>
                </a:solidFill>
                <a:latin typeface="Calibri" panose="020F0502020204030204" pitchFamily="34" charset="0"/>
                <a:cs typeface="Calibri" panose="020F0502020204030204" pitchFamily="34" charset="0"/>
              </a:rPr>
              <a:t>Employee Turnover Rate by Department</a:t>
            </a:r>
            <a:endParaRPr lang="en-US" sz="1400" b="1">
              <a:solidFill>
                <a:srgbClr val="1F3A64"/>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rgbClr val="2167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167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167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PT1_TurnoverByDept1!$B$3</c:f>
              <c:strCache>
                <c:ptCount val="1"/>
                <c:pt idx="0">
                  <c:v>Total</c:v>
                </c:pt>
              </c:strCache>
            </c:strRef>
          </c:tx>
          <c:spPr>
            <a:solidFill>
              <a:srgbClr val="21678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PT1_TurnoverByDept1!$A$4:$A$10</c:f>
              <c:strCache>
                <c:ptCount val="6"/>
                <c:pt idx="0">
                  <c:v>Production</c:v>
                </c:pt>
                <c:pt idx="1">
                  <c:v>Software Engineering</c:v>
                </c:pt>
                <c:pt idx="2">
                  <c:v>Admin Offices</c:v>
                </c:pt>
                <c:pt idx="3">
                  <c:v>It/Is</c:v>
                </c:pt>
                <c:pt idx="4">
                  <c:v>Sales</c:v>
                </c:pt>
                <c:pt idx="5">
                  <c:v>Executive Office</c:v>
                </c:pt>
              </c:strCache>
            </c:strRef>
          </c:cat>
          <c:val>
            <c:numRef>
              <c:f>PT1_TurnoverByDept1!$B$4:$B$10</c:f>
              <c:numCache>
                <c:formatCode>0.0%</c:formatCode>
                <c:ptCount val="6"/>
                <c:pt idx="0">
                  <c:v>0.39712918660287083</c:v>
                </c:pt>
                <c:pt idx="1">
                  <c:v>0.36363636363636365</c:v>
                </c:pt>
                <c:pt idx="2">
                  <c:v>0.22222222222222221</c:v>
                </c:pt>
                <c:pt idx="3">
                  <c:v>0.2</c:v>
                </c:pt>
                <c:pt idx="4">
                  <c:v>0.16129032258064516</c:v>
                </c:pt>
                <c:pt idx="5">
                  <c:v>0</c:v>
                </c:pt>
              </c:numCache>
            </c:numRef>
          </c:val>
          <c:extLst>
            <c:ext xmlns:c16="http://schemas.microsoft.com/office/drawing/2014/chart" uri="{C3380CC4-5D6E-409C-BE32-E72D297353CC}">
              <c16:uniqueId val="{00000000-2964-498C-BFA4-DC4D3177FE27}"/>
            </c:ext>
          </c:extLst>
        </c:ser>
        <c:dLbls>
          <c:dLblPos val="outEnd"/>
          <c:showLegendKey val="0"/>
          <c:showVal val="1"/>
          <c:showCatName val="0"/>
          <c:showSerName val="0"/>
          <c:showPercent val="0"/>
          <c:showBubbleSize val="0"/>
        </c:dLbls>
        <c:gapWidth val="30"/>
        <c:axId val="1986543920"/>
        <c:axId val="1986540080"/>
      </c:barChart>
      <c:catAx>
        <c:axId val="1986543920"/>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986540080"/>
        <c:crosses val="autoZero"/>
        <c:auto val="1"/>
        <c:lblAlgn val="ctr"/>
        <c:lblOffset val="100"/>
        <c:noMultiLvlLbl val="0"/>
      </c:catAx>
      <c:valAx>
        <c:axId val="1986540080"/>
        <c:scaling>
          <c:orientation val="minMax"/>
        </c:scaling>
        <c:delete val="1"/>
        <c:axPos val="t"/>
        <c:numFmt formatCode="0.0%" sourceLinked="1"/>
        <c:majorTickMark val="none"/>
        <c:minorTickMark val="none"/>
        <c:tickLblPos val="nextTo"/>
        <c:crossAx val="198654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[HR_Analytics_Dashboard.xlsx]PT2_TerminationTrend!PivotTable3</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1400" b="1" i="0" u="none" strike="noStrike" baseline="0">
                <a:solidFill>
                  <a:srgbClr val="1F3A64"/>
                </a:solidFill>
                <a:latin typeface="Calibri" panose="020F0502020204030204" pitchFamily="34" charset="0"/>
                <a:cs typeface="Calibri" panose="020F0502020204030204" pitchFamily="34" charset="0"/>
              </a:rPr>
              <a:t>Employee Terminations by Year</a:t>
            </a:r>
            <a:endParaRPr lang="en-US" sz="1400" b="1" i="0" u="none" strike="noStrike" kern="1200" spc="0" baseline="0">
              <a:solidFill>
                <a:srgbClr val="1F3A64"/>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w="38100" cap="rnd">
            <a:solidFill>
              <a:srgbClr val="27739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rgbClr val="277396"/>
            </a:solidFill>
            <a:round/>
          </a:ln>
          <a:effectLst/>
        </c:spPr>
        <c:marker>
          <c:symbol val="circle"/>
          <c:size val="5"/>
          <c:spPr>
            <a:solidFill>
              <a:srgbClr val="C00000"/>
            </a:solidFill>
            <a:ln w="9525">
              <a:solidFill>
                <a:schemeClr val="accent1"/>
              </a:solidFill>
            </a:ln>
            <a:effectLst/>
          </c:spPr>
        </c:marker>
      </c:pivotFmt>
      <c:pivotFmt>
        <c:idx val="2"/>
        <c:spPr>
          <a:solidFill>
            <a:schemeClr val="accent1"/>
          </a:solidFill>
          <a:ln w="38100" cap="rnd">
            <a:solidFill>
              <a:srgbClr val="27739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rgbClr val="277396"/>
            </a:solidFill>
            <a:round/>
          </a:ln>
          <a:effectLst/>
        </c:spPr>
        <c:marker>
          <c:symbol val="circle"/>
          <c:size val="5"/>
          <c:spPr>
            <a:solidFill>
              <a:srgbClr val="C00000"/>
            </a:solidFill>
            <a:ln w="9525">
              <a:solidFill>
                <a:schemeClr val="accent1"/>
              </a:solidFill>
            </a:ln>
            <a:effectLst/>
          </c:spPr>
        </c:marker>
      </c:pivotFmt>
      <c:pivotFmt>
        <c:idx val="4"/>
        <c:spPr>
          <a:ln w="38100" cap="rnd">
            <a:solidFill>
              <a:srgbClr val="27739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rgbClr val="277396"/>
            </a:solidFill>
            <a:round/>
          </a:ln>
          <a:effectLst/>
        </c:spPr>
        <c:marker>
          <c:symbol val="circle"/>
          <c:size val="5"/>
          <c:spPr>
            <a:solidFill>
              <a:srgbClr val="C00000"/>
            </a:solidFill>
            <a:ln w="9525">
              <a:solidFill>
                <a:schemeClr val="accent1"/>
              </a:solidFill>
            </a:ln>
            <a:effectLst/>
          </c:spPr>
        </c:marker>
      </c:pivotFmt>
    </c:pivotFmts>
    <c:plotArea>
      <c:layout/>
      <c:lineChart>
        <c:grouping val="standard"/>
        <c:varyColors val="0"/>
        <c:ser>
          <c:idx val="0"/>
          <c:order val="0"/>
          <c:tx>
            <c:strRef>
              <c:f>PT2_TerminationTrend!$B$3</c:f>
              <c:strCache>
                <c:ptCount val="1"/>
                <c:pt idx="0">
                  <c:v>Total</c:v>
                </c:pt>
              </c:strCache>
            </c:strRef>
          </c:tx>
          <c:spPr>
            <a:ln w="38100" cap="rnd">
              <a:solidFill>
                <a:srgbClr val="277396"/>
              </a:solidFill>
              <a:round/>
            </a:ln>
            <a:effectLst/>
          </c:spPr>
          <c:marker>
            <c:symbol val="none"/>
          </c:marker>
          <c:dPt>
            <c:idx val="5"/>
            <c:marker>
              <c:symbol val="circle"/>
              <c:size val="5"/>
              <c:spPr>
                <a:solidFill>
                  <a:srgbClr val="C00000"/>
                </a:solidFill>
                <a:ln w="9525">
                  <a:solidFill>
                    <a:schemeClr val="accent1"/>
                  </a:solidFill>
                </a:ln>
                <a:effectLst/>
              </c:spPr>
            </c:marker>
            <c:bubble3D val="0"/>
            <c:extLst>
              <c:ext xmlns:c16="http://schemas.microsoft.com/office/drawing/2014/chart" uri="{C3380CC4-5D6E-409C-BE32-E72D297353CC}">
                <c16:uniqueId val="{00000000-C930-4F2B-8A0B-B167DEDDC024}"/>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PT2_TerminationTrend!$A$4:$A$13</c:f>
              <c:strCache>
                <c:ptCount val="9"/>
                <c:pt idx="0">
                  <c:v>2010</c:v>
                </c:pt>
                <c:pt idx="1">
                  <c:v>2011</c:v>
                </c:pt>
                <c:pt idx="2">
                  <c:v>2012</c:v>
                </c:pt>
                <c:pt idx="3">
                  <c:v>2013</c:v>
                </c:pt>
                <c:pt idx="4">
                  <c:v>2014</c:v>
                </c:pt>
                <c:pt idx="5">
                  <c:v>2015</c:v>
                </c:pt>
                <c:pt idx="6">
                  <c:v>2016</c:v>
                </c:pt>
                <c:pt idx="7">
                  <c:v>2017</c:v>
                </c:pt>
                <c:pt idx="8">
                  <c:v>2018</c:v>
                </c:pt>
              </c:strCache>
            </c:strRef>
          </c:cat>
          <c:val>
            <c:numRef>
              <c:f>PT2_TerminationTrend!$B$4:$B$13</c:f>
              <c:numCache>
                <c:formatCode>General</c:formatCode>
                <c:ptCount val="9"/>
                <c:pt idx="0">
                  <c:v>1</c:v>
                </c:pt>
                <c:pt idx="1">
                  <c:v>3</c:v>
                </c:pt>
                <c:pt idx="2">
                  <c:v>8</c:v>
                </c:pt>
                <c:pt idx="3">
                  <c:v>13</c:v>
                </c:pt>
                <c:pt idx="4">
                  <c:v>13</c:v>
                </c:pt>
                <c:pt idx="5">
                  <c:v>23</c:v>
                </c:pt>
                <c:pt idx="6">
                  <c:v>22</c:v>
                </c:pt>
                <c:pt idx="7">
                  <c:v>8</c:v>
                </c:pt>
                <c:pt idx="8">
                  <c:v>13</c:v>
                </c:pt>
              </c:numCache>
            </c:numRef>
          </c:val>
          <c:smooth val="0"/>
          <c:extLst>
            <c:ext xmlns:c16="http://schemas.microsoft.com/office/drawing/2014/chart" uri="{C3380CC4-5D6E-409C-BE32-E72D297353CC}">
              <c16:uniqueId val="{00000001-C930-4F2B-8A0B-B167DEDDC024}"/>
            </c:ext>
          </c:extLst>
        </c:ser>
        <c:dLbls>
          <c:dLblPos val="t"/>
          <c:showLegendKey val="0"/>
          <c:showVal val="1"/>
          <c:showCatName val="0"/>
          <c:showSerName val="0"/>
          <c:showPercent val="0"/>
          <c:showBubbleSize val="0"/>
        </c:dLbls>
        <c:smooth val="0"/>
        <c:axId val="507589632"/>
        <c:axId val="507590112"/>
      </c:lineChart>
      <c:catAx>
        <c:axId val="5075896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507590112"/>
        <c:crosses val="autoZero"/>
        <c:auto val="1"/>
        <c:lblAlgn val="ctr"/>
        <c:lblOffset val="100"/>
        <c:noMultiLvlLbl val="0"/>
      </c:catAx>
      <c:valAx>
        <c:axId val="507590112"/>
        <c:scaling>
          <c:orientation val="minMax"/>
        </c:scaling>
        <c:delete val="1"/>
        <c:axPos val="l"/>
        <c:numFmt formatCode="General" sourceLinked="1"/>
        <c:majorTickMark val="none"/>
        <c:minorTickMark val="none"/>
        <c:tickLblPos val="nextTo"/>
        <c:crossAx val="50758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[HR_Analytics_Dashboard.xlsx]PT3_TenureByPerformance!PivotTable4</c:name>
    <c:fmtId val="19"/>
  </c:pivotSource>
  <c:chart>
    <c:title>
      <c:tx>
        <c:rich>
          <a:bodyPr rot="0" spcFirstLastPara="1" vertOverflow="ellipsis" vert="horz" wrap="square" anchor="ctr" anchorCtr="1"/>
          <a:lstStyle/>
          <a:p>
            <a:pPr>
              <a:defRPr sz="1400" b="1" i="0" u="none" strike="noStrike" kern="1200" spc="0" baseline="0">
                <a:solidFill>
                  <a:srgbClr val="1F3A64"/>
                </a:solidFill>
                <a:latin typeface="Calibri" panose="020F0502020204030204" pitchFamily="34" charset="0"/>
                <a:ea typeface="+mn-ea"/>
                <a:cs typeface="Calibri" panose="020F0502020204030204" pitchFamily="34" charset="0"/>
              </a:defRPr>
            </a:pPr>
            <a:r>
              <a:rPr lang="en-US" sz="1400" b="1" i="0" u="none" strike="noStrike" baseline="0">
                <a:solidFill>
                  <a:srgbClr val="1F3A64"/>
                </a:solidFill>
                <a:latin typeface="Calibri" panose="020F0502020204030204" pitchFamily="34" charset="0"/>
                <a:cs typeface="Calibri" panose="020F0502020204030204" pitchFamily="34" charset="0"/>
              </a:rPr>
              <a:t>Average Employee Tenure by Performance Rating</a:t>
            </a:r>
            <a:endParaRPr lang="en-US" sz="1400" b="1" i="0" u="none" strike="noStrike" kern="1200" spc="0" baseline="0">
              <a:solidFill>
                <a:srgbClr val="1F3A64"/>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3A64"/>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rgbClr val="27739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7739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7739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PT3_TenureByPerformance!$B$3</c:f>
              <c:strCache>
                <c:ptCount val="1"/>
                <c:pt idx="0">
                  <c:v>Total</c:v>
                </c:pt>
              </c:strCache>
            </c:strRef>
          </c:tx>
          <c:spPr>
            <a:solidFill>
              <a:srgbClr val="27739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PT3_TenureByPerformance!$A$4:$A$8</c:f>
              <c:strCache>
                <c:ptCount val="4"/>
                <c:pt idx="0">
                  <c:v>Exceeds</c:v>
                </c:pt>
                <c:pt idx="1">
                  <c:v>Fully Meets</c:v>
                </c:pt>
                <c:pt idx="2">
                  <c:v>Needs Improvement</c:v>
                </c:pt>
                <c:pt idx="3">
                  <c:v>PIP</c:v>
                </c:pt>
              </c:strCache>
            </c:strRef>
          </c:cat>
          <c:val>
            <c:numRef>
              <c:f>PT3_TenureByPerformance!$B$4:$B$8</c:f>
              <c:numCache>
                <c:formatCode>0.0</c:formatCode>
                <c:ptCount val="4"/>
                <c:pt idx="0">
                  <c:v>6.1621621621621623</c:v>
                </c:pt>
                <c:pt idx="1">
                  <c:v>5.2345679012345681</c:v>
                </c:pt>
                <c:pt idx="2">
                  <c:v>5.2222222222222223</c:v>
                </c:pt>
                <c:pt idx="3">
                  <c:v>4.9230769230769234</c:v>
                </c:pt>
              </c:numCache>
            </c:numRef>
          </c:val>
          <c:extLst>
            <c:ext xmlns:c16="http://schemas.microsoft.com/office/drawing/2014/chart" uri="{C3380CC4-5D6E-409C-BE32-E72D297353CC}">
              <c16:uniqueId val="{00000000-6222-422A-BF9A-DCAACC173C28}"/>
            </c:ext>
          </c:extLst>
        </c:ser>
        <c:dLbls>
          <c:dLblPos val="outEnd"/>
          <c:showLegendKey val="0"/>
          <c:showVal val="1"/>
          <c:showCatName val="0"/>
          <c:showSerName val="0"/>
          <c:showPercent val="0"/>
          <c:showBubbleSize val="0"/>
        </c:dLbls>
        <c:gapWidth val="30"/>
        <c:overlap val="-27"/>
        <c:axId val="484812288"/>
        <c:axId val="484807968"/>
      </c:barChart>
      <c:catAx>
        <c:axId val="48481228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484807968"/>
        <c:crosses val="autoZero"/>
        <c:auto val="1"/>
        <c:lblAlgn val="ctr"/>
        <c:lblOffset val="100"/>
        <c:noMultiLvlLbl val="0"/>
      </c:catAx>
      <c:valAx>
        <c:axId val="484807968"/>
        <c:scaling>
          <c:orientation val="minMax"/>
        </c:scaling>
        <c:delete val="1"/>
        <c:axPos val="l"/>
        <c:numFmt formatCode="0.0" sourceLinked="1"/>
        <c:majorTickMark val="none"/>
        <c:minorTickMark val="none"/>
        <c:tickLblPos val="nextTo"/>
        <c:crossAx val="48481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 PT4_RecruitmentSource!PivotTable5</c:name>
    <c:fmtId val="27"/>
  </c:pivotSource>
  <c:chart>
    <c:title>
      <c:tx>
        <c:rich>
          <a:bodyPr rot="0" spcFirstLastPara="1" vertOverflow="ellipsis" vert="horz" wrap="square" anchor="ctr" anchorCtr="1"/>
          <a:lstStyle/>
          <a:p>
            <a:pPr>
              <a:defRPr sz="1400" b="1" i="0" u="none" strike="noStrike" kern="1200" spc="0" baseline="0">
                <a:solidFill>
                  <a:srgbClr val="1F3A64"/>
                </a:solidFill>
                <a:latin typeface="Calibri" panose="020F0502020204030204" pitchFamily="34" charset="0"/>
                <a:ea typeface="+mn-ea"/>
                <a:cs typeface="Calibri" panose="020F0502020204030204" pitchFamily="34" charset="0"/>
              </a:defRPr>
            </a:pPr>
            <a:r>
              <a:rPr lang="en-US" b="1">
                <a:solidFill>
                  <a:srgbClr val="1F3A64"/>
                </a:solidFill>
              </a:rPr>
              <a:t>Recruitment Sources: Hires and Performance Ratings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F3A64"/>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rgbClr val="216788"/>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16788"/>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16788"/>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F3A64"/>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096385542168676E-2"/>
          <c:y val="0.25178010471204187"/>
          <c:w val="0.95180722891566261"/>
          <c:h val="0.30565774827884734"/>
        </c:manualLayout>
      </c:layout>
      <c:barChart>
        <c:barDir val="col"/>
        <c:grouping val="clustered"/>
        <c:varyColors val="0"/>
        <c:ser>
          <c:idx val="0"/>
          <c:order val="0"/>
          <c:tx>
            <c:strRef>
              <c:f>' PT4_RecruitmentSource'!$B$3:$B$4</c:f>
              <c:strCache>
                <c:ptCount val="1"/>
                <c:pt idx="0">
                  <c:v>Exceeds</c:v>
                </c:pt>
              </c:strCache>
            </c:strRef>
          </c:tx>
          <c:spPr>
            <a:solidFill>
              <a:srgbClr val="216788"/>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PT4_RecruitmentSource'!$A$5:$A$14</c:f>
              <c:strCache>
                <c:ptCount val="9"/>
                <c:pt idx="0">
                  <c:v>Indeed</c:v>
                </c:pt>
                <c:pt idx="1">
                  <c:v>Linkedin</c:v>
                </c:pt>
                <c:pt idx="2">
                  <c:v>Google Search</c:v>
                </c:pt>
                <c:pt idx="3">
                  <c:v>Employee Ref</c:v>
                </c:pt>
                <c:pt idx="4">
                  <c:v>Diversity Fair</c:v>
                </c:pt>
                <c:pt idx="5">
                  <c:v>Careerbuilder</c:v>
                </c:pt>
                <c:pt idx="6">
                  <c:v>Website</c:v>
                </c:pt>
                <c:pt idx="7">
                  <c:v>Other</c:v>
                </c:pt>
                <c:pt idx="8">
                  <c:v>On-Line Web</c:v>
                </c:pt>
              </c:strCache>
            </c:strRef>
          </c:cat>
          <c:val>
            <c:numRef>
              <c:f>' PT4_RecruitmentSource'!$B$5:$B$14</c:f>
              <c:numCache>
                <c:formatCode>General</c:formatCode>
                <c:ptCount val="9"/>
                <c:pt idx="0">
                  <c:v>12</c:v>
                </c:pt>
                <c:pt idx="1">
                  <c:v>9</c:v>
                </c:pt>
                <c:pt idx="2">
                  <c:v>2</c:v>
                </c:pt>
                <c:pt idx="3">
                  <c:v>5</c:v>
                </c:pt>
                <c:pt idx="4">
                  <c:v>6</c:v>
                </c:pt>
                <c:pt idx="5">
                  <c:v>2</c:v>
                </c:pt>
                <c:pt idx="6">
                  <c:v>1</c:v>
                </c:pt>
              </c:numCache>
            </c:numRef>
          </c:val>
          <c:extLst>
            <c:ext xmlns:c16="http://schemas.microsoft.com/office/drawing/2014/chart" uri="{C3380CC4-5D6E-409C-BE32-E72D297353CC}">
              <c16:uniqueId val="{00000000-DA94-48D8-83C6-4E0510E5FC7C}"/>
            </c:ext>
          </c:extLst>
        </c:ser>
        <c:ser>
          <c:idx val="1"/>
          <c:order val="1"/>
          <c:tx>
            <c:strRef>
              <c:f>' PT4_RecruitmentSource'!$C$3:$C$4</c:f>
              <c:strCache>
                <c:ptCount val="1"/>
                <c:pt idx="0">
                  <c:v>Fully Meets</c:v>
                </c:pt>
              </c:strCache>
            </c:strRef>
          </c:tx>
          <c:spPr>
            <a:solidFill>
              <a:srgbClr val="1F3A64"/>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PT4_RecruitmentSource'!$A$5:$A$14</c:f>
              <c:strCache>
                <c:ptCount val="9"/>
                <c:pt idx="0">
                  <c:v>Indeed</c:v>
                </c:pt>
                <c:pt idx="1">
                  <c:v>Linkedin</c:v>
                </c:pt>
                <c:pt idx="2">
                  <c:v>Google Search</c:v>
                </c:pt>
                <c:pt idx="3">
                  <c:v>Employee Ref</c:v>
                </c:pt>
                <c:pt idx="4">
                  <c:v>Diversity Fair</c:v>
                </c:pt>
                <c:pt idx="5">
                  <c:v>Careerbuilder</c:v>
                </c:pt>
                <c:pt idx="6">
                  <c:v>Website</c:v>
                </c:pt>
                <c:pt idx="7">
                  <c:v>Other</c:v>
                </c:pt>
                <c:pt idx="8">
                  <c:v>On-Line Web</c:v>
                </c:pt>
              </c:strCache>
            </c:strRef>
          </c:cat>
          <c:val>
            <c:numRef>
              <c:f>' PT4_RecruitmentSource'!$C$5:$C$14</c:f>
              <c:numCache>
                <c:formatCode>General</c:formatCode>
                <c:ptCount val="9"/>
                <c:pt idx="0">
                  <c:v>66</c:v>
                </c:pt>
                <c:pt idx="1">
                  <c:v>61</c:v>
                </c:pt>
                <c:pt idx="2">
                  <c:v>43</c:v>
                </c:pt>
                <c:pt idx="3">
                  <c:v>25</c:v>
                </c:pt>
                <c:pt idx="4">
                  <c:v>18</c:v>
                </c:pt>
                <c:pt idx="5">
                  <c:v>17</c:v>
                </c:pt>
                <c:pt idx="6">
                  <c:v>10</c:v>
                </c:pt>
                <c:pt idx="7">
                  <c:v>2</c:v>
                </c:pt>
                <c:pt idx="8">
                  <c:v>1</c:v>
                </c:pt>
              </c:numCache>
            </c:numRef>
          </c:val>
          <c:extLst>
            <c:ext xmlns:c16="http://schemas.microsoft.com/office/drawing/2014/chart" uri="{C3380CC4-5D6E-409C-BE32-E72D297353CC}">
              <c16:uniqueId val="{00000001-DA94-48D8-83C6-4E0510E5FC7C}"/>
            </c:ext>
          </c:extLst>
        </c:ser>
        <c:ser>
          <c:idx val="2"/>
          <c:order val="2"/>
          <c:tx>
            <c:strRef>
              <c:f>' PT4_RecruitmentSource'!$D$3:$D$4</c:f>
              <c:strCache>
                <c:ptCount val="1"/>
                <c:pt idx="0">
                  <c:v>Needs Improvement</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PT4_RecruitmentSource'!$A$5:$A$14</c:f>
              <c:strCache>
                <c:ptCount val="9"/>
                <c:pt idx="0">
                  <c:v>Indeed</c:v>
                </c:pt>
                <c:pt idx="1">
                  <c:v>Linkedin</c:v>
                </c:pt>
                <c:pt idx="2">
                  <c:v>Google Search</c:v>
                </c:pt>
                <c:pt idx="3">
                  <c:v>Employee Ref</c:v>
                </c:pt>
                <c:pt idx="4">
                  <c:v>Diversity Fair</c:v>
                </c:pt>
                <c:pt idx="5">
                  <c:v>Careerbuilder</c:v>
                </c:pt>
                <c:pt idx="6">
                  <c:v>Website</c:v>
                </c:pt>
                <c:pt idx="7">
                  <c:v>Other</c:v>
                </c:pt>
                <c:pt idx="8">
                  <c:v>On-Line Web</c:v>
                </c:pt>
              </c:strCache>
            </c:strRef>
          </c:cat>
          <c:val>
            <c:numRef>
              <c:f>' PT4_RecruitmentSource'!$D$5:$D$14</c:f>
              <c:numCache>
                <c:formatCode>General</c:formatCode>
                <c:ptCount val="9"/>
                <c:pt idx="0">
                  <c:v>4</c:v>
                </c:pt>
                <c:pt idx="1">
                  <c:v>3</c:v>
                </c:pt>
                <c:pt idx="2">
                  <c:v>3</c:v>
                </c:pt>
                <c:pt idx="4">
                  <c:v>4</c:v>
                </c:pt>
                <c:pt idx="5">
                  <c:v>4</c:v>
                </c:pt>
              </c:numCache>
            </c:numRef>
          </c:val>
          <c:extLst>
            <c:ext xmlns:c16="http://schemas.microsoft.com/office/drawing/2014/chart" uri="{C3380CC4-5D6E-409C-BE32-E72D297353CC}">
              <c16:uniqueId val="{00000002-DA94-48D8-83C6-4E0510E5FC7C}"/>
            </c:ext>
          </c:extLst>
        </c:ser>
        <c:ser>
          <c:idx val="3"/>
          <c:order val="3"/>
          <c:tx>
            <c:strRef>
              <c:f>' PT4_RecruitmentSource'!$E$3:$E$4</c:f>
              <c:strCache>
                <c:ptCount val="1"/>
                <c:pt idx="0">
                  <c:v>PIP</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PT4_RecruitmentSource'!$A$5:$A$14</c:f>
              <c:strCache>
                <c:ptCount val="9"/>
                <c:pt idx="0">
                  <c:v>Indeed</c:v>
                </c:pt>
                <c:pt idx="1">
                  <c:v>Linkedin</c:v>
                </c:pt>
                <c:pt idx="2">
                  <c:v>Google Search</c:v>
                </c:pt>
                <c:pt idx="3">
                  <c:v>Employee Ref</c:v>
                </c:pt>
                <c:pt idx="4">
                  <c:v>Diversity Fair</c:v>
                </c:pt>
                <c:pt idx="5">
                  <c:v>Careerbuilder</c:v>
                </c:pt>
                <c:pt idx="6">
                  <c:v>Website</c:v>
                </c:pt>
                <c:pt idx="7">
                  <c:v>Other</c:v>
                </c:pt>
                <c:pt idx="8">
                  <c:v>On-Line Web</c:v>
                </c:pt>
              </c:strCache>
            </c:strRef>
          </c:cat>
          <c:val>
            <c:numRef>
              <c:f>' PT4_RecruitmentSource'!$E$5:$E$14</c:f>
              <c:numCache>
                <c:formatCode>General</c:formatCode>
                <c:ptCount val="9"/>
                <c:pt idx="0">
                  <c:v>5</c:v>
                </c:pt>
                <c:pt idx="1">
                  <c:v>3</c:v>
                </c:pt>
                <c:pt idx="2">
                  <c:v>1</c:v>
                </c:pt>
                <c:pt idx="3">
                  <c:v>1</c:v>
                </c:pt>
                <c:pt idx="4">
                  <c:v>1</c:v>
                </c:pt>
                <c:pt idx="6">
                  <c:v>2</c:v>
                </c:pt>
              </c:numCache>
            </c:numRef>
          </c:val>
          <c:extLst>
            <c:ext xmlns:c16="http://schemas.microsoft.com/office/drawing/2014/chart" uri="{C3380CC4-5D6E-409C-BE32-E72D297353CC}">
              <c16:uniqueId val="{00000003-DA94-48D8-83C6-4E0510E5FC7C}"/>
            </c:ext>
          </c:extLst>
        </c:ser>
        <c:dLbls>
          <c:dLblPos val="outEnd"/>
          <c:showLegendKey val="0"/>
          <c:showVal val="1"/>
          <c:showCatName val="0"/>
          <c:showSerName val="0"/>
          <c:showPercent val="0"/>
          <c:showBubbleSize val="0"/>
        </c:dLbls>
        <c:gapWidth val="45"/>
        <c:overlap val="-27"/>
        <c:axId val="1935222656"/>
        <c:axId val="1935226976"/>
      </c:barChart>
      <c:catAx>
        <c:axId val="193522265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935226976"/>
        <c:crosses val="autoZero"/>
        <c:auto val="1"/>
        <c:lblAlgn val="ctr"/>
        <c:lblOffset val="100"/>
        <c:noMultiLvlLbl val="0"/>
      </c:catAx>
      <c:valAx>
        <c:axId val="1935226976"/>
        <c:scaling>
          <c:orientation val="minMax"/>
        </c:scaling>
        <c:delete val="1"/>
        <c:axPos val="l"/>
        <c:numFmt formatCode="General" sourceLinked="1"/>
        <c:majorTickMark val="none"/>
        <c:minorTickMark val="none"/>
        <c:tickLblPos val="nextTo"/>
        <c:crossAx val="1935222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[HR_Analytics_Dashboard.xlsx]PT5_SalaryByGender!PivotTable6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1400" b="1" i="0" u="none" strike="noStrike" kern="1200" spc="0" baseline="0">
                <a:solidFill>
                  <a:srgbClr val="1F3A64"/>
                </a:solidFill>
                <a:latin typeface="Calibri" panose="020F0502020204030204" pitchFamily="34" charset="0"/>
                <a:cs typeface="Calibri" panose="020F0502020204030204" pitchFamily="34" charset="0"/>
              </a:rPr>
              <a:t>Average Salary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rgbClr val="1F3A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77396"/>
          </a:solidFill>
          <a:ln>
            <a:noFill/>
          </a:ln>
          <a:effectLst/>
        </c:spPr>
      </c:pivotFmt>
      <c:pivotFmt>
        <c:idx val="2"/>
        <c:spPr>
          <a:solidFill>
            <a:srgbClr val="1F3A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77396"/>
          </a:solidFill>
          <a:ln>
            <a:noFill/>
          </a:ln>
          <a:effectLst/>
        </c:spPr>
      </c:pivotFmt>
      <c:pivotFmt>
        <c:idx val="4"/>
        <c:spPr>
          <a:solidFill>
            <a:srgbClr val="1F3A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77396"/>
          </a:solidFill>
          <a:ln>
            <a:noFill/>
          </a:ln>
          <a:effectLst/>
        </c:spPr>
      </c:pivotFmt>
      <c:pivotFmt>
        <c:idx val="6"/>
        <c:spPr>
          <a:solidFill>
            <a:srgbClr val="216788"/>
          </a:solidFill>
          <a:ln>
            <a:noFill/>
          </a:ln>
          <a:effectLst/>
        </c:spPr>
      </c:pivotFmt>
    </c:pivotFmts>
    <c:plotArea>
      <c:layout/>
      <c:barChart>
        <c:barDir val="col"/>
        <c:grouping val="clustered"/>
        <c:varyColors val="0"/>
        <c:ser>
          <c:idx val="0"/>
          <c:order val="0"/>
          <c:tx>
            <c:strRef>
              <c:f>PT5_SalaryByGender!$B$3</c:f>
              <c:strCache>
                <c:ptCount val="1"/>
                <c:pt idx="0">
                  <c:v>Total</c:v>
                </c:pt>
              </c:strCache>
            </c:strRef>
          </c:tx>
          <c:spPr>
            <a:solidFill>
              <a:srgbClr val="1F3A64"/>
            </a:solidFill>
            <a:ln>
              <a:noFill/>
            </a:ln>
            <a:effectLst/>
          </c:spPr>
          <c:invertIfNegative val="0"/>
          <c:dPt>
            <c:idx val="0"/>
            <c:invertIfNegative val="0"/>
            <c:bubble3D val="0"/>
            <c:spPr>
              <a:solidFill>
                <a:srgbClr val="277396"/>
              </a:solidFill>
              <a:ln>
                <a:noFill/>
              </a:ln>
              <a:effectLst/>
            </c:spPr>
            <c:extLst>
              <c:ext xmlns:c16="http://schemas.microsoft.com/office/drawing/2014/chart" uri="{C3380CC4-5D6E-409C-BE32-E72D297353CC}">
                <c16:uniqueId val="{00000001-85CA-44B3-8675-C5C304CF350A}"/>
              </c:ext>
            </c:extLst>
          </c:dPt>
          <c:dPt>
            <c:idx val="1"/>
            <c:invertIfNegative val="0"/>
            <c:bubble3D val="0"/>
            <c:spPr>
              <a:solidFill>
                <a:srgbClr val="216788"/>
              </a:solidFill>
              <a:ln>
                <a:noFill/>
              </a:ln>
              <a:effectLst/>
            </c:spPr>
            <c:extLst>
              <c:ext xmlns:c16="http://schemas.microsoft.com/office/drawing/2014/chart" uri="{C3380CC4-5D6E-409C-BE32-E72D297353CC}">
                <c16:uniqueId val="{00000003-85CA-44B3-8675-C5C304CF350A}"/>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PT5_SalaryByGender!$A$4:$A$6</c:f>
              <c:strCache>
                <c:ptCount val="2"/>
                <c:pt idx="0">
                  <c:v>Female</c:v>
                </c:pt>
                <c:pt idx="1">
                  <c:v>Male</c:v>
                </c:pt>
              </c:strCache>
            </c:strRef>
          </c:cat>
          <c:val>
            <c:numRef>
              <c:f>PT5_SalaryByGender!$B$4:$B$6</c:f>
              <c:numCache>
                <c:formatCode>"$"#,##0</c:formatCode>
                <c:ptCount val="2"/>
                <c:pt idx="0">
                  <c:v>67786.727272727279</c:v>
                </c:pt>
                <c:pt idx="1">
                  <c:v>70629.399999999994</c:v>
                </c:pt>
              </c:numCache>
            </c:numRef>
          </c:val>
          <c:extLst>
            <c:ext xmlns:c16="http://schemas.microsoft.com/office/drawing/2014/chart" uri="{C3380CC4-5D6E-409C-BE32-E72D297353CC}">
              <c16:uniqueId val="{00000002-85CA-44B3-8675-C5C304CF350A}"/>
            </c:ext>
          </c:extLst>
        </c:ser>
        <c:dLbls>
          <c:dLblPos val="outEnd"/>
          <c:showLegendKey val="0"/>
          <c:showVal val="1"/>
          <c:showCatName val="0"/>
          <c:showSerName val="0"/>
          <c:showPercent val="0"/>
          <c:showBubbleSize val="0"/>
        </c:dLbls>
        <c:gapWidth val="50"/>
        <c:overlap val="-27"/>
        <c:axId val="1392622992"/>
        <c:axId val="1392606672"/>
      </c:barChart>
      <c:catAx>
        <c:axId val="13926229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392606672"/>
        <c:crosses val="autoZero"/>
        <c:auto val="1"/>
        <c:lblAlgn val="ctr"/>
        <c:lblOffset val="100"/>
        <c:noMultiLvlLbl val="0"/>
      </c:catAx>
      <c:valAx>
        <c:axId val="1392606672"/>
        <c:scaling>
          <c:orientation val="minMax"/>
        </c:scaling>
        <c:delete val="1"/>
        <c:axPos val="l"/>
        <c:numFmt formatCode="&quot;$&quot;#,##0" sourceLinked="1"/>
        <c:majorTickMark val="none"/>
        <c:minorTickMark val="none"/>
        <c:tickLblPos val="nextTo"/>
        <c:crossAx val="139262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[HR_Analytics_Dashboard.xlsx]PT6_AgeGroupEngagement!PivotTable1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1400" b="1" i="0" u="none" strike="noStrike" baseline="0">
                <a:solidFill>
                  <a:srgbClr val="1F3A64"/>
                </a:solidFill>
                <a:latin typeface="Calibri" panose="020F0502020204030204" pitchFamily="34" charset="0"/>
                <a:cs typeface="Calibri" panose="020F0502020204030204" pitchFamily="34" charset="0"/>
              </a:rPr>
              <a:t>Turnover Rate by Age Group and Department</a:t>
            </a:r>
            <a:endParaRPr lang="en-US" b="1">
              <a:solidFill>
                <a:srgbClr val="1F3A64"/>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rgbClr val="27739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7739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7739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PT6_AgeGroupEngagement!$B$3</c:f>
              <c:strCache>
                <c:ptCount val="1"/>
                <c:pt idx="0">
                  <c:v>Total</c:v>
                </c:pt>
              </c:strCache>
            </c:strRef>
          </c:tx>
          <c:spPr>
            <a:solidFill>
              <a:srgbClr val="27739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PT6_AgeGroupEngagement!$A$4:$A$15</c:f>
              <c:multiLvlStrCache>
                <c:ptCount val="9"/>
                <c:lvl>
                  <c:pt idx="0">
                    <c:v>Admin Offices</c:v>
                  </c:pt>
                  <c:pt idx="1">
                    <c:v>Executive Office</c:v>
                  </c:pt>
                  <c:pt idx="2">
                    <c:v>It/Is</c:v>
                  </c:pt>
                  <c:pt idx="3">
                    <c:v>Production</c:v>
                  </c:pt>
                  <c:pt idx="4">
                    <c:v>Sales</c:v>
                  </c:pt>
                  <c:pt idx="5">
                    <c:v>Software Engineering</c:v>
                  </c:pt>
                  <c:pt idx="6">
                    <c:v>It/Is</c:v>
                  </c:pt>
                  <c:pt idx="7">
                    <c:v>Production</c:v>
                  </c:pt>
                  <c:pt idx="8">
                    <c:v>Sales</c:v>
                  </c:pt>
                </c:lvl>
                <c:lvl>
                  <c:pt idx="0">
                    <c:v>Adult</c:v>
                  </c:pt>
                  <c:pt idx="6">
                    <c:v>Senior</c:v>
                  </c:pt>
                </c:lvl>
              </c:multiLvlStrCache>
            </c:multiLvlStrRef>
          </c:cat>
          <c:val>
            <c:numRef>
              <c:f>PT6_AgeGroupEngagement!$B$4:$B$15</c:f>
              <c:numCache>
                <c:formatCode>0.0%</c:formatCode>
                <c:ptCount val="9"/>
                <c:pt idx="0">
                  <c:v>0.22222222222222221</c:v>
                </c:pt>
                <c:pt idx="1">
                  <c:v>0</c:v>
                </c:pt>
                <c:pt idx="2">
                  <c:v>0.20833333333333334</c:v>
                </c:pt>
                <c:pt idx="3">
                  <c:v>0.38624338624338622</c:v>
                </c:pt>
                <c:pt idx="4">
                  <c:v>0.18518518518518517</c:v>
                </c:pt>
                <c:pt idx="5">
                  <c:v>0.36363636363636365</c:v>
                </c:pt>
                <c:pt idx="6">
                  <c:v>0</c:v>
                </c:pt>
                <c:pt idx="7">
                  <c:v>0.5</c:v>
                </c:pt>
                <c:pt idx="8">
                  <c:v>0</c:v>
                </c:pt>
              </c:numCache>
            </c:numRef>
          </c:val>
          <c:extLst>
            <c:ext xmlns:c16="http://schemas.microsoft.com/office/drawing/2014/chart" uri="{C3380CC4-5D6E-409C-BE32-E72D297353CC}">
              <c16:uniqueId val="{00000000-99B9-4BFC-9079-BE5BB42EA828}"/>
            </c:ext>
          </c:extLst>
        </c:ser>
        <c:dLbls>
          <c:dLblPos val="outEnd"/>
          <c:showLegendKey val="0"/>
          <c:showVal val="1"/>
          <c:showCatName val="0"/>
          <c:showSerName val="0"/>
          <c:showPercent val="0"/>
          <c:showBubbleSize val="0"/>
        </c:dLbls>
        <c:gapWidth val="40"/>
        <c:overlap val="-27"/>
        <c:axId val="1352801024"/>
        <c:axId val="1352790464"/>
      </c:barChart>
      <c:catAx>
        <c:axId val="135280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352790464"/>
        <c:crosses val="autoZero"/>
        <c:auto val="1"/>
        <c:lblAlgn val="ctr"/>
        <c:lblOffset val="100"/>
        <c:noMultiLvlLbl val="0"/>
      </c:catAx>
      <c:valAx>
        <c:axId val="1352790464"/>
        <c:scaling>
          <c:orientation val="minMax"/>
        </c:scaling>
        <c:delete val="1"/>
        <c:axPos val="l"/>
        <c:numFmt formatCode="0.0%" sourceLinked="1"/>
        <c:majorTickMark val="none"/>
        <c:minorTickMark val="none"/>
        <c:tickLblPos val="nextTo"/>
        <c:crossAx val="135280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image" Target="../media/image2.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1123950</xdr:colOff>
      <xdr:row>14</xdr:row>
      <xdr:rowOff>25400</xdr:rowOff>
    </xdr:from>
    <xdr:to>
      <xdr:col>13</xdr:col>
      <xdr:colOff>438150</xdr:colOff>
      <xdr:row>27</xdr:row>
      <xdr:rowOff>57150</xdr:rowOff>
    </xdr:to>
    <xdr:graphicFrame macro="">
      <xdr:nvGraphicFramePr>
        <xdr:cNvPr id="2" name="Chart 1">
          <a:extLst>
            <a:ext uri="{FF2B5EF4-FFF2-40B4-BE49-F238E27FC236}">
              <a16:creationId xmlns:a16="http://schemas.microsoft.com/office/drawing/2014/main" id="{F2B87BC3-993D-670F-6F41-2B27A34A7D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488950</xdr:colOff>
      <xdr:row>1</xdr:row>
      <xdr:rowOff>15875</xdr:rowOff>
    </xdr:from>
    <xdr:to>
      <xdr:col>9</xdr:col>
      <xdr:colOff>533400</xdr:colOff>
      <xdr:row>9</xdr:row>
      <xdr:rowOff>114300</xdr:rowOff>
    </xdr:to>
    <xdr:graphicFrame macro="">
      <xdr:nvGraphicFramePr>
        <xdr:cNvPr id="2" name="Chart 1">
          <a:extLst>
            <a:ext uri="{FF2B5EF4-FFF2-40B4-BE49-F238E27FC236}">
              <a16:creationId xmlns:a16="http://schemas.microsoft.com/office/drawing/2014/main" id="{2CE0A945-98DA-FB38-D689-97A18A42D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546100</xdr:colOff>
      <xdr:row>2</xdr:row>
      <xdr:rowOff>31750</xdr:rowOff>
    </xdr:from>
    <xdr:to>
      <xdr:col>5</xdr:col>
      <xdr:colOff>393700</xdr:colOff>
      <xdr:row>16</xdr:row>
      <xdr:rowOff>146050</xdr:rowOff>
    </xdr:to>
    <xdr:graphicFrame macro="">
      <xdr:nvGraphicFramePr>
        <xdr:cNvPr id="5" name="Chart 4">
          <a:extLst>
            <a:ext uri="{FF2B5EF4-FFF2-40B4-BE49-F238E27FC236}">
              <a16:creationId xmlns:a16="http://schemas.microsoft.com/office/drawing/2014/main" id="{BC40B5DB-16A5-C2D8-3479-B1CFAA232E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19049</xdr:colOff>
      <xdr:row>0</xdr:row>
      <xdr:rowOff>1</xdr:rowOff>
    </xdr:from>
    <xdr:to>
      <xdr:col>28</xdr:col>
      <xdr:colOff>127000</xdr:colOff>
      <xdr:row>9</xdr:row>
      <xdr:rowOff>81644</xdr:rowOff>
    </xdr:to>
    <xdr:sp macro="" textlink="">
      <xdr:nvSpPr>
        <xdr:cNvPr id="9" name="Rectangle 8">
          <a:extLst>
            <a:ext uri="{FF2B5EF4-FFF2-40B4-BE49-F238E27FC236}">
              <a16:creationId xmlns:a16="http://schemas.microsoft.com/office/drawing/2014/main" id="{369391EB-BD3B-0AB4-5ED7-29123F0A0DF7}"/>
            </a:ext>
          </a:extLst>
        </xdr:cNvPr>
        <xdr:cNvSpPr/>
      </xdr:nvSpPr>
      <xdr:spPr>
        <a:xfrm>
          <a:off x="19049" y="1"/>
          <a:ext cx="17125951" cy="1714500"/>
        </a:xfrm>
        <a:prstGeom prst="rect">
          <a:avLst/>
        </a:prstGeom>
        <a:solidFill>
          <a:srgbClr val="1F3A6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cap="none" spc="0">
              <a:ln w="0"/>
              <a:solidFill>
                <a:schemeClr val="bg1"/>
              </a:solidFill>
              <a:effectLst>
                <a:outerShdw blurRad="38100" dist="19050" dir="2700000" algn="tl" rotWithShape="0">
                  <a:schemeClr val="dk1">
                    <a:alpha val="40000"/>
                  </a:schemeClr>
                </a:outerShdw>
              </a:effectLst>
              <a:latin typeface="Calibri" panose="020F0502020204030204" pitchFamily="34" charset="0"/>
              <a:cs typeface="Calibri" panose="020F0502020204030204" pitchFamily="34" charset="0"/>
            </a:rPr>
            <a:t>         HR Analytics Dashboard (2016 - 2019)</a:t>
          </a:r>
        </a:p>
      </xdr:txBody>
    </xdr:sp>
    <xdr:clientData/>
  </xdr:twoCellAnchor>
  <xdr:twoCellAnchor>
    <xdr:from>
      <xdr:col>0</xdr:col>
      <xdr:colOff>72571</xdr:colOff>
      <xdr:row>7</xdr:row>
      <xdr:rowOff>54428</xdr:rowOff>
    </xdr:from>
    <xdr:to>
      <xdr:col>3</xdr:col>
      <xdr:colOff>360680</xdr:colOff>
      <xdr:row>46</xdr:row>
      <xdr:rowOff>36286</xdr:rowOff>
    </xdr:to>
    <xdr:sp macro="" textlink="">
      <xdr:nvSpPr>
        <xdr:cNvPr id="10" name="Rectangle 9">
          <a:extLst>
            <a:ext uri="{FF2B5EF4-FFF2-40B4-BE49-F238E27FC236}">
              <a16:creationId xmlns:a16="http://schemas.microsoft.com/office/drawing/2014/main" id="{323B6047-DF15-A639-FEE0-794C0E09051D}"/>
            </a:ext>
          </a:extLst>
        </xdr:cNvPr>
        <xdr:cNvSpPr/>
      </xdr:nvSpPr>
      <xdr:spPr>
        <a:xfrm>
          <a:off x="72571" y="1324428"/>
          <a:ext cx="2111466" cy="7057572"/>
        </a:xfrm>
        <a:prstGeom prst="rect">
          <a:avLst/>
        </a:prstGeom>
        <a:solidFill>
          <a:srgbClr val="1F3A6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317501</xdr:colOff>
      <xdr:row>9</xdr:row>
      <xdr:rowOff>81643</xdr:rowOff>
    </xdr:from>
    <xdr:to>
      <xdr:col>3</xdr:col>
      <xdr:colOff>63501</xdr:colOff>
      <xdr:row>10</xdr:row>
      <xdr:rowOff>154214</xdr:rowOff>
    </xdr:to>
    <xdr:sp macro="" textlink="">
      <xdr:nvSpPr>
        <xdr:cNvPr id="11" name="TextBox 10">
          <a:extLst>
            <a:ext uri="{FF2B5EF4-FFF2-40B4-BE49-F238E27FC236}">
              <a16:creationId xmlns:a16="http://schemas.microsoft.com/office/drawing/2014/main" id="{4D32BF81-FD19-3AFD-A16D-04B01587863F}"/>
            </a:ext>
          </a:extLst>
        </xdr:cNvPr>
        <xdr:cNvSpPr txBox="1"/>
      </xdr:nvSpPr>
      <xdr:spPr>
        <a:xfrm>
          <a:off x="317501" y="1714500"/>
          <a:ext cx="1569357"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solidFill>
                <a:schemeClr val="bg1"/>
              </a:solidFill>
              <a:latin typeface="Calibri" panose="020F0502020204030204" pitchFamily="34" charset="0"/>
              <a:cs typeface="Calibri" panose="020F0502020204030204" pitchFamily="34" charset="0"/>
            </a:rPr>
            <a:t>FILTERS</a:t>
          </a:r>
        </a:p>
      </xdr:txBody>
    </xdr:sp>
    <xdr:clientData/>
  </xdr:twoCellAnchor>
  <xdr:twoCellAnchor editAs="oneCell">
    <xdr:from>
      <xdr:col>0</xdr:col>
      <xdr:colOff>126997</xdr:colOff>
      <xdr:row>11</xdr:row>
      <xdr:rowOff>172357</xdr:rowOff>
    </xdr:from>
    <xdr:to>
      <xdr:col>3</xdr:col>
      <xdr:colOff>290285</xdr:colOff>
      <xdr:row>23</xdr:row>
      <xdr:rowOff>81642</xdr:rowOff>
    </xdr:to>
    <mc:AlternateContent xmlns:mc="http://schemas.openxmlformats.org/markup-compatibility/2006">
      <mc:Choice xmlns:a14="http://schemas.microsoft.com/office/drawing/2010/main" Requires="a14">
        <xdr:graphicFrame macro="">
          <xdr:nvGraphicFramePr>
            <xdr:cNvPr id="12" name="Department 4">
              <a:extLst>
                <a:ext uri="{FF2B5EF4-FFF2-40B4-BE49-F238E27FC236}">
                  <a16:creationId xmlns:a16="http://schemas.microsoft.com/office/drawing/2014/main" id="{561566BD-6AEC-431C-8FDC-4EF5FD4A9FBE}"/>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dr:sp macro="" textlink="">
          <xdr:nvSpPr>
            <xdr:cNvPr id="0" name=""/>
            <xdr:cNvSpPr>
              <a:spLocks noTextEdit="1"/>
            </xdr:cNvSpPr>
          </xdr:nvSpPr>
          <xdr:spPr>
            <a:xfrm>
              <a:off x="126997" y="2168071"/>
              <a:ext cx="1986645" cy="20864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126997</xdr:colOff>
      <xdr:row>24</xdr:row>
      <xdr:rowOff>54429</xdr:rowOff>
    </xdr:from>
    <xdr:to>
      <xdr:col>3</xdr:col>
      <xdr:colOff>290285</xdr:colOff>
      <xdr:row>33</xdr:row>
      <xdr:rowOff>66222</xdr:rowOff>
    </xdr:to>
    <mc:AlternateContent xmlns:mc="http://schemas.openxmlformats.org/markup-compatibility/2006">
      <mc:Choice xmlns:a14="http://schemas.microsoft.com/office/drawing/2010/main" Requires="a14">
        <xdr:graphicFrame macro="">
          <xdr:nvGraphicFramePr>
            <xdr:cNvPr id="13" name="PerformanceScore 1">
              <a:extLst>
                <a:ext uri="{FF2B5EF4-FFF2-40B4-BE49-F238E27FC236}">
                  <a16:creationId xmlns:a16="http://schemas.microsoft.com/office/drawing/2014/main" id="{E8DF8578-8B35-4DA1-8003-008A12558D34}"/>
                </a:ext>
              </a:extLst>
            </xdr:cNvPr>
            <xdr:cNvGraphicFramePr/>
          </xdr:nvGraphicFramePr>
          <xdr:xfrm>
            <a:off x="0" y="0"/>
            <a:ext cx="0" cy="0"/>
          </xdr:xfrm>
          <a:graphic>
            <a:graphicData uri="http://schemas.microsoft.com/office/drawing/2010/slicer">
              <sle:slicer xmlns:sle="http://schemas.microsoft.com/office/drawing/2010/slicer" name="PerformanceScore 1"/>
            </a:graphicData>
          </a:graphic>
        </xdr:graphicFrame>
      </mc:Choice>
      <mc:Fallback>
        <xdr:sp macro="" textlink="">
          <xdr:nvSpPr>
            <xdr:cNvPr id="0" name=""/>
            <xdr:cNvSpPr>
              <a:spLocks noTextEdit="1"/>
            </xdr:cNvSpPr>
          </xdr:nvSpPr>
          <xdr:spPr>
            <a:xfrm>
              <a:off x="126997" y="4408715"/>
              <a:ext cx="1986645" cy="1644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117929</xdr:colOff>
      <xdr:row>34</xdr:row>
      <xdr:rowOff>72571</xdr:rowOff>
    </xdr:from>
    <xdr:to>
      <xdr:col>3</xdr:col>
      <xdr:colOff>272144</xdr:colOff>
      <xdr:row>39</xdr:row>
      <xdr:rowOff>99785</xdr:rowOff>
    </xdr:to>
    <mc:AlternateContent xmlns:mc="http://schemas.openxmlformats.org/markup-compatibility/2006">
      <mc:Choice xmlns:a14="http://schemas.microsoft.com/office/drawing/2010/main" Requires="a14">
        <xdr:graphicFrame macro="">
          <xdr:nvGraphicFramePr>
            <xdr:cNvPr id="14" name="Sex 1">
              <a:extLst>
                <a:ext uri="{FF2B5EF4-FFF2-40B4-BE49-F238E27FC236}">
                  <a16:creationId xmlns:a16="http://schemas.microsoft.com/office/drawing/2014/main" id="{198EDDD1-9910-4734-B170-80A66E393583}"/>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dr:sp macro="" textlink="">
          <xdr:nvSpPr>
            <xdr:cNvPr id="0" name=""/>
            <xdr:cNvSpPr>
              <a:spLocks noTextEdit="1"/>
            </xdr:cNvSpPr>
          </xdr:nvSpPr>
          <xdr:spPr>
            <a:xfrm>
              <a:off x="117929" y="6241142"/>
              <a:ext cx="1977572" cy="934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589654</xdr:colOff>
      <xdr:row>6</xdr:row>
      <xdr:rowOff>45358</xdr:rowOff>
    </xdr:from>
    <xdr:to>
      <xdr:col>7</xdr:col>
      <xdr:colOff>444511</xdr:colOff>
      <xdr:row>12</xdr:row>
      <xdr:rowOff>54066</xdr:rowOff>
    </xdr:to>
    <xdr:sp macro="" textlink="">
      <xdr:nvSpPr>
        <xdr:cNvPr id="15" name="Rectangle: Rounded Corners 14">
          <a:extLst>
            <a:ext uri="{FF2B5EF4-FFF2-40B4-BE49-F238E27FC236}">
              <a16:creationId xmlns:a16="http://schemas.microsoft.com/office/drawing/2014/main" id="{4168E9B5-57B8-D814-BD25-6E295059D042}"/>
            </a:ext>
          </a:extLst>
        </xdr:cNvPr>
        <xdr:cNvSpPr/>
      </xdr:nvSpPr>
      <xdr:spPr>
        <a:xfrm>
          <a:off x="2413011" y="1133929"/>
          <a:ext cx="2286000" cy="1097280"/>
        </a:xfrm>
        <a:prstGeom prst="roundRect">
          <a:avLst/>
        </a:prstGeom>
        <a:solidFill>
          <a:srgbClr val="21678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latin typeface="Calibri" panose="020F0502020204030204" pitchFamily="34" charset="0"/>
            <a:cs typeface="Calibri" panose="020F0502020204030204" pitchFamily="34" charset="0"/>
          </a:endParaRPr>
        </a:p>
      </xdr:txBody>
    </xdr:sp>
    <xdr:clientData/>
  </xdr:twoCellAnchor>
  <xdr:twoCellAnchor>
    <xdr:from>
      <xdr:col>4</xdr:col>
      <xdr:colOff>526145</xdr:colOff>
      <xdr:row>9</xdr:row>
      <xdr:rowOff>18142</xdr:rowOff>
    </xdr:from>
    <xdr:to>
      <xdr:col>6</xdr:col>
      <xdr:colOff>317503</xdr:colOff>
      <xdr:row>11</xdr:row>
      <xdr:rowOff>99785</xdr:rowOff>
    </xdr:to>
    <xdr:sp macro="" textlink="PT_KPISummary!A4">
      <xdr:nvSpPr>
        <xdr:cNvPr id="18" name="TextBox 17">
          <a:extLst>
            <a:ext uri="{FF2B5EF4-FFF2-40B4-BE49-F238E27FC236}">
              <a16:creationId xmlns:a16="http://schemas.microsoft.com/office/drawing/2014/main" id="{864ED241-06EB-86E5-C8B1-06276C84E020}"/>
            </a:ext>
          </a:extLst>
        </xdr:cNvPr>
        <xdr:cNvSpPr txBox="1"/>
      </xdr:nvSpPr>
      <xdr:spPr>
        <a:xfrm>
          <a:off x="2957288" y="1650999"/>
          <a:ext cx="1006929"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3EC30FA-E85A-475B-827D-CF7CFC03B468}" type="TxLink">
            <a:rPr lang="en-US" sz="2800" b="1" i="0" u="none" strike="noStrike">
              <a:solidFill>
                <a:schemeClr val="bg1"/>
              </a:solidFill>
              <a:latin typeface="Aptos Narrow"/>
            </a:rPr>
            <a:pPr algn="ctr"/>
            <a:t>311</a:t>
          </a:fld>
          <a:endParaRPr lang="en-US" sz="2800" b="1">
            <a:solidFill>
              <a:schemeClr val="bg1"/>
            </a:solidFill>
          </a:endParaRPr>
        </a:p>
      </xdr:txBody>
    </xdr:sp>
    <xdr:clientData/>
  </xdr:twoCellAnchor>
  <xdr:twoCellAnchor>
    <xdr:from>
      <xdr:col>4</xdr:col>
      <xdr:colOff>444505</xdr:colOff>
      <xdr:row>7</xdr:row>
      <xdr:rowOff>27214</xdr:rowOff>
    </xdr:from>
    <xdr:to>
      <xdr:col>6</xdr:col>
      <xdr:colOff>498934</xdr:colOff>
      <xdr:row>8</xdr:row>
      <xdr:rowOff>54428</xdr:rowOff>
    </xdr:to>
    <xdr:sp macro="" textlink="">
      <xdr:nvSpPr>
        <xdr:cNvPr id="21" name="TextBox 20">
          <a:extLst>
            <a:ext uri="{FF2B5EF4-FFF2-40B4-BE49-F238E27FC236}">
              <a16:creationId xmlns:a16="http://schemas.microsoft.com/office/drawing/2014/main" id="{B83B8D29-3401-2344-09E9-2C428BB0A8C6}"/>
            </a:ext>
          </a:extLst>
        </xdr:cNvPr>
        <xdr:cNvSpPr txBox="1"/>
      </xdr:nvSpPr>
      <xdr:spPr>
        <a:xfrm>
          <a:off x="2875648" y="1297214"/>
          <a:ext cx="1270000" cy="20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Calibri" panose="020F0502020204030204" pitchFamily="34" charset="0"/>
              <a:ea typeface="+mn-ea"/>
              <a:cs typeface="Calibri" panose="020F0502020204030204" pitchFamily="34" charset="0"/>
            </a:rPr>
            <a:t>Total Employees</a:t>
          </a:r>
          <a:endParaRPr lang="en-US" sz="1200">
            <a:solidFill>
              <a:schemeClr val="bg1"/>
            </a:solidFill>
            <a:effectLst/>
            <a:latin typeface="Calibri" panose="020F0502020204030204" pitchFamily="34" charset="0"/>
            <a:cs typeface="Calibri" panose="020F0502020204030204" pitchFamily="34" charset="0"/>
          </a:endParaRPr>
        </a:p>
        <a:p>
          <a:endParaRPr lang="en-US" sz="1100"/>
        </a:p>
      </xdr:txBody>
    </xdr:sp>
    <xdr:clientData/>
  </xdr:twoCellAnchor>
  <xdr:twoCellAnchor>
    <xdr:from>
      <xdr:col>8</xdr:col>
      <xdr:colOff>27222</xdr:colOff>
      <xdr:row>6</xdr:row>
      <xdr:rowOff>26611</xdr:rowOff>
    </xdr:from>
    <xdr:to>
      <xdr:col>11</xdr:col>
      <xdr:colOff>489865</xdr:colOff>
      <xdr:row>12</xdr:row>
      <xdr:rowOff>35319</xdr:rowOff>
    </xdr:to>
    <xdr:sp macro="" textlink="">
      <xdr:nvSpPr>
        <xdr:cNvPr id="22" name="Rectangle: Rounded Corners 21">
          <a:extLst>
            <a:ext uri="{FF2B5EF4-FFF2-40B4-BE49-F238E27FC236}">
              <a16:creationId xmlns:a16="http://schemas.microsoft.com/office/drawing/2014/main" id="{F0A450E4-0750-7BF8-83E6-CD41A471417D}"/>
            </a:ext>
          </a:extLst>
        </xdr:cNvPr>
        <xdr:cNvSpPr/>
      </xdr:nvSpPr>
      <xdr:spPr>
        <a:xfrm>
          <a:off x="4889508" y="1115182"/>
          <a:ext cx="2286000" cy="1097280"/>
        </a:xfrm>
        <a:prstGeom prst="roundRect">
          <a:avLst/>
        </a:prstGeom>
        <a:solidFill>
          <a:srgbClr val="21678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latin typeface="Calibri" panose="020F0502020204030204" pitchFamily="34" charset="0"/>
            <a:cs typeface="Calibri" panose="020F0502020204030204" pitchFamily="34" charset="0"/>
          </a:endParaRPr>
        </a:p>
      </xdr:txBody>
    </xdr:sp>
    <xdr:clientData/>
  </xdr:twoCellAnchor>
  <xdr:twoCellAnchor>
    <xdr:from>
      <xdr:col>3</xdr:col>
      <xdr:colOff>595098</xdr:colOff>
      <xdr:row>12</xdr:row>
      <xdr:rowOff>177800</xdr:rowOff>
    </xdr:from>
    <xdr:to>
      <xdr:col>7</xdr:col>
      <xdr:colOff>449955</xdr:colOff>
      <xdr:row>19</xdr:row>
      <xdr:rowOff>5080</xdr:rowOff>
    </xdr:to>
    <xdr:sp macro="" textlink="">
      <xdr:nvSpPr>
        <xdr:cNvPr id="23" name="Rectangle: Rounded Corners 22">
          <a:extLst>
            <a:ext uri="{FF2B5EF4-FFF2-40B4-BE49-F238E27FC236}">
              <a16:creationId xmlns:a16="http://schemas.microsoft.com/office/drawing/2014/main" id="{4A5DC2E2-D30E-B8B4-C2AF-752F59715F1B}"/>
            </a:ext>
          </a:extLst>
        </xdr:cNvPr>
        <xdr:cNvSpPr/>
      </xdr:nvSpPr>
      <xdr:spPr>
        <a:xfrm>
          <a:off x="2418455" y="2354943"/>
          <a:ext cx="2286000" cy="1097280"/>
        </a:xfrm>
        <a:prstGeom prst="roundRect">
          <a:avLst/>
        </a:prstGeom>
        <a:solidFill>
          <a:srgbClr val="21678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latin typeface="Calibri" panose="020F0502020204030204" pitchFamily="34" charset="0"/>
            <a:cs typeface="Calibri" panose="020F0502020204030204" pitchFamily="34" charset="0"/>
          </a:endParaRPr>
        </a:p>
      </xdr:txBody>
    </xdr:sp>
    <xdr:clientData/>
  </xdr:twoCellAnchor>
  <xdr:twoCellAnchor>
    <xdr:from>
      <xdr:col>8</xdr:col>
      <xdr:colOff>19363</xdr:colOff>
      <xdr:row>13</xdr:row>
      <xdr:rowOff>3629</xdr:rowOff>
    </xdr:from>
    <xdr:to>
      <xdr:col>11</xdr:col>
      <xdr:colOff>482006</xdr:colOff>
      <xdr:row>19</xdr:row>
      <xdr:rowOff>12337</xdr:rowOff>
    </xdr:to>
    <xdr:sp macro="" textlink="">
      <xdr:nvSpPr>
        <xdr:cNvPr id="24" name="Rectangle: Rounded Corners 23">
          <a:extLst>
            <a:ext uri="{FF2B5EF4-FFF2-40B4-BE49-F238E27FC236}">
              <a16:creationId xmlns:a16="http://schemas.microsoft.com/office/drawing/2014/main" id="{09D51DF6-7A0E-6F9C-19A0-29B1C36C7511}"/>
            </a:ext>
          </a:extLst>
        </xdr:cNvPr>
        <xdr:cNvSpPr/>
      </xdr:nvSpPr>
      <xdr:spPr>
        <a:xfrm>
          <a:off x="4881649" y="2362200"/>
          <a:ext cx="2286000" cy="1097280"/>
        </a:xfrm>
        <a:prstGeom prst="roundRect">
          <a:avLst/>
        </a:prstGeom>
        <a:solidFill>
          <a:srgbClr val="21678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latin typeface="Calibri" panose="020F0502020204030204" pitchFamily="34" charset="0"/>
            <a:cs typeface="Calibri" panose="020F0502020204030204" pitchFamily="34" charset="0"/>
          </a:endParaRPr>
        </a:p>
      </xdr:txBody>
    </xdr:sp>
    <xdr:clientData/>
  </xdr:twoCellAnchor>
  <xdr:twoCellAnchor>
    <xdr:from>
      <xdr:col>16</xdr:col>
      <xdr:colOff>83465</xdr:colOff>
      <xdr:row>12</xdr:row>
      <xdr:rowOff>149982</xdr:rowOff>
    </xdr:from>
    <xdr:to>
      <xdr:col>19</xdr:col>
      <xdr:colOff>546107</xdr:colOff>
      <xdr:row>18</xdr:row>
      <xdr:rowOff>158691</xdr:rowOff>
    </xdr:to>
    <xdr:sp macro="" textlink="">
      <xdr:nvSpPr>
        <xdr:cNvPr id="25" name="Rectangle: Rounded Corners 24">
          <a:extLst>
            <a:ext uri="{FF2B5EF4-FFF2-40B4-BE49-F238E27FC236}">
              <a16:creationId xmlns:a16="http://schemas.microsoft.com/office/drawing/2014/main" id="{18F771DF-6B3E-4EBD-EB6A-A275F2F090F3}"/>
            </a:ext>
          </a:extLst>
        </xdr:cNvPr>
        <xdr:cNvSpPr/>
      </xdr:nvSpPr>
      <xdr:spPr>
        <a:xfrm>
          <a:off x="9808036" y="2327125"/>
          <a:ext cx="2286000" cy="1097280"/>
        </a:xfrm>
        <a:prstGeom prst="roundRect">
          <a:avLst/>
        </a:prstGeom>
        <a:solidFill>
          <a:srgbClr val="21678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latin typeface="Calibri" panose="020F0502020204030204" pitchFamily="34" charset="0"/>
            <a:cs typeface="Calibri" panose="020F0502020204030204" pitchFamily="34" charset="0"/>
          </a:endParaRPr>
        </a:p>
      </xdr:txBody>
    </xdr:sp>
    <xdr:clientData/>
  </xdr:twoCellAnchor>
  <xdr:twoCellAnchor>
    <xdr:from>
      <xdr:col>12</xdr:col>
      <xdr:colOff>51414</xdr:colOff>
      <xdr:row>12</xdr:row>
      <xdr:rowOff>176592</xdr:rowOff>
    </xdr:from>
    <xdr:to>
      <xdr:col>15</xdr:col>
      <xdr:colOff>514057</xdr:colOff>
      <xdr:row>19</xdr:row>
      <xdr:rowOff>3872</xdr:rowOff>
    </xdr:to>
    <xdr:sp macro="" textlink="">
      <xdr:nvSpPr>
        <xdr:cNvPr id="26" name="Rectangle: Rounded Corners 25">
          <a:extLst>
            <a:ext uri="{FF2B5EF4-FFF2-40B4-BE49-F238E27FC236}">
              <a16:creationId xmlns:a16="http://schemas.microsoft.com/office/drawing/2014/main" id="{8394AF28-D65C-631F-FF29-82E7CA36886B}"/>
            </a:ext>
          </a:extLst>
        </xdr:cNvPr>
        <xdr:cNvSpPr/>
      </xdr:nvSpPr>
      <xdr:spPr>
        <a:xfrm>
          <a:off x="7344843" y="2353735"/>
          <a:ext cx="2286000" cy="1097280"/>
        </a:xfrm>
        <a:prstGeom prst="roundRect">
          <a:avLst/>
        </a:prstGeom>
        <a:solidFill>
          <a:srgbClr val="21678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latin typeface="Calibri" panose="020F0502020204030204" pitchFamily="34" charset="0"/>
            <a:cs typeface="Calibri" panose="020F0502020204030204" pitchFamily="34" charset="0"/>
          </a:endParaRPr>
        </a:p>
      </xdr:txBody>
    </xdr:sp>
    <xdr:clientData/>
  </xdr:twoCellAnchor>
  <xdr:twoCellAnchor>
    <xdr:from>
      <xdr:col>16</xdr:col>
      <xdr:colOff>99789</xdr:colOff>
      <xdr:row>5</xdr:row>
      <xdr:rowOff>170543</xdr:rowOff>
    </xdr:from>
    <xdr:to>
      <xdr:col>19</xdr:col>
      <xdr:colOff>562431</xdr:colOff>
      <xdr:row>11</xdr:row>
      <xdr:rowOff>179252</xdr:rowOff>
    </xdr:to>
    <xdr:sp macro="" textlink="">
      <xdr:nvSpPr>
        <xdr:cNvPr id="27" name="Rectangle: Rounded Corners 26">
          <a:extLst>
            <a:ext uri="{FF2B5EF4-FFF2-40B4-BE49-F238E27FC236}">
              <a16:creationId xmlns:a16="http://schemas.microsoft.com/office/drawing/2014/main" id="{9164FBAF-27A1-E336-C0E2-31CB129C9AE1}"/>
            </a:ext>
          </a:extLst>
        </xdr:cNvPr>
        <xdr:cNvSpPr/>
      </xdr:nvSpPr>
      <xdr:spPr>
        <a:xfrm>
          <a:off x="9824360" y="1077686"/>
          <a:ext cx="2286000" cy="1097280"/>
        </a:xfrm>
        <a:prstGeom prst="roundRect">
          <a:avLst/>
        </a:prstGeom>
        <a:solidFill>
          <a:srgbClr val="21678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latin typeface="Calibri" panose="020F0502020204030204" pitchFamily="34" charset="0"/>
            <a:cs typeface="Calibri" panose="020F0502020204030204" pitchFamily="34" charset="0"/>
          </a:endParaRPr>
        </a:p>
      </xdr:txBody>
    </xdr:sp>
    <xdr:clientData/>
  </xdr:twoCellAnchor>
  <xdr:twoCellAnchor>
    <xdr:from>
      <xdr:col>12</xdr:col>
      <xdr:colOff>72576</xdr:colOff>
      <xdr:row>6</xdr:row>
      <xdr:rowOff>7863</xdr:rowOff>
    </xdr:from>
    <xdr:to>
      <xdr:col>15</xdr:col>
      <xdr:colOff>535219</xdr:colOff>
      <xdr:row>12</xdr:row>
      <xdr:rowOff>16571</xdr:rowOff>
    </xdr:to>
    <xdr:sp macro="" textlink="">
      <xdr:nvSpPr>
        <xdr:cNvPr id="28" name="Rectangle: Rounded Corners 27">
          <a:extLst>
            <a:ext uri="{FF2B5EF4-FFF2-40B4-BE49-F238E27FC236}">
              <a16:creationId xmlns:a16="http://schemas.microsoft.com/office/drawing/2014/main" id="{616B93FC-CD05-F48A-9BF8-B57A439EF56A}"/>
            </a:ext>
          </a:extLst>
        </xdr:cNvPr>
        <xdr:cNvSpPr/>
      </xdr:nvSpPr>
      <xdr:spPr>
        <a:xfrm>
          <a:off x="7366005" y="1096434"/>
          <a:ext cx="2286000" cy="1097280"/>
        </a:xfrm>
        <a:prstGeom prst="roundRect">
          <a:avLst/>
        </a:prstGeom>
        <a:solidFill>
          <a:srgbClr val="21678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latin typeface="Calibri" panose="020F0502020204030204" pitchFamily="34" charset="0"/>
            <a:cs typeface="Calibri" panose="020F0502020204030204" pitchFamily="34" charset="0"/>
          </a:endParaRPr>
        </a:p>
      </xdr:txBody>
    </xdr:sp>
    <xdr:clientData/>
  </xdr:twoCellAnchor>
  <xdr:twoCellAnchor>
    <xdr:from>
      <xdr:col>9</xdr:col>
      <xdr:colOff>27220</xdr:colOff>
      <xdr:row>8</xdr:row>
      <xdr:rowOff>154213</xdr:rowOff>
    </xdr:from>
    <xdr:to>
      <xdr:col>10</xdr:col>
      <xdr:colOff>580577</xdr:colOff>
      <xdr:row>11</xdr:row>
      <xdr:rowOff>27214</xdr:rowOff>
    </xdr:to>
    <xdr:sp macro="" textlink="PT_KPISummary!B4">
      <xdr:nvSpPr>
        <xdr:cNvPr id="29" name="TextBox 28">
          <a:extLst>
            <a:ext uri="{FF2B5EF4-FFF2-40B4-BE49-F238E27FC236}">
              <a16:creationId xmlns:a16="http://schemas.microsoft.com/office/drawing/2014/main" id="{FB279B10-89AD-5148-2C57-15A6A89897CF}"/>
            </a:ext>
          </a:extLst>
        </xdr:cNvPr>
        <xdr:cNvSpPr txBox="1"/>
      </xdr:nvSpPr>
      <xdr:spPr>
        <a:xfrm>
          <a:off x="5497291" y="1605642"/>
          <a:ext cx="1161143" cy="417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C199CA-08C5-4457-AC7A-F7E0408171C7}" type="TxLink">
            <a:rPr lang="en-US" sz="2800" b="0" i="0" u="none" strike="noStrike">
              <a:solidFill>
                <a:schemeClr val="bg1"/>
              </a:solidFill>
              <a:latin typeface="Calibri" panose="020F0502020204030204" pitchFamily="34" charset="0"/>
              <a:cs typeface="Calibri" panose="020F0502020204030204" pitchFamily="34" charset="0"/>
            </a:rPr>
            <a:t>104</a:t>
          </a:fld>
          <a:endParaRPr lang="en-US" sz="2800">
            <a:solidFill>
              <a:schemeClr val="bg1"/>
            </a:solidFill>
            <a:latin typeface="Calibri" panose="020F0502020204030204" pitchFamily="34" charset="0"/>
            <a:cs typeface="Calibri" panose="020F0502020204030204" pitchFamily="34" charset="0"/>
          </a:endParaRPr>
        </a:p>
      </xdr:txBody>
    </xdr:sp>
    <xdr:clientData/>
  </xdr:twoCellAnchor>
  <xdr:twoCellAnchor>
    <xdr:from>
      <xdr:col>8</xdr:col>
      <xdr:colOff>229823</xdr:colOff>
      <xdr:row>7</xdr:row>
      <xdr:rowOff>9071</xdr:rowOff>
    </xdr:from>
    <xdr:to>
      <xdr:col>11</xdr:col>
      <xdr:colOff>181427</xdr:colOff>
      <xdr:row>8</xdr:row>
      <xdr:rowOff>81642</xdr:rowOff>
    </xdr:to>
    <xdr:sp macro="" textlink="">
      <xdr:nvSpPr>
        <xdr:cNvPr id="30" name="TextBox 29">
          <a:extLst>
            <a:ext uri="{FF2B5EF4-FFF2-40B4-BE49-F238E27FC236}">
              <a16:creationId xmlns:a16="http://schemas.microsoft.com/office/drawing/2014/main" id="{4CAA3435-73D7-797F-6DE3-6B785870821F}"/>
            </a:ext>
          </a:extLst>
        </xdr:cNvPr>
        <xdr:cNvSpPr txBox="1"/>
      </xdr:nvSpPr>
      <xdr:spPr>
        <a:xfrm>
          <a:off x="5092109" y="1279071"/>
          <a:ext cx="1774961"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Calibri" panose="020F0502020204030204" pitchFamily="34" charset="0"/>
              <a:cs typeface="Calibri" panose="020F0502020204030204" pitchFamily="34" charset="0"/>
            </a:rPr>
            <a:t>  Terminated Employees</a:t>
          </a:r>
        </a:p>
      </xdr:txBody>
    </xdr:sp>
    <xdr:clientData/>
  </xdr:twoCellAnchor>
  <xdr:twoCellAnchor>
    <xdr:from>
      <xdr:col>12</xdr:col>
      <xdr:colOff>508012</xdr:colOff>
      <xdr:row>8</xdr:row>
      <xdr:rowOff>154213</xdr:rowOff>
    </xdr:from>
    <xdr:to>
      <xdr:col>15</xdr:col>
      <xdr:colOff>108869</xdr:colOff>
      <xdr:row>11</xdr:row>
      <xdr:rowOff>72571</xdr:rowOff>
    </xdr:to>
    <xdr:sp macro="" textlink="PT_KPISummary!C6">
      <xdr:nvSpPr>
        <xdr:cNvPr id="31" name="TextBox 30">
          <a:extLst>
            <a:ext uri="{FF2B5EF4-FFF2-40B4-BE49-F238E27FC236}">
              <a16:creationId xmlns:a16="http://schemas.microsoft.com/office/drawing/2014/main" id="{589B7E31-7535-7290-4C4B-6D6BC1CDF5D5}"/>
            </a:ext>
          </a:extLst>
        </xdr:cNvPr>
        <xdr:cNvSpPr txBox="1"/>
      </xdr:nvSpPr>
      <xdr:spPr>
        <a:xfrm>
          <a:off x="7801441" y="1605642"/>
          <a:ext cx="1424214"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8DCD713-2FF7-4D57-A5C2-79784C142A36}" type="TxLink">
            <a:rPr lang="en-US" sz="2800" b="0" i="0" u="none" strike="noStrike">
              <a:solidFill>
                <a:schemeClr val="bg1"/>
              </a:solidFill>
              <a:latin typeface="Calibri" panose="020F0502020204030204" pitchFamily="34" charset="0"/>
              <a:ea typeface="+mn-ea"/>
              <a:cs typeface="Calibri" panose="020F0502020204030204" pitchFamily="34" charset="0"/>
            </a:rPr>
            <a:pPr marL="0" indent="0"/>
            <a:t>39 Years</a:t>
          </a:fld>
          <a:endParaRPr lang="en-US" sz="2800" b="0" i="0" u="none" strike="noStrike">
            <a:solidFill>
              <a:schemeClr val="bg1"/>
            </a:solidFill>
            <a:latin typeface="Calibri" panose="020F0502020204030204" pitchFamily="34" charset="0"/>
            <a:ea typeface="+mn-ea"/>
            <a:cs typeface="Calibri" panose="020F0502020204030204" pitchFamily="34" charset="0"/>
          </a:endParaRPr>
        </a:p>
      </xdr:txBody>
    </xdr:sp>
    <xdr:clientData/>
  </xdr:twoCellAnchor>
  <xdr:twoCellAnchor>
    <xdr:from>
      <xdr:col>13</xdr:col>
      <xdr:colOff>33276</xdr:colOff>
      <xdr:row>7</xdr:row>
      <xdr:rowOff>0</xdr:rowOff>
    </xdr:from>
    <xdr:to>
      <xdr:col>14</xdr:col>
      <xdr:colOff>541276</xdr:colOff>
      <xdr:row>8</xdr:row>
      <xdr:rowOff>36285</xdr:rowOff>
    </xdr:to>
    <xdr:sp macro="" textlink="">
      <xdr:nvSpPr>
        <xdr:cNvPr id="32" name="TextBox 31">
          <a:extLst>
            <a:ext uri="{FF2B5EF4-FFF2-40B4-BE49-F238E27FC236}">
              <a16:creationId xmlns:a16="http://schemas.microsoft.com/office/drawing/2014/main" id="{972F0938-FFE8-659A-7FA6-45CA2E66A9C7}"/>
            </a:ext>
          </a:extLst>
        </xdr:cNvPr>
        <xdr:cNvSpPr txBox="1"/>
      </xdr:nvSpPr>
      <xdr:spPr>
        <a:xfrm>
          <a:off x="7934490" y="1270000"/>
          <a:ext cx="1115786"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Calibri" panose="020F0502020204030204" pitchFamily="34" charset="0"/>
              <a:cs typeface="Calibri" panose="020F0502020204030204" pitchFamily="34" charset="0"/>
            </a:rPr>
            <a:t>Average Age</a:t>
          </a:r>
        </a:p>
      </xdr:txBody>
    </xdr:sp>
    <xdr:clientData/>
  </xdr:twoCellAnchor>
  <xdr:twoCellAnchor>
    <xdr:from>
      <xdr:col>16</xdr:col>
      <xdr:colOff>562422</xdr:colOff>
      <xdr:row>8</xdr:row>
      <xdr:rowOff>127001</xdr:rowOff>
    </xdr:from>
    <xdr:to>
      <xdr:col>19</xdr:col>
      <xdr:colOff>117921</xdr:colOff>
      <xdr:row>11</xdr:row>
      <xdr:rowOff>36286</xdr:rowOff>
    </xdr:to>
    <xdr:sp macro="" textlink="PT_KPISummary!E4">
      <xdr:nvSpPr>
        <xdr:cNvPr id="33" name="TextBox 32">
          <a:extLst>
            <a:ext uri="{FF2B5EF4-FFF2-40B4-BE49-F238E27FC236}">
              <a16:creationId xmlns:a16="http://schemas.microsoft.com/office/drawing/2014/main" id="{E5CBD5F4-1318-3AF8-45EC-4D83FFADCEC5}"/>
            </a:ext>
          </a:extLst>
        </xdr:cNvPr>
        <xdr:cNvSpPr txBox="1"/>
      </xdr:nvSpPr>
      <xdr:spPr>
        <a:xfrm>
          <a:off x="10286993" y="1578430"/>
          <a:ext cx="1378857" cy="453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D970C17-B83B-4765-8055-DBE29F8CA37F}" type="TxLink">
            <a:rPr lang="en-US" sz="2800" b="0" i="0" u="none" strike="noStrike">
              <a:solidFill>
                <a:schemeClr val="bg1"/>
              </a:solidFill>
              <a:latin typeface="Calibri" panose="020F0502020204030204" pitchFamily="34" charset="0"/>
              <a:ea typeface="+mn-ea"/>
              <a:cs typeface="Calibri" panose="020F0502020204030204" pitchFamily="34" charset="0"/>
            </a:rPr>
            <a:pPr marL="0" indent="0"/>
            <a:t>$69,021</a:t>
          </a:fld>
          <a:endParaRPr lang="en-US" sz="2800" b="0" i="0" u="none" strike="noStrike">
            <a:solidFill>
              <a:schemeClr val="bg1"/>
            </a:solidFill>
            <a:latin typeface="Calibri" panose="020F0502020204030204" pitchFamily="34" charset="0"/>
            <a:ea typeface="+mn-ea"/>
            <a:cs typeface="Calibri" panose="020F0502020204030204" pitchFamily="34" charset="0"/>
          </a:endParaRPr>
        </a:p>
      </xdr:txBody>
    </xdr:sp>
    <xdr:clientData/>
  </xdr:twoCellAnchor>
  <xdr:twoCellAnchor>
    <xdr:from>
      <xdr:col>16</xdr:col>
      <xdr:colOff>598715</xdr:colOff>
      <xdr:row>7</xdr:row>
      <xdr:rowOff>9071</xdr:rowOff>
    </xdr:from>
    <xdr:to>
      <xdr:col>19</xdr:col>
      <xdr:colOff>181428</xdr:colOff>
      <xdr:row>8</xdr:row>
      <xdr:rowOff>154213</xdr:rowOff>
    </xdr:to>
    <xdr:sp macro="" textlink="">
      <xdr:nvSpPr>
        <xdr:cNvPr id="34" name="TextBox 33">
          <a:extLst>
            <a:ext uri="{FF2B5EF4-FFF2-40B4-BE49-F238E27FC236}">
              <a16:creationId xmlns:a16="http://schemas.microsoft.com/office/drawing/2014/main" id="{FDDA615B-094C-DBB5-3926-74347AC158B3}"/>
            </a:ext>
          </a:extLst>
        </xdr:cNvPr>
        <xdr:cNvSpPr txBox="1"/>
      </xdr:nvSpPr>
      <xdr:spPr>
        <a:xfrm>
          <a:off x="10323286" y="1279071"/>
          <a:ext cx="1406071"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Calibri" panose="020F0502020204030204" pitchFamily="34" charset="0"/>
              <a:cs typeface="Calibri" panose="020F0502020204030204" pitchFamily="34" charset="0"/>
            </a:rPr>
            <a:t>  Average Salary</a:t>
          </a:r>
        </a:p>
      </xdr:txBody>
    </xdr:sp>
    <xdr:clientData/>
  </xdr:twoCellAnchor>
  <xdr:twoCellAnchor>
    <xdr:from>
      <xdr:col>4</xdr:col>
      <xdr:colOff>453574</xdr:colOff>
      <xdr:row>15</xdr:row>
      <xdr:rowOff>157843</xdr:rowOff>
    </xdr:from>
    <xdr:to>
      <xdr:col>6</xdr:col>
      <xdr:colOff>344717</xdr:colOff>
      <xdr:row>17</xdr:row>
      <xdr:rowOff>166914</xdr:rowOff>
    </xdr:to>
    <xdr:sp macro="" textlink="PT_KPISummary!F4">
      <xdr:nvSpPr>
        <xdr:cNvPr id="35" name="TextBox 34">
          <a:extLst>
            <a:ext uri="{FF2B5EF4-FFF2-40B4-BE49-F238E27FC236}">
              <a16:creationId xmlns:a16="http://schemas.microsoft.com/office/drawing/2014/main" id="{8FB37173-81C4-E1AE-D66B-FD6DFE1D9EEF}"/>
            </a:ext>
          </a:extLst>
        </xdr:cNvPr>
        <xdr:cNvSpPr txBox="1"/>
      </xdr:nvSpPr>
      <xdr:spPr>
        <a:xfrm>
          <a:off x="2884717" y="2879272"/>
          <a:ext cx="1106714" cy="371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2C3A7F5-47C3-4D3E-BC42-255636BE0967}" type="TxLink">
            <a:rPr lang="en-US" sz="2800" b="1" i="0" u="none" strike="noStrike">
              <a:solidFill>
                <a:schemeClr val="bg1"/>
              </a:solidFill>
              <a:latin typeface="Aptos Narrow"/>
              <a:ea typeface="+mn-ea"/>
              <a:cs typeface="+mn-cs"/>
            </a:rPr>
            <a:pPr marL="0" indent="0" algn="ctr"/>
            <a:t>4.11</a:t>
          </a:fld>
          <a:endParaRPr lang="en-US" sz="2800" b="1" i="0" u="none" strike="noStrike">
            <a:solidFill>
              <a:schemeClr val="bg1"/>
            </a:solidFill>
            <a:latin typeface="Aptos Narrow"/>
            <a:ea typeface="+mn-ea"/>
            <a:cs typeface="+mn-cs"/>
          </a:endParaRPr>
        </a:p>
      </xdr:txBody>
    </xdr:sp>
    <xdr:clientData/>
  </xdr:twoCellAnchor>
  <xdr:twoCellAnchor>
    <xdr:from>
      <xdr:col>8</xdr:col>
      <xdr:colOff>469902</xdr:colOff>
      <xdr:row>15</xdr:row>
      <xdr:rowOff>161470</xdr:rowOff>
    </xdr:from>
    <xdr:to>
      <xdr:col>10</xdr:col>
      <xdr:colOff>361045</xdr:colOff>
      <xdr:row>18</xdr:row>
      <xdr:rowOff>43542</xdr:rowOff>
    </xdr:to>
    <xdr:sp macro="" textlink="PT_KPISummary!G4">
      <xdr:nvSpPr>
        <xdr:cNvPr id="36" name="TextBox 35">
          <a:extLst>
            <a:ext uri="{FF2B5EF4-FFF2-40B4-BE49-F238E27FC236}">
              <a16:creationId xmlns:a16="http://schemas.microsoft.com/office/drawing/2014/main" id="{692506C3-31BB-AE2C-EE0E-964D6027E1ED}"/>
            </a:ext>
          </a:extLst>
        </xdr:cNvPr>
        <xdr:cNvSpPr txBox="1"/>
      </xdr:nvSpPr>
      <xdr:spPr>
        <a:xfrm>
          <a:off x="5332188" y="2882899"/>
          <a:ext cx="1106714" cy="426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9220F48-899F-4125-A883-123CBCE0C192}" type="TxLink">
            <a:rPr lang="en-US" sz="2800" b="1" i="0" u="none" strike="noStrike">
              <a:solidFill>
                <a:schemeClr val="bg1"/>
              </a:solidFill>
              <a:latin typeface="Aptos Narrow"/>
              <a:ea typeface="+mn-ea"/>
              <a:cs typeface="+mn-cs"/>
            </a:rPr>
            <a:pPr marL="0" indent="0" algn="ctr"/>
            <a:t>207</a:t>
          </a:fld>
          <a:endParaRPr lang="en-US" sz="2800" b="1" i="0" u="none" strike="noStrike">
            <a:solidFill>
              <a:schemeClr val="bg1"/>
            </a:solidFill>
            <a:latin typeface="Aptos Narrow"/>
            <a:ea typeface="+mn-ea"/>
            <a:cs typeface="+mn-cs"/>
          </a:endParaRPr>
        </a:p>
      </xdr:txBody>
    </xdr:sp>
    <xdr:clientData/>
  </xdr:twoCellAnchor>
  <xdr:twoCellAnchor>
    <xdr:from>
      <xdr:col>16</xdr:col>
      <xdr:colOff>353804</xdr:colOff>
      <xdr:row>15</xdr:row>
      <xdr:rowOff>105228</xdr:rowOff>
    </xdr:from>
    <xdr:to>
      <xdr:col>19</xdr:col>
      <xdr:colOff>335660</xdr:colOff>
      <xdr:row>18</xdr:row>
      <xdr:rowOff>45358</xdr:rowOff>
    </xdr:to>
    <xdr:sp macro="" textlink="PT_KPISummary!D6">
      <xdr:nvSpPr>
        <xdr:cNvPr id="37" name="TextBox 36">
          <a:extLst>
            <a:ext uri="{FF2B5EF4-FFF2-40B4-BE49-F238E27FC236}">
              <a16:creationId xmlns:a16="http://schemas.microsoft.com/office/drawing/2014/main" id="{7B5D9806-E734-4E81-AFDA-3E11A298B2C0}"/>
            </a:ext>
          </a:extLst>
        </xdr:cNvPr>
        <xdr:cNvSpPr txBox="1"/>
      </xdr:nvSpPr>
      <xdr:spPr>
        <a:xfrm>
          <a:off x="10078375" y="2826657"/>
          <a:ext cx="1805214" cy="484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71CD073-44A5-4229-A728-607177164C7D}" type="TxLink">
            <a:rPr lang="en-US" sz="2800" b="1" i="0" u="none" strike="noStrike">
              <a:solidFill>
                <a:schemeClr val="bg1"/>
              </a:solidFill>
              <a:latin typeface="Aptos Narrow"/>
              <a:ea typeface="+mn-ea"/>
              <a:cs typeface="+mn-cs"/>
            </a:rPr>
            <a:pPr marL="0" indent="0" algn="ctr"/>
            <a:t>5.3 Years</a:t>
          </a:fld>
          <a:endParaRPr lang="en-US" sz="2800" b="1" i="0" u="none" strike="noStrike">
            <a:solidFill>
              <a:schemeClr val="bg1"/>
            </a:solidFill>
            <a:latin typeface="Aptos Narrow"/>
            <a:ea typeface="+mn-ea"/>
            <a:cs typeface="+mn-cs"/>
          </a:endParaRPr>
        </a:p>
      </xdr:txBody>
    </xdr:sp>
    <xdr:clientData/>
  </xdr:twoCellAnchor>
  <xdr:twoCellAnchor>
    <xdr:from>
      <xdr:col>16</xdr:col>
      <xdr:colOff>589643</xdr:colOff>
      <xdr:row>13</xdr:row>
      <xdr:rowOff>163284</xdr:rowOff>
    </xdr:from>
    <xdr:to>
      <xdr:col>19</xdr:col>
      <xdr:colOff>208645</xdr:colOff>
      <xdr:row>15</xdr:row>
      <xdr:rowOff>177798</xdr:rowOff>
    </xdr:to>
    <xdr:sp macro="" textlink="">
      <xdr:nvSpPr>
        <xdr:cNvPr id="38" name="TextBox 37">
          <a:extLst>
            <a:ext uri="{FF2B5EF4-FFF2-40B4-BE49-F238E27FC236}">
              <a16:creationId xmlns:a16="http://schemas.microsoft.com/office/drawing/2014/main" id="{2A3F75B5-7A9C-BDD7-3FB5-BF9205D99275}"/>
            </a:ext>
          </a:extLst>
        </xdr:cNvPr>
        <xdr:cNvSpPr txBox="1"/>
      </xdr:nvSpPr>
      <xdr:spPr>
        <a:xfrm>
          <a:off x="10314214" y="2521855"/>
          <a:ext cx="1442360" cy="377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chemeClr val="bg1"/>
              </a:solidFill>
              <a:latin typeface="Calibri" panose="020F0502020204030204" pitchFamily="34" charset="0"/>
              <a:ea typeface="+mn-ea"/>
              <a:cs typeface="Calibri" panose="020F0502020204030204" pitchFamily="34" charset="0"/>
            </a:rPr>
            <a:t>Average Tenure</a:t>
          </a:r>
        </a:p>
      </xdr:txBody>
    </xdr:sp>
    <xdr:clientData/>
  </xdr:twoCellAnchor>
  <xdr:twoCellAnchor>
    <xdr:from>
      <xdr:col>13</xdr:col>
      <xdr:colOff>92535</xdr:colOff>
      <xdr:row>14</xdr:row>
      <xdr:rowOff>10884</xdr:rowOff>
    </xdr:from>
    <xdr:to>
      <xdr:col>14</xdr:col>
      <xdr:colOff>591463</xdr:colOff>
      <xdr:row>16</xdr:row>
      <xdr:rowOff>74384</xdr:rowOff>
    </xdr:to>
    <xdr:sp macro="" textlink="">
      <xdr:nvSpPr>
        <xdr:cNvPr id="39" name="TextBox 38">
          <a:extLst>
            <a:ext uri="{FF2B5EF4-FFF2-40B4-BE49-F238E27FC236}">
              <a16:creationId xmlns:a16="http://schemas.microsoft.com/office/drawing/2014/main" id="{C983B5EB-5747-5047-27BE-7898A51B61CC}"/>
            </a:ext>
          </a:extLst>
        </xdr:cNvPr>
        <xdr:cNvSpPr txBox="1"/>
      </xdr:nvSpPr>
      <xdr:spPr>
        <a:xfrm>
          <a:off x="7993749" y="2550884"/>
          <a:ext cx="1106714" cy="426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Calibri" panose="020F0502020204030204" pitchFamily="34" charset="0"/>
              <a:ea typeface="+mn-ea"/>
              <a:cs typeface="Calibri" panose="020F0502020204030204" pitchFamily="34" charset="0"/>
            </a:rPr>
            <a:t>Turnover</a:t>
          </a:r>
          <a:r>
            <a:rPr lang="en-US"/>
            <a:t> </a:t>
          </a:r>
          <a:r>
            <a:rPr lang="en-US" sz="1200" b="1">
              <a:solidFill>
                <a:schemeClr val="bg1"/>
              </a:solidFill>
              <a:latin typeface="Calibri" panose="020F0502020204030204" pitchFamily="34" charset="0"/>
              <a:ea typeface="+mn-ea"/>
              <a:cs typeface="Calibri" panose="020F0502020204030204" pitchFamily="34" charset="0"/>
            </a:rPr>
            <a:t>Rate</a:t>
          </a:r>
        </a:p>
      </xdr:txBody>
    </xdr:sp>
    <xdr:clientData/>
  </xdr:twoCellAnchor>
  <xdr:twoCellAnchor>
    <xdr:from>
      <xdr:col>13</xdr:col>
      <xdr:colOff>27217</xdr:colOff>
      <xdr:row>15</xdr:row>
      <xdr:rowOff>154214</xdr:rowOff>
    </xdr:from>
    <xdr:to>
      <xdr:col>14</xdr:col>
      <xdr:colOff>526145</xdr:colOff>
      <xdr:row>18</xdr:row>
      <xdr:rowOff>36286</xdr:rowOff>
    </xdr:to>
    <xdr:sp macro="" textlink="PT_KPISummary!H4">
      <xdr:nvSpPr>
        <xdr:cNvPr id="40" name="TextBox 39">
          <a:extLst>
            <a:ext uri="{FF2B5EF4-FFF2-40B4-BE49-F238E27FC236}">
              <a16:creationId xmlns:a16="http://schemas.microsoft.com/office/drawing/2014/main" id="{07C575F9-B6BC-525B-DF79-6A0235CF1E12}"/>
            </a:ext>
          </a:extLst>
        </xdr:cNvPr>
        <xdr:cNvSpPr txBox="1"/>
      </xdr:nvSpPr>
      <xdr:spPr>
        <a:xfrm>
          <a:off x="7928431" y="2875643"/>
          <a:ext cx="1106714" cy="426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AD3EF6B-EEE7-44F9-80F3-4D00B6C7CC96}" type="TxLink">
            <a:rPr lang="en-US" sz="2800" b="1" i="0" u="none" strike="noStrike">
              <a:solidFill>
                <a:schemeClr val="bg1"/>
              </a:solidFill>
              <a:latin typeface="Aptos Narrow"/>
              <a:ea typeface="+mn-ea"/>
              <a:cs typeface="+mn-cs"/>
            </a:rPr>
            <a:pPr marL="0" indent="0" algn="ctr"/>
            <a:t>33%</a:t>
          </a:fld>
          <a:endParaRPr lang="en-US" sz="2800" b="1" i="0" u="none" strike="noStrike">
            <a:solidFill>
              <a:schemeClr val="bg1"/>
            </a:solidFill>
            <a:latin typeface="Aptos Narrow"/>
            <a:ea typeface="+mn-ea"/>
            <a:cs typeface="+mn-cs"/>
          </a:endParaRPr>
        </a:p>
      </xdr:txBody>
    </xdr:sp>
    <xdr:clientData/>
  </xdr:twoCellAnchor>
  <xdr:twoCellAnchor>
    <xdr:from>
      <xdr:col>4</xdr:col>
      <xdr:colOff>208646</xdr:colOff>
      <xdr:row>14</xdr:row>
      <xdr:rowOff>7256</xdr:rowOff>
    </xdr:from>
    <xdr:to>
      <xdr:col>6</xdr:col>
      <xdr:colOff>589646</xdr:colOff>
      <xdr:row>15</xdr:row>
      <xdr:rowOff>126997</xdr:rowOff>
    </xdr:to>
    <xdr:sp macro="" textlink="">
      <xdr:nvSpPr>
        <xdr:cNvPr id="41" name="TextBox 40">
          <a:extLst>
            <a:ext uri="{FF2B5EF4-FFF2-40B4-BE49-F238E27FC236}">
              <a16:creationId xmlns:a16="http://schemas.microsoft.com/office/drawing/2014/main" id="{E7ED6F95-652D-6C6E-EBCB-3F27232BFF18}"/>
            </a:ext>
          </a:extLst>
        </xdr:cNvPr>
        <xdr:cNvSpPr txBox="1"/>
      </xdr:nvSpPr>
      <xdr:spPr>
        <a:xfrm>
          <a:off x="2639789" y="2547256"/>
          <a:ext cx="1596571" cy="301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Calibri" panose="020F0502020204030204" pitchFamily="34" charset="0"/>
              <a:cs typeface="Calibri" panose="020F0502020204030204" pitchFamily="34" charset="0"/>
            </a:rPr>
            <a:t>Average Engagement</a:t>
          </a:r>
        </a:p>
      </xdr:txBody>
    </xdr:sp>
    <xdr:clientData/>
  </xdr:twoCellAnchor>
  <xdr:twoCellAnchor>
    <xdr:from>
      <xdr:col>8</xdr:col>
      <xdr:colOff>449955</xdr:colOff>
      <xdr:row>13</xdr:row>
      <xdr:rowOff>177801</xdr:rowOff>
    </xdr:from>
    <xdr:to>
      <xdr:col>10</xdr:col>
      <xdr:colOff>553370</xdr:colOff>
      <xdr:row>15</xdr:row>
      <xdr:rowOff>146956</xdr:rowOff>
    </xdr:to>
    <xdr:sp macro="" textlink="">
      <xdr:nvSpPr>
        <xdr:cNvPr id="42" name="TextBox 41">
          <a:extLst>
            <a:ext uri="{FF2B5EF4-FFF2-40B4-BE49-F238E27FC236}">
              <a16:creationId xmlns:a16="http://schemas.microsoft.com/office/drawing/2014/main" id="{ED6DF012-31E8-8724-CC0C-0281759A34BC}"/>
            </a:ext>
          </a:extLst>
        </xdr:cNvPr>
        <xdr:cNvSpPr txBox="1"/>
      </xdr:nvSpPr>
      <xdr:spPr>
        <a:xfrm>
          <a:off x="5312241" y="2536372"/>
          <a:ext cx="1318986" cy="332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chemeClr val="bg1"/>
              </a:solidFill>
              <a:latin typeface="Calibri" panose="020F0502020204030204" pitchFamily="34" charset="0"/>
              <a:ea typeface="+mn-ea"/>
              <a:cs typeface="Calibri" panose="020F0502020204030204" pitchFamily="34" charset="0"/>
            </a:rPr>
            <a:t>Active Employees</a:t>
          </a:r>
        </a:p>
      </xdr:txBody>
    </xdr:sp>
    <xdr:clientData/>
  </xdr:twoCellAnchor>
  <xdr:twoCellAnchor>
    <xdr:from>
      <xdr:col>3</xdr:col>
      <xdr:colOff>580577</xdr:colOff>
      <xdr:row>20</xdr:row>
      <xdr:rowOff>45358</xdr:rowOff>
    </xdr:from>
    <xdr:to>
      <xdr:col>11</xdr:col>
      <xdr:colOff>444506</xdr:colOff>
      <xdr:row>32</xdr:row>
      <xdr:rowOff>90715</xdr:rowOff>
    </xdr:to>
    <xdr:sp macro="" textlink="">
      <xdr:nvSpPr>
        <xdr:cNvPr id="57" name="Rectangle: Rounded Corners 56">
          <a:extLst>
            <a:ext uri="{FF2B5EF4-FFF2-40B4-BE49-F238E27FC236}">
              <a16:creationId xmlns:a16="http://schemas.microsoft.com/office/drawing/2014/main" id="{8AEAC2A1-DDD5-1637-D806-4AC187410408}"/>
            </a:ext>
          </a:extLst>
        </xdr:cNvPr>
        <xdr:cNvSpPr/>
      </xdr:nvSpPr>
      <xdr:spPr>
        <a:xfrm>
          <a:off x="2403934" y="3673929"/>
          <a:ext cx="4726215" cy="2222500"/>
        </a:xfrm>
        <a:prstGeom prst="roundRect">
          <a:avLst>
            <a:gd name="adj" fmla="val 5142"/>
          </a:avLst>
        </a:prstGeom>
        <a:solidFill>
          <a:schemeClr val="bg1"/>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587840</xdr:colOff>
      <xdr:row>33</xdr:row>
      <xdr:rowOff>117928</xdr:rowOff>
    </xdr:from>
    <xdr:to>
      <xdr:col>11</xdr:col>
      <xdr:colOff>453002</xdr:colOff>
      <xdr:row>45</xdr:row>
      <xdr:rowOff>162777</xdr:rowOff>
    </xdr:to>
    <xdr:sp macro="" textlink="">
      <xdr:nvSpPr>
        <xdr:cNvPr id="58" name="Rectangle: Rounded Corners 57">
          <a:extLst>
            <a:ext uri="{FF2B5EF4-FFF2-40B4-BE49-F238E27FC236}">
              <a16:creationId xmlns:a16="http://schemas.microsoft.com/office/drawing/2014/main" id="{C88AEBBB-3BFA-D53D-4BAE-E638A9C00AA9}"/>
            </a:ext>
          </a:extLst>
        </xdr:cNvPr>
        <xdr:cNvSpPr/>
      </xdr:nvSpPr>
      <xdr:spPr>
        <a:xfrm>
          <a:off x="2411197" y="6105071"/>
          <a:ext cx="4727448" cy="2221992"/>
        </a:xfrm>
        <a:prstGeom prst="roundRect">
          <a:avLst>
            <a:gd name="adj" fmla="val 5142"/>
          </a:avLst>
        </a:prstGeom>
        <a:solidFill>
          <a:schemeClr val="bg1"/>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72570</xdr:colOff>
      <xdr:row>33</xdr:row>
      <xdr:rowOff>127002</xdr:rowOff>
    </xdr:from>
    <xdr:to>
      <xdr:col>19</xdr:col>
      <xdr:colOff>545518</xdr:colOff>
      <xdr:row>45</xdr:row>
      <xdr:rowOff>180995</xdr:rowOff>
    </xdr:to>
    <xdr:sp macro="" textlink="">
      <xdr:nvSpPr>
        <xdr:cNvPr id="59" name="Rectangle: Rounded Corners 58">
          <a:extLst>
            <a:ext uri="{FF2B5EF4-FFF2-40B4-BE49-F238E27FC236}">
              <a16:creationId xmlns:a16="http://schemas.microsoft.com/office/drawing/2014/main" id="{2D918AC4-4055-D762-EC05-5D2D9DC692FB}"/>
            </a:ext>
          </a:extLst>
        </xdr:cNvPr>
        <xdr:cNvSpPr/>
      </xdr:nvSpPr>
      <xdr:spPr>
        <a:xfrm>
          <a:off x="7365999" y="6114145"/>
          <a:ext cx="4727448" cy="2231136"/>
        </a:xfrm>
        <a:prstGeom prst="roundRect">
          <a:avLst>
            <a:gd name="adj" fmla="val 5142"/>
          </a:avLst>
        </a:prstGeom>
        <a:solidFill>
          <a:schemeClr val="bg1"/>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63505</xdr:colOff>
      <xdr:row>20</xdr:row>
      <xdr:rowOff>58058</xdr:rowOff>
    </xdr:from>
    <xdr:to>
      <xdr:col>19</xdr:col>
      <xdr:colOff>536453</xdr:colOff>
      <xdr:row>32</xdr:row>
      <xdr:rowOff>102907</xdr:rowOff>
    </xdr:to>
    <xdr:sp macro="" textlink="">
      <xdr:nvSpPr>
        <xdr:cNvPr id="60" name="Rectangle: Rounded Corners 59">
          <a:extLst>
            <a:ext uri="{FF2B5EF4-FFF2-40B4-BE49-F238E27FC236}">
              <a16:creationId xmlns:a16="http://schemas.microsoft.com/office/drawing/2014/main" id="{4F5F8937-ADDA-A506-E547-610768E6EF41}"/>
            </a:ext>
          </a:extLst>
        </xdr:cNvPr>
        <xdr:cNvSpPr/>
      </xdr:nvSpPr>
      <xdr:spPr>
        <a:xfrm>
          <a:off x="7356934" y="3686629"/>
          <a:ext cx="4727448" cy="2221992"/>
        </a:xfrm>
        <a:prstGeom prst="roundRect">
          <a:avLst>
            <a:gd name="adj" fmla="val 5142"/>
          </a:avLst>
        </a:prstGeom>
        <a:solidFill>
          <a:schemeClr val="bg1"/>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172363</xdr:colOff>
      <xdr:row>10</xdr:row>
      <xdr:rowOff>88900</xdr:rowOff>
    </xdr:from>
    <xdr:to>
      <xdr:col>28</xdr:col>
      <xdr:colOff>9071</xdr:colOff>
      <xdr:row>32</xdr:row>
      <xdr:rowOff>136072</xdr:rowOff>
    </xdr:to>
    <xdr:sp macro="" textlink="">
      <xdr:nvSpPr>
        <xdr:cNvPr id="61" name="Rectangle: Rounded Corners 60">
          <a:extLst>
            <a:ext uri="{FF2B5EF4-FFF2-40B4-BE49-F238E27FC236}">
              <a16:creationId xmlns:a16="http://schemas.microsoft.com/office/drawing/2014/main" id="{BB297CC1-08CF-B1FB-22F7-750399C979DE}"/>
            </a:ext>
          </a:extLst>
        </xdr:cNvPr>
        <xdr:cNvSpPr/>
      </xdr:nvSpPr>
      <xdr:spPr>
        <a:xfrm>
          <a:off x="12328077" y="1903186"/>
          <a:ext cx="4698994" cy="4038600"/>
        </a:xfrm>
        <a:prstGeom prst="roundRect">
          <a:avLst>
            <a:gd name="adj" fmla="val 5142"/>
          </a:avLst>
        </a:prstGeom>
        <a:solidFill>
          <a:schemeClr val="bg1"/>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163282</xdr:colOff>
      <xdr:row>33</xdr:row>
      <xdr:rowOff>126999</xdr:rowOff>
    </xdr:from>
    <xdr:to>
      <xdr:col>28</xdr:col>
      <xdr:colOff>28444</xdr:colOff>
      <xdr:row>45</xdr:row>
      <xdr:rowOff>180992</xdr:rowOff>
    </xdr:to>
    <xdr:sp macro="" textlink="">
      <xdr:nvSpPr>
        <xdr:cNvPr id="62" name="Rectangle: Rounded Corners 61">
          <a:extLst>
            <a:ext uri="{FF2B5EF4-FFF2-40B4-BE49-F238E27FC236}">
              <a16:creationId xmlns:a16="http://schemas.microsoft.com/office/drawing/2014/main" id="{BFA9532C-7EAD-A090-BBE1-E337E8714A8E}"/>
            </a:ext>
          </a:extLst>
        </xdr:cNvPr>
        <xdr:cNvSpPr/>
      </xdr:nvSpPr>
      <xdr:spPr>
        <a:xfrm>
          <a:off x="12318996" y="6114142"/>
          <a:ext cx="4727448" cy="2231136"/>
        </a:xfrm>
        <a:prstGeom prst="roundRect">
          <a:avLst>
            <a:gd name="adj" fmla="val 5142"/>
          </a:avLst>
        </a:prstGeom>
        <a:solidFill>
          <a:schemeClr val="bg1"/>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226787</xdr:colOff>
      <xdr:row>10</xdr:row>
      <xdr:rowOff>136071</xdr:rowOff>
    </xdr:from>
    <xdr:to>
      <xdr:col>28</xdr:col>
      <xdr:colOff>9071</xdr:colOff>
      <xdr:row>32</xdr:row>
      <xdr:rowOff>72572</xdr:rowOff>
    </xdr:to>
    <xdr:graphicFrame macro="">
      <xdr:nvGraphicFramePr>
        <xdr:cNvPr id="63" name="Chart 62">
          <a:extLst>
            <a:ext uri="{FF2B5EF4-FFF2-40B4-BE49-F238E27FC236}">
              <a16:creationId xmlns:a16="http://schemas.microsoft.com/office/drawing/2014/main" id="{446EBB31-0D45-4B43-B7B5-779CEBD5F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444500</xdr:colOff>
      <xdr:row>19</xdr:row>
      <xdr:rowOff>181427</xdr:rowOff>
    </xdr:from>
    <xdr:to>
      <xdr:col>20</xdr:col>
      <xdr:colOff>72572</xdr:colOff>
      <xdr:row>32</xdr:row>
      <xdr:rowOff>163285</xdr:rowOff>
    </xdr:to>
    <xdr:graphicFrame macro="">
      <xdr:nvGraphicFramePr>
        <xdr:cNvPr id="64" name="Chart 63">
          <a:extLst>
            <a:ext uri="{FF2B5EF4-FFF2-40B4-BE49-F238E27FC236}">
              <a16:creationId xmlns:a16="http://schemas.microsoft.com/office/drawing/2014/main" id="{A62FCBD1-7769-47D5-8E4F-4D876A497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36290</xdr:colOff>
      <xdr:row>33</xdr:row>
      <xdr:rowOff>103414</xdr:rowOff>
    </xdr:from>
    <xdr:to>
      <xdr:col>11</xdr:col>
      <xdr:colOff>507999</xdr:colOff>
      <xdr:row>45</xdr:row>
      <xdr:rowOff>136071</xdr:rowOff>
    </xdr:to>
    <xdr:graphicFrame macro="">
      <xdr:nvGraphicFramePr>
        <xdr:cNvPr id="65" name="Chart 64">
          <a:extLst>
            <a:ext uri="{FF2B5EF4-FFF2-40B4-BE49-F238E27FC236}">
              <a16:creationId xmlns:a16="http://schemas.microsoft.com/office/drawing/2014/main" id="{62E95B20-D73C-4704-BF9D-CE6FA6622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489858</xdr:colOff>
      <xdr:row>34</xdr:row>
      <xdr:rowOff>9072</xdr:rowOff>
    </xdr:from>
    <xdr:to>
      <xdr:col>27</xdr:col>
      <xdr:colOff>435430</xdr:colOff>
      <xdr:row>44</xdr:row>
      <xdr:rowOff>172357</xdr:rowOff>
    </xdr:to>
    <xdr:graphicFrame macro="">
      <xdr:nvGraphicFramePr>
        <xdr:cNvPr id="66" name="Chart 65">
          <a:extLst>
            <a:ext uri="{FF2B5EF4-FFF2-40B4-BE49-F238E27FC236}">
              <a16:creationId xmlns:a16="http://schemas.microsoft.com/office/drawing/2014/main" id="{5470A9E6-E3F4-4A6D-B139-CCBDA0B0C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553357</xdr:colOff>
      <xdr:row>20</xdr:row>
      <xdr:rowOff>9072</xdr:rowOff>
    </xdr:from>
    <xdr:to>
      <xdr:col>11</xdr:col>
      <xdr:colOff>571500</xdr:colOff>
      <xdr:row>32</xdr:row>
      <xdr:rowOff>154215</xdr:rowOff>
    </xdr:to>
    <xdr:graphicFrame macro="">
      <xdr:nvGraphicFramePr>
        <xdr:cNvPr id="67" name="Chart 66">
          <a:extLst>
            <a:ext uri="{FF2B5EF4-FFF2-40B4-BE49-F238E27FC236}">
              <a16:creationId xmlns:a16="http://schemas.microsoft.com/office/drawing/2014/main" id="{F594CCB5-2135-4C4B-83AD-DE70906A8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99786</xdr:colOff>
      <xdr:row>33</xdr:row>
      <xdr:rowOff>99786</xdr:rowOff>
    </xdr:from>
    <xdr:to>
      <xdr:col>19</xdr:col>
      <xdr:colOff>544286</xdr:colOff>
      <xdr:row>45</xdr:row>
      <xdr:rowOff>117928</xdr:rowOff>
    </xdr:to>
    <xdr:graphicFrame macro="">
      <xdr:nvGraphicFramePr>
        <xdr:cNvPr id="68" name="Chart 67">
          <a:extLst>
            <a:ext uri="{FF2B5EF4-FFF2-40B4-BE49-F238E27FC236}">
              <a16:creationId xmlns:a16="http://schemas.microsoft.com/office/drawing/2014/main" id="{CA0B9EA1-54FB-4EEB-83EC-C8286C83F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390074</xdr:colOff>
      <xdr:row>43</xdr:row>
      <xdr:rowOff>18142</xdr:rowOff>
    </xdr:from>
    <xdr:to>
      <xdr:col>1</xdr:col>
      <xdr:colOff>171756</xdr:colOff>
      <xdr:row>45</xdr:row>
      <xdr:rowOff>78618</xdr:rowOff>
    </xdr:to>
    <xdr:sp macro="" textlink="">
      <xdr:nvSpPr>
        <xdr:cNvPr id="69" name="Oval 68">
          <a:extLst>
            <a:ext uri="{FF2B5EF4-FFF2-40B4-BE49-F238E27FC236}">
              <a16:creationId xmlns:a16="http://schemas.microsoft.com/office/drawing/2014/main" id="{84AE7FAA-2257-4CA6-ADF7-AEED4FFF6352}"/>
            </a:ext>
          </a:extLst>
        </xdr:cNvPr>
        <xdr:cNvSpPr/>
      </xdr:nvSpPr>
      <xdr:spPr>
        <a:xfrm>
          <a:off x="390074" y="7819571"/>
          <a:ext cx="389468" cy="423333"/>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444499</xdr:colOff>
      <xdr:row>43</xdr:row>
      <xdr:rowOff>54426</xdr:rowOff>
    </xdr:from>
    <xdr:to>
      <xdr:col>1</xdr:col>
      <xdr:colOff>124581</xdr:colOff>
      <xdr:row>44</xdr:row>
      <xdr:rowOff>160866</xdr:rowOff>
    </xdr:to>
    <xdr:pic>
      <xdr:nvPicPr>
        <xdr:cNvPr id="70" name="Picture 69">
          <a:extLst>
            <a:ext uri="{FF2B5EF4-FFF2-40B4-BE49-F238E27FC236}">
              <a16:creationId xmlns:a16="http://schemas.microsoft.com/office/drawing/2014/main" id="{AEBFFE07-40FD-4505-989A-5B703095B03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44499" y="7855855"/>
          <a:ext cx="287868" cy="287868"/>
        </a:xfrm>
        <a:prstGeom prst="rect">
          <a:avLst/>
        </a:prstGeom>
      </xdr:spPr>
    </xdr:pic>
    <xdr:clientData/>
  </xdr:twoCellAnchor>
  <xdr:twoCellAnchor>
    <xdr:from>
      <xdr:col>1</xdr:col>
      <xdr:colOff>72567</xdr:colOff>
      <xdr:row>44</xdr:row>
      <xdr:rowOff>1</xdr:rowOff>
    </xdr:from>
    <xdr:to>
      <xdr:col>3</xdr:col>
      <xdr:colOff>143930</xdr:colOff>
      <xdr:row>45</xdr:row>
      <xdr:rowOff>97972</xdr:rowOff>
    </xdr:to>
    <xdr:sp macro="" textlink="">
      <xdr:nvSpPr>
        <xdr:cNvPr id="72" name="TextBox 71">
          <a:extLst>
            <a:ext uri="{FF2B5EF4-FFF2-40B4-BE49-F238E27FC236}">
              <a16:creationId xmlns:a16="http://schemas.microsoft.com/office/drawing/2014/main" id="{D70DF78E-FAA4-43E2-9065-9A064FE75193}"/>
            </a:ext>
          </a:extLst>
        </xdr:cNvPr>
        <xdr:cNvSpPr txBox="1"/>
      </xdr:nvSpPr>
      <xdr:spPr>
        <a:xfrm>
          <a:off x="680353" y="7982858"/>
          <a:ext cx="1286934"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i="1">
              <a:solidFill>
                <a:schemeClr val="bg1"/>
              </a:solidFill>
              <a:effectLst/>
              <a:latin typeface="+mn-lt"/>
              <a:ea typeface="+mn-ea"/>
              <a:cs typeface="+mn-cs"/>
            </a:rPr>
            <a:t>      Data Analyst</a:t>
          </a:r>
          <a:endParaRPr lang="en-US" sz="1000">
            <a:solidFill>
              <a:schemeClr val="bg1"/>
            </a:solidFill>
            <a:effectLst/>
          </a:endParaRPr>
        </a:p>
        <a:p>
          <a:endParaRPr lang="en-US" sz="1100">
            <a:solidFill>
              <a:schemeClr val="bg1"/>
            </a:solidFill>
          </a:endParaRPr>
        </a:p>
      </xdr:txBody>
    </xdr:sp>
    <xdr:clientData/>
  </xdr:twoCellAnchor>
  <xdr:twoCellAnchor>
    <xdr:from>
      <xdr:col>0</xdr:col>
      <xdr:colOff>453580</xdr:colOff>
      <xdr:row>42</xdr:row>
      <xdr:rowOff>172358</xdr:rowOff>
    </xdr:from>
    <xdr:to>
      <xdr:col>2</xdr:col>
      <xdr:colOff>601143</xdr:colOff>
      <xdr:row>44</xdr:row>
      <xdr:rowOff>4231</xdr:rowOff>
    </xdr:to>
    <xdr:sp macro="" textlink="">
      <xdr:nvSpPr>
        <xdr:cNvPr id="73" name="TextBox 72">
          <a:extLst>
            <a:ext uri="{FF2B5EF4-FFF2-40B4-BE49-F238E27FC236}">
              <a16:creationId xmlns:a16="http://schemas.microsoft.com/office/drawing/2014/main" id="{3E62CC9B-2C8B-4059-9C7A-D70220EF2002}"/>
            </a:ext>
          </a:extLst>
        </xdr:cNvPr>
        <xdr:cNvSpPr txBox="1"/>
      </xdr:nvSpPr>
      <xdr:spPr>
        <a:xfrm>
          <a:off x="453580" y="7792358"/>
          <a:ext cx="1363134" cy="194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effectLst/>
              <a:latin typeface="+mn-lt"/>
              <a:ea typeface="+mn-ea"/>
              <a:cs typeface="+mn-cs"/>
            </a:rPr>
            <a:t>          </a:t>
          </a:r>
          <a:r>
            <a:rPr lang="en-US" sz="1200" b="1">
              <a:solidFill>
                <a:schemeClr val="bg1"/>
              </a:solidFill>
              <a:effectLst/>
              <a:latin typeface="+mn-lt"/>
              <a:ea typeface="+mn-ea"/>
              <a:cs typeface="+mn-cs"/>
            </a:rPr>
            <a:t>Ijeoma Okeke</a:t>
          </a:r>
          <a:endParaRPr lang="en-US" sz="1200" b="1">
            <a:solidFill>
              <a:schemeClr val="bg1"/>
            </a:solidFill>
            <a:effectLst/>
          </a:endParaRPr>
        </a:p>
        <a:p>
          <a:endParaRPr lang="en-US" sz="1100">
            <a:solidFill>
              <a:schemeClr val="bg1"/>
            </a:solidFill>
          </a:endParaRPr>
        </a:p>
      </xdr:txBody>
    </xdr:sp>
    <xdr:clientData/>
  </xdr:twoCellAnchor>
  <xdr:twoCellAnchor>
    <xdr:from>
      <xdr:col>1</xdr:col>
      <xdr:colOff>81650</xdr:colOff>
      <xdr:row>42</xdr:row>
      <xdr:rowOff>54429</xdr:rowOff>
    </xdr:from>
    <xdr:to>
      <xdr:col>3</xdr:col>
      <xdr:colOff>76812</xdr:colOff>
      <xdr:row>42</xdr:row>
      <xdr:rowOff>54432</xdr:rowOff>
    </xdr:to>
    <xdr:cxnSp macro="">
      <xdr:nvCxnSpPr>
        <xdr:cNvPr id="74" name="Straight Connector 73">
          <a:extLst>
            <a:ext uri="{FF2B5EF4-FFF2-40B4-BE49-F238E27FC236}">
              <a16:creationId xmlns:a16="http://schemas.microsoft.com/office/drawing/2014/main" id="{147463DA-9442-463F-ADA9-7AA919D317CB}"/>
            </a:ext>
          </a:extLst>
        </xdr:cNvPr>
        <xdr:cNvCxnSpPr/>
      </xdr:nvCxnSpPr>
      <xdr:spPr>
        <a:xfrm flipV="1">
          <a:off x="689436" y="7674429"/>
          <a:ext cx="1210733" cy="3"/>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507999</xdr:colOff>
      <xdr:row>40</xdr:row>
      <xdr:rowOff>145135</xdr:rowOff>
    </xdr:from>
    <xdr:to>
      <xdr:col>3</xdr:col>
      <xdr:colOff>302387</xdr:colOff>
      <xdr:row>42</xdr:row>
      <xdr:rowOff>99785</xdr:rowOff>
    </xdr:to>
    <xdr:sp macro="" textlink="">
      <xdr:nvSpPr>
        <xdr:cNvPr id="75" name="TextBox 74">
          <a:extLst>
            <a:ext uri="{FF2B5EF4-FFF2-40B4-BE49-F238E27FC236}">
              <a16:creationId xmlns:a16="http://schemas.microsoft.com/office/drawing/2014/main" id="{EA4ECDFC-C253-4A21-80BA-1FED0BF7192A}"/>
            </a:ext>
          </a:extLst>
        </xdr:cNvPr>
        <xdr:cNvSpPr txBox="1"/>
      </xdr:nvSpPr>
      <xdr:spPr>
        <a:xfrm>
          <a:off x="507999" y="7402278"/>
          <a:ext cx="1617745" cy="317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effectLst/>
              <a:latin typeface="+mn-lt"/>
              <a:ea typeface="+mn-ea"/>
              <a:cs typeface="+mn-cs"/>
            </a:rPr>
            <a:t>            Prepared By</a:t>
          </a:r>
          <a:endParaRPr lang="en-US" sz="1200" b="1">
            <a:solidFill>
              <a:schemeClr val="bg1"/>
            </a:solidFill>
            <a:effectLst/>
          </a:endParaRPr>
        </a:p>
        <a:p>
          <a:endParaRPr lang="en-US" sz="1100"/>
        </a:p>
      </xdr:txBody>
    </xdr:sp>
    <xdr:clientData/>
  </xdr:twoCellAnchor>
  <xdr:twoCellAnchor>
    <xdr:from>
      <xdr:col>0</xdr:col>
      <xdr:colOff>299357</xdr:colOff>
      <xdr:row>9</xdr:row>
      <xdr:rowOff>54429</xdr:rowOff>
    </xdr:from>
    <xdr:to>
      <xdr:col>3</xdr:col>
      <xdr:colOff>81643</xdr:colOff>
      <xdr:row>11</xdr:row>
      <xdr:rowOff>27215</xdr:rowOff>
    </xdr:to>
    <xdr:sp macro="" textlink="">
      <xdr:nvSpPr>
        <xdr:cNvPr id="86" name="Rectangle 85">
          <a:extLst>
            <a:ext uri="{FF2B5EF4-FFF2-40B4-BE49-F238E27FC236}">
              <a16:creationId xmlns:a16="http://schemas.microsoft.com/office/drawing/2014/main" id="{55008474-A6A7-5938-3B14-F3E9A75CAFB4}"/>
            </a:ext>
          </a:extLst>
        </xdr:cNvPr>
        <xdr:cNvSpPr/>
      </xdr:nvSpPr>
      <xdr:spPr>
        <a:xfrm>
          <a:off x="299357" y="1687286"/>
          <a:ext cx="1605643" cy="335643"/>
        </a:xfrm>
        <a:prstGeom prst="rect">
          <a:avLst/>
        </a:prstGeom>
        <a:solidFill>
          <a:schemeClr val="accent1">
            <a:alpha val="4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8.442926736112" createdVersion="8" refreshedVersion="8" minRefreshableVersion="3" recordCount="311" xr:uid="{9ADFA316-9DEF-40A1-8AF6-15E719CCFFF4}">
  <cacheSource type="worksheet">
    <worksheetSource name="Cleaned_Data"/>
  </cacheSource>
  <cacheFields count="43">
    <cacheField name="Employee_Name" numFmtId="0">
      <sharedItems/>
    </cacheField>
    <cacheField name="EmpID" numFmtId="0">
      <sharedItems containsSemiMixedTypes="0" containsString="0" containsNumber="1" containsInteger="1" minValue="10001" maxValue="10311"/>
    </cacheField>
    <cacheField name="MarriedID" numFmtId="0">
      <sharedItems containsSemiMixedTypes="0" containsString="0" containsNumber="1" containsInteger="1" minValue="0" maxValue="1"/>
    </cacheField>
    <cacheField name="MaritalStatusID" numFmtId="0">
      <sharedItems containsSemiMixedTypes="0" containsString="0" containsNumber="1" containsInteger="1" minValue="0" maxValue="4"/>
    </cacheField>
    <cacheField name="GenderID" numFmtId="0">
      <sharedItems containsSemiMixedTypes="0" containsString="0" containsNumber="1" containsInteger="1" minValue="0" maxValue="1"/>
    </cacheField>
    <cacheField name="EmpStatusID" numFmtId="0">
      <sharedItems containsSemiMixedTypes="0" containsString="0" containsNumber="1" containsInteger="1" minValue="1" maxValue="5"/>
    </cacheField>
    <cacheField name="DeptID" numFmtId="0">
      <sharedItems containsSemiMixedTypes="0" containsString="0" containsNumber="1" containsInteger="1" minValue="1" maxValue="6"/>
    </cacheField>
    <cacheField name="PerfScoreID" numFmtId="0">
      <sharedItems containsSemiMixedTypes="0" containsString="0" containsNumber="1" containsInteger="1" minValue="1" maxValue="4"/>
    </cacheField>
    <cacheField name="FromDiversityJobFairID" numFmtId="0">
      <sharedItems containsSemiMixedTypes="0" containsString="0" containsNumber="1" containsInteger="1" minValue="0" maxValue="1"/>
    </cacheField>
    <cacheField name="Salary" numFmtId="0">
      <sharedItems containsSemiMixedTypes="0" containsString="0" containsNumber="1" containsInteger="1" minValue="45046" maxValue="250000"/>
    </cacheField>
    <cacheField name="Termd" numFmtId="0">
      <sharedItems containsSemiMixedTypes="0" containsString="0" containsNumber="1" containsInteger="1" minValue="0" maxValue="1" count="2">
        <n v="0"/>
        <n v="1"/>
      </sharedItems>
    </cacheField>
    <cacheField name="PositionID" numFmtId="0">
      <sharedItems containsSemiMixedTypes="0" containsString="0" containsNumber="1" containsInteger="1" minValue="1" maxValue="30"/>
    </cacheField>
    <cacheField name="Position" numFmtId="0">
      <sharedItems/>
    </cacheField>
    <cacheField name="State" numFmtId="0">
      <sharedItems/>
    </cacheField>
    <cacheField name="Zip" numFmtId="0">
      <sharedItems containsSemiMixedTypes="0" containsString="0" containsNumber="1" containsInteger="1" minValue="1013" maxValue="98052"/>
    </cacheField>
    <cacheField name="DOB" numFmtId="14">
      <sharedItems containsSemiMixedTypes="0" containsNonDate="0" containsDate="1" containsString="0" minDate="1952-01-18T00:00:00" maxDate="1998-09-20T00:00:00"/>
    </cacheField>
    <cacheField name="Age Group" numFmtId="0">
      <sharedItems count="2">
        <s v="Adult"/>
        <s v="Senior"/>
      </sharedItems>
    </cacheField>
    <cacheField name="Sex" numFmtId="0">
      <sharedItems count="2">
        <s v="Male"/>
        <s v="Female"/>
      </sharedItems>
    </cacheField>
    <cacheField name="MaritalDesc" numFmtId="0">
      <sharedItems/>
    </cacheField>
    <cacheField name="CitizenDesc" numFmtId="0">
      <sharedItems/>
    </cacheField>
    <cacheField name="HispanicLatino" numFmtId="0">
      <sharedItems/>
    </cacheField>
    <cacheField name="RaceDesc" numFmtId="0">
      <sharedItems/>
    </cacheField>
    <cacheField name="DateofHire" numFmtId="14">
      <sharedItems containsSemiMixedTypes="0" containsNonDate="0" containsDate="1" containsString="0" minDate="2006-09-01T00:00:00" maxDate="2018-09-08T00:00:00"/>
    </cacheField>
    <cacheField name="DateofTermination" numFmtId="14">
      <sharedItems containsNonDate="0" containsDate="1" containsString="0" containsBlank="1" minDate="2010-08-30T00:00:00" maxDate="2018-10-12T00:00:00"/>
    </cacheField>
    <cacheField name="TermReason" numFmtId="0">
      <sharedItems/>
    </cacheField>
    <cacheField name="EmploymentStatus" numFmtId="0">
      <sharedItems/>
    </cacheField>
    <cacheField name="Department" numFmtId="0">
      <sharedItems count="6">
        <s v="Production"/>
        <s v="It/Is"/>
        <s v="Software Engineering"/>
        <s v="Admin Offices"/>
        <s v="Sales"/>
        <s v="Executive Office"/>
      </sharedItems>
    </cacheField>
    <cacheField name="ManagerName" numFmtId="0">
      <sharedItems/>
    </cacheField>
    <cacheField name="RecruitmentSource" numFmtId="0">
      <sharedItems count="12">
        <s v="Linkedin"/>
        <s v="On-Line Web"/>
        <s v="Indeed"/>
        <s v="Diversity Fair"/>
        <s v="Google Search"/>
        <s v="Employee Ref"/>
        <s v="Careerbuilder"/>
        <s v="Website"/>
        <s v="Other"/>
        <s v="Diversity Job Fair" u="1"/>
        <s v="Employee Referral" u="1"/>
        <s v="On-Line Web Application" u="1"/>
      </sharedItems>
    </cacheField>
    <cacheField name="PerformanceScore" numFmtId="0">
      <sharedItems count="4">
        <s v="Exceeds"/>
        <s v="Fully Meets"/>
        <s v="Needs Improvement"/>
        <s v="PIP"/>
      </sharedItems>
    </cacheField>
    <cacheField name="EngagementSurvey" numFmtId="0">
      <sharedItems containsSemiMixedTypes="0" containsString="0" containsNumber="1" minValue="1.1200000000000001" maxValue="5"/>
    </cacheField>
    <cacheField name="EmpSatisfaction" numFmtId="0">
      <sharedItems containsSemiMixedTypes="0" containsString="0" containsNumber="1" containsInteger="1" minValue="1" maxValue="5"/>
    </cacheField>
    <cacheField name="SpecialProjectsCount" numFmtId="0">
      <sharedItems containsSemiMixedTypes="0" containsString="0" containsNumber="1" containsInteger="1" minValue="0" maxValue="8"/>
    </cacheField>
    <cacheField name="LastPerformanceReview_Date" numFmtId="14">
      <sharedItems containsSemiMixedTypes="0" containsNonDate="0" containsDate="1" containsString="0" minDate="2010-07-14T00:00:00" maxDate="2019-12-03T00:00:00"/>
    </cacheField>
    <cacheField name="Absences" numFmtId="0">
      <sharedItems containsSemiMixedTypes="0" containsString="0" containsNumber="1" containsInteger="1" minValue="1" maxValue="20"/>
    </cacheField>
    <cacheField name="Age" numFmtId="0">
      <sharedItems containsSemiMixedTypes="0" containsString="0" containsNumber="1" containsInteger="1" minValue="14" maxValue="68"/>
    </cacheField>
    <cacheField name="Tenure_Years" numFmtId="0">
      <sharedItems containsSemiMixedTypes="0" containsString="0" containsNumber="1" containsInteger="1" minValue="0" maxValue="13"/>
    </cacheField>
    <cacheField name="ManagerID" numFmtId="0">
      <sharedItems containsSemiMixedTypes="0" containsString="0" containsNumber="1" containsInteger="1" minValue="1" maxValue="39"/>
    </cacheField>
    <cacheField name="Term_Year" numFmtId="0">
      <sharedItems containsMixedTypes="1" containsNumber="1" containsInteger="1" minValue="2010" maxValue="2018" count="10">
        <s v=""/>
        <n v="2017"/>
        <n v="2016"/>
        <n v="2015"/>
        <n v="2012"/>
        <n v="2014"/>
        <n v="2013"/>
        <n v="2011"/>
        <n v="2018"/>
        <n v="2010"/>
      </sharedItems>
    </cacheField>
    <cacheField name="Head_Count" numFmtId="0">
      <sharedItems containsSemiMixedTypes="0" containsString="0" containsNumber="1" containsInteger="1" minValue="1" maxValue="1"/>
    </cacheField>
    <cacheField name="PctTerminated" numFmtId="0" formula="Termd /Head_Count" databaseField="0"/>
    <cacheField name="ActiveEmployees" numFmtId="0" formula="Head_Count -Termd" databaseField="0"/>
    <cacheField name="Turnover Rate" numFmtId="0" formula="Termd /Head_Count" databaseField="0"/>
  </cacheFields>
  <extLst>
    <ext xmlns:x14="http://schemas.microsoft.com/office/spreadsheetml/2009/9/main" uri="{725AE2AE-9491-48be-B2B4-4EB974FC3084}">
      <x14:pivotCacheDefinition pivotCacheId="11757159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s v="Adinolfi, Wilson  K"/>
    <n v="10026"/>
    <n v="0"/>
    <n v="0"/>
    <n v="1"/>
    <n v="1"/>
    <n v="5"/>
    <n v="4"/>
    <n v="0"/>
    <n v="62506"/>
    <x v="0"/>
    <n v="19"/>
    <s v="Production Technician I"/>
    <s v="MA"/>
    <n v="1960"/>
    <d v="1983-10-07T00:00:00"/>
    <x v="0"/>
    <x v="0"/>
    <s v="Single"/>
    <s v="US Citizen"/>
    <s v="No"/>
    <s v="White"/>
    <d v="2011-05-07T00:00:00"/>
    <m/>
    <s v="N/A-StillEmployed"/>
    <s v="Active"/>
    <x v="0"/>
    <s v="Michael Albert"/>
    <x v="0"/>
    <x v="0"/>
    <n v="4.5999999999999996"/>
    <n v="5"/>
    <n v="0"/>
    <d v="2019-01-17T00:00:00"/>
    <n v="1"/>
    <n v="36"/>
    <n v="9"/>
    <n v="22"/>
    <x v="0"/>
    <n v="1"/>
  </r>
  <r>
    <s v="Barton, Nader"/>
    <n v="10066"/>
    <n v="0"/>
    <n v="2"/>
    <n v="1"/>
    <n v="5"/>
    <n v="5"/>
    <n v="3"/>
    <n v="0"/>
    <n v="52505"/>
    <x v="1"/>
    <n v="19"/>
    <s v="Production Technician I"/>
    <s v="MA"/>
    <n v="2747"/>
    <d v="1983-08-24T00:00:00"/>
    <x v="0"/>
    <x v="0"/>
    <s v="Divorced"/>
    <s v="US Citizen"/>
    <s v="No"/>
    <s v="White"/>
    <d v="2012-09-24T00:00:00"/>
    <d v="2017-06-04T00:00:00"/>
    <s v="Another position"/>
    <s v="Voluntarily Terminated"/>
    <x v="0"/>
    <s v="Michael Albert"/>
    <x v="1"/>
    <x v="1"/>
    <n v="5"/>
    <n v="5"/>
    <n v="0"/>
    <d v="2017-02-03T00:00:00"/>
    <n v="1"/>
    <n v="34"/>
    <n v="5"/>
    <n v="22"/>
    <x v="1"/>
    <n v="1"/>
  </r>
  <r>
    <s v="Ait Sidi, Karthikeyan"/>
    <n v="10084"/>
    <n v="1"/>
    <n v="1"/>
    <n v="1"/>
    <n v="5"/>
    <n v="3"/>
    <n v="3"/>
    <n v="0"/>
    <n v="104437"/>
    <x v="1"/>
    <n v="27"/>
    <s v="Sr. Dba"/>
    <s v="MA"/>
    <n v="2148"/>
    <d v="1975-05-05T00:00:00"/>
    <x v="0"/>
    <x v="0"/>
    <s v="Married"/>
    <s v="US Citizen"/>
    <s v="No"/>
    <s v="White"/>
    <d v="2015-03-30T00:00:00"/>
    <d v="2016-06-16T00:00:00"/>
    <s v="career change"/>
    <s v="Voluntarily Terminated"/>
    <x v="1"/>
    <s v="Simon Roup"/>
    <x v="2"/>
    <x v="1"/>
    <n v="4.96"/>
    <n v="3"/>
    <n v="6"/>
    <d v="2016-02-24T00:00:00"/>
    <n v="17"/>
    <n v="41"/>
    <n v="1"/>
    <n v="4"/>
    <x v="2"/>
    <n v="1"/>
  </r>
  <r>
    <s v="Barbossa, Hector"/>
    <n v="10012"/>
    <n v="0"/>
    <n v="2"/>
    <n v="1"/>
    <n v="1"/>
    <n v="3"/>
    <n v="4"/>
    <n v="1"/>
    <n v="92328"/>
    <x v="0"/>
    <n v="9"/>
    <s v="Data Analyst"/>
    <s v="TX"/>
    <n v="78230"/>
    <d v="1990-08-24T00:00:00"/>
    <x v="0"/>
    <x v="0"/>
    <s v="Divorced"/>
    <s v="US Citizen"/>
    <s v="No"/>
    <s v="Black or African American"/>
    <d v="2014-10-11T00:00:00"/>
    <m/>
    <s v="N/A-StillEmployed"/>
    <s v="Active"/>
    <x v="1"/>
    <s v="Simon Roup"/>
    <x v="3"/>
    <x v="0"/>
    <n v="4.28"/>
    <n v="4"/>
    <n v="5"/>
    <d v="2019-02-25T00:00:00"/>
    <n v="9"/>
    <n v="29"/>
    <n v="5"/>
    <n v="4"/>
    <x v="0"/>
    <n v="1"/>
  </r>
  <r>
    <s v="Becker, Renee"/>
    <n v="10245"/>
    <n v="0"/>
    <n v="0"/>
    <n v="0"/>
    <n v="4"/>
    <n v="3"/>
    <n v="3"/>
    <n v="0"/>
    <n v="110000"/>
    <x v="1"/>
    <n v="8"/>
    <s v="Database Administrator"/>
    <s v="MA"/>
    <n v="2026"/>
    <d v="1983-03-19T00:00:00"/>
    <x v="0"/>
    <x v="1"/>
    <s v="Single"/>
    <s v="US Citizen"/>
    <s v="Yes"/>
    <s v="White"/>
    <d v="2014-07-07T00:00:00"/>
    <d v="2015-12-09T00:00:00"/>
    <s v="performance"/>
    <s v="Terminated for Cause"/>
    <x v="1"/>
    <s v="Simon Roup"/>
    <x v="4"/>
    <x v="1"/>
    <n v="4.5"/>
    <n v="4"/>
    <n v="5"/>
    <d v="2015-01-15T00:00:00"/>
    <n v="8"/>
    <n v="33"/>
    <n v="1"/>
    <n v="4"/>
    <x v="3"/>
    <n v="1"/>
  </r>
  <r>
    <s v="Akinkuolie, Sarah"/>
    <n v="10196"/>
    <n v="1"/>
    <n v="1"/>
    <n v="0"/>
    <n v="5"/>
    <n v="5"/>
    <n v="3"/>
    <n v="0"/>
    <n v="64955"/>
    <x v="1"/>
    <n v="20"/>
    <s v="Production Technician Ii"/>
    <s v="MA"/>
    <n v="1810"/>
    <d v="1998-09-19T00:00:00"/>
    <x v="0"/>
    <x v="1"/>
    <s v="Married"/>
    <s v="US Citizen"/>
    <s v="No"/>
    <s v="White"/>
    <d v="2011-05-07T00:00:00"/>
    <d v="2012-09-24T00:00:00"/>
    <s v="hours"/>
    <s v="Voluntarily Terminated"/>
    <x v="0"/>
    <s v="Kissy Sullivan"/>
    <x v="0"/>
    <x v="1"/>
    <n v="3.02"/>
    <n v="3"/>
    <n v="0"/>
    <d v="2012-05-15T00:00:00"/>
    <n v="3"/>
    <n v="14"/>
    <n v="1"/>
    <n v="20"/>
    <x v="4"/>
    <n v="1"/>
  </r>
  <r>
    <s v="Barbara, Thomas"/>
    <n v="10242"/>
    <n v="1"/>
    <n v="1"/>
    <n v="1"/>
    <n v="5"/>
    <n v="5"/>
    <n v="3"/>
    <n v="1"/>
    <n v="47211"/>
    <x v="1"/>
    <n v="19"/>
    <s v="Production Technician I"/>
    <s v="MA"/>
    <n v="2062"/>
    <d v="1964-07-30T00:00:00"/>
    <x v="1"/>
    <x v="0"/>
    <s v="Married"/>
    <s v="US Citizen"/>
    <s v="Yes"/>
    <s v="Black or African American"/>
    <d v="2012-02-04T00:00:00"/>
    <d v="2016-09-19T00:00:00"/>
    <s v="unhappy"/>
    <s v="Voluntarily Terminated"/>
    <x v="0"/>
    <s v="Kissy Sullivan"/>
    <x v="3"/>
    <x v="1"/>
    <n v="4.2"/>
    <n v="3"/>
    <n v="0"/>
    <d v="2016-06-05T00:00:00"/>
    <n v="15"/>
    <n v="52"/>
    <n v="5"/>
    <n v="20"/>
    <x v="2"/>
    <n v="1"/>
  </r>
  <r>
    <s v="Alagbe,Trina"/>
    <n v="10088"/>
    <n v="1"/>
    <n v="1"/>
    <n v="0"/>
    <n v="1"/>
    <n v="5"/>
    <n v="3"/>
    <n v="0"/>
    <n v="64991"/>
    <x v="0"/>
    <n v="19"/>
    <s v="Production Technician I"/>
    <s v="MA"/>
    <n v="1886"/>
    <d v="1988-09-27T00:00:00"/>
    <x v="0"/>
    <x v="1"/>
    <s v="Married"/>
    <s v="US Citizen"/>
    <s v="No"/>
    <s v="White"/>
    <d v="2008-07-01T00:00:00"/>
    <m/>
    <s v="N/A-StillEmployed"/>
    <s v="Active"/>
    <x v="0"/>
    <s v="Elijiah Gray"/>
    <x v="2"/>
    <x v="1"/>
    <n v="4.84"/>
    <n v="5"/>
    <n v="0"/>
    <d v="2019-03-01T00:00:00"/>
    <n v="15"/>
    <n v="31"/>
    <n v="11"/>
    <n v="16"/>
    <x v="0"/>
    <n v="1"/>
  </r>
  <r>
    <s v="Beatrice, Courtney"/>
    <n v="10055"/>
    <n v="0"/>
    <n v="0"/>
    <n v="0"/>
    <n v="1"/>
    <n v="5"/>
    <n v="3"/>
    <n v="0"/>
    <n v="59026"/>
    <x v="0"/>
    <n v="19"/>
    <s v="Production Technician I"/>
    <s v="MA"/>
    <n v="1915"/>
    <d v="1975-12-17T00:00:00"/>
    <x v="0"/>
    <x v="1"/>
    <s v="Single"/>
    <s v="Eligible NonCitizen"/>
    <s v="No"/>
    <s v="White"/>
    <d v="2011-04-04T00:00:00"/>
    <m/>
    <s v="N/A-StillEmployed"/>
    <s v="Active"/>
    <x v="0"/>
    <s v="Elijiah Gray"/>
    <x v="4"/>
    <x v="1"/>
    <n v="5"/>
    <n v="5"/>
    <n v="0"/>
    <d v="2019-01-14T00:00:00"/>
    <n v="12"/>
    <n v="44"/>
    <n v="9"/>
    <n v="16"/>
    <x v="0"/>
    <n v="1"/>
  </r>
  <r>
    <s v="Anderson, Carol"/>
    <n v="10069"/>
    <n v="0"/>
    <n v="2"/>
    <n v="0"/>
    <n v="5"/>
    <n v="5"/>
    <n v="3"/>
    <n v="0"/>
    <n v="50825"/>
    <x v="1"/>
    <n v="19"/>
    <s v="Production Technician I"/>
    <s v="MA"/>
    <n v="2169"/>
    <d v="1989-08-09T00:00:00"/>
    <x v="0"/>
    <x v="1"/>
    <s v="Divorced"/>
    <s v="US Citizen"/>
    <s v="No"/>
    <s v="White"/>
    <d v="2011-11-07T00:00:00"/>
    <d v="2016-06-09T00:00:00"/>
    <s v="return to school"/>
    <s v="Voluntarily Terminated"/>
    <x v="0"/>
    <s v="Webster Butler"/>
    <x v="4"/>
    <x v="1"/>
    <n v="5"/>
    <n v="4"/>
    <n v="0"/>
    <d v="2016-01-02T00:00:00"/>
    <n v="2"/>
    <n v="27"/>
    <n v="5"/>
    <n v="39"/>
    <x v="2"/>
    <n v="1"/>
  </r>
  <r>
    <s v="Becker, Scott"/>
    <n v="10277"/>
    <n v="0"/>
    <n v="0"/>
    <n v="1"/>
    <n v="3"/>
    <n v="5"/>
    <n v="3"/>
    <n v="0"/>
    <n v="53250"/>
    <x v="0"/>
    <n v="19"/>
    <s v="Production Technician I"/>
    <s v="MA"/>
    <n v="2452"/>
    <d v="1977-03-31T00:00:00"/>
    <x v="0"/>
    <x v="0"/>
    <s v="Single"/>
    <s v="US Citizen"/>
    <s v="No"/>
    <s v="Asian"/>
    <d v="2013-08-07T00:00:00"/>
    <m/>
    <s v="N/A-StillEmployed"/>
    <s v="Active"/>
    <x v="0"/>
    <s v="Webster Butler"/>
    <x v="0"/>
    <x v="1"/>
    <n v="4.2"/>
    <n v="4"/>
    <n v="0"/>
    <d v="2019-11-01T00:00:00"/>
    <n v="13"/>
    <n v="43"/>
    <n v="6"/>
    <n v="39"/>
    <x v="0"/>
    <n v="1"/>
  </r>
  <r>
    <s v="Anderson, Linda"/>
    <n v="10002"/>
    <n v="0"/>
    <n v="0"/>
    <n v="0"/>
    <n v="1"/>
    <n v="5"/>
    <n v="4"/>
    <n v="0"/>
    <n v="57568"/>
    <x v="0"/>
    <n v="19"/>
    <s v="Production Technician I"/>
    <s v="MA"/>
    <n v="1844"/>
    <d v="1977-05-22T00:00:00"/>
    <x v="0"/>
    <x v="1"/>
    <s v="Single"/>
    <s v="US Citizen"/>
    <s v="No"/>
    <s v="White"/>
    <d v="2012-09-01T00:00:00"/>
    <m/>
    <s v="N/A-StillEmployed"/>
    <s v="Active"/>
    <x v="0"/>
    <s v="Amy Dunn"/>
    <x v="0"/>
    <x v="0"/>
    <n v="5"/>
    <n v="5"/>
    <n v="0"/>
    <d v="2019-07-01T00:00:00"/>
    <n v="15"/>
    <n v="43"/>
    <n v="7"/>
    <n v="11"/>
    <x v="0"/>
    <n v="1"/>
  </r>
  <r>
    <s v="Bernstein, Sean"/>
    <n v="10046"/>
    <n v="0"/>
    <n v="0"/>
    <n v="1"/>
    <n v="1"/>
    <n v="5"/>
    <n v="3"/>
    <n v="0"/>
    <n v="51044"/>
    <x v="0"/>
    <n v="19"/>
    <s v="Production Technician I"/>
    <s v="MA"/>
    <n v="2072"/>
    <d v="1952-01-18T00:00:00"/>
    <x v="1"/>
    <x v="0"/>
    <s v="Single"/>
    <s v="US Citizen"/>
    <s v="Yes"/>
    <s v="White"/>
    <d v="2012-02-04T00:00:00"/>
    <m/>
    <s v="N/A-StillEmployed"/>
    <s v="Active"/>
    <x v="0"/>
    <s v="Amy Dunn"/>
    <x v="4"/>
    <x v="1"/>
    <n v="5"/>
    <n v="3"/>
    <n v="0"/>
    <d v="2019-01-14T00:00:00"/>
    <n v="13"/>
    <n v="68"/>
    <n v="8"/>
    <n v="11"/>
    <x v="0"/>
    <n v="1"/>
  </r>
  <r>
    <s v="Andreola, Colby"/>
    <n v="10194"/>
    <n v="0"/>
    <n v="0"/>
    <n v="0"/>
    <n v="1"/>
    <n v="4"/>
    <n v="3"/>
    <n v="0"/>
    <n v="95660"/>
    <x v="0"/>
    <n v="24"/>
    <s v="Software Engineer"/>
    <s v="MA"/>
    <n v="2110"/>
    <d v="1979-05-24T00:00:00"/>
    <x v="0"/>
    <x v="1"/>
    <s v="Single"/>
    <s v="US Citizen"/>
    <s v="No"/>
    <s v="White"/>
    <d v="2014-10-11T00:00:00"/>
    <m/>
    <s v="N/A-StillEmployed"/>
    <s v="Active"/>
    <x v="2"/>
    <s v="Alex Sweetwater"/>
    <x v="0"/>
    <x v="1"/>
    <n v="3.04"/>
    <n v="3"/>
    <n v="4"/>
    <d v="2019-02-01T00:00:00"/>
    <n v="19"/>
    <n v="41"/>
    <n v="5"/>
    <n v="10"/>
    <x v="0"/>
    <n v="1"/>
  </r>
  <r>
    <s v="Athwal, Sam"/>
    <n v="10062"/>
    <n v="0"/>
    <n v="4"/>
    <n v="1"/>
    <n v="1"/>
    <n v="5"/>
    <n v="3"/>
    <n v="0"/>
    <n v="59365"/>
    <x v="0"/>
    <n v="19"/>
    <s v="Production Technician I"/>
    <s v="MA"/>
    <n v="2199"/>
    <d v="1983-02-18T00:00:00"/>
    <x v="0"/>
    <x v="0"/>
    <s v="Widowed"/>
    <s v="US Citizen"/>
    <s v="No"/>
    <s v="White"/>
    <d v="2013-09-30T00:00:00"/>
    <m/>
    <s v="N/A-StillEmployed"/>
    <s v="Active"/>
    <x v="0"/>
    <s v="Ketsia Liebig"/>
    <x v="5"/>
    <x v="1"/>
    <n v="5"/>
    <n v="4"/>
    <n v="0"/>
    <d v="2019-02-25T00:00:00"/>
    <n v="19"/>
    <n v="37"/>
    <n v="6"/>
    <n v="19"/>
    <x v="0"/>
    <n v="1"/>
  </r>
  <r>
    <s v="Biden, Lowan  M"/>
    <n v="10226"/>
    <n v="0"/>
    <n v="2"/>
    <n v="0"/>
    <n v="1"/>
    <n v="5"/>
    <n v="3"/>
    <n v="0"/>
    <n v="64919"/>
    <x v="0"/>
    <n v="19"/>
    <s v="Production Technician I"/>
    <s v="MA"/>
    <n v="2027"/>
    <d v="1979-09-14T00:00:00"/>
    <x v="0"/>
    <x v="1"/>
    <s v="Divorced"/>
    <s v="US Citizen"/>
    <s v="No"/>
    <s v="Asian"/>
    <d v="2013-09-18T00:00:00"/>
    <m/>
    <s v="N/A-StillEmployed"/>
    <s v="Active"/>
    <x v="0"/>
    <s v="Ketsia Liebig"/>
    <x v="2"/>
    <x v="1"/>
    <n v="4.2"/>
    <n v="3"/>
    <n v="0"/>
    <d v="2019-10-01T00:00:00"/>
    <n v="2"/>
    <n v="40"/>
    <n v="6"/>
    <n v="19"/>
    <x v="0"/>
    <n v="1"/>
  </r>
  <r>
    <s v="Bachiochi, Linda"/>
    <n v="10114"/>
    <n v="0"/>
    <n v="0"/>
    <n v="0"/>
    <n v="3"/>
    <n v="5"/>
    <n v="3"/>
    <n v="1"/>
    <n v="47837"/>
    <x v="0"/>
    <n v="19"/>
    <s v="Production Technician I"/>
    <s v="MA"/>
    <n v="1902"/>
    <d v="1981-10-18T00:00:00"/>
    <x v="0"/>
    <x v="1"/>
    <s v="Single"/>
    <s v="US Citizen"/>
    <s v="No"/>
    <s v="Black or African American"/>
    <d v="2009-06-07T00:00:00"/>
    <m/>
    <s v="N/A-StillEmployed"/>
    <s v="Active"/>
    <x v="0"/>
    <s v="Brannon Miller"/>
    <x v="3"/>
    <x v="1"/>
    <n v="4.46"/>
    <n v="3"/>
    <n v="0"/>
    <d v="2019-01-25T00:00:00"/>
    <n v="4"/>
    <n v="38"/>
    <n v="11"/>
    <n v="12"/>
    <x v="0"/>
    <n v="1"/>
  </r>
  <r>
    <s v="Bacong, Alejandro"/>
    <n v="10250"/>
    <n v="0"/>
    <n v="2"/>
    <n v="1"/>
    <n v="1"/>
    <n v="3"/>
    <n v="3"/>
    <n v="0"/>
    <n v="50178"/>
    <x v="0"/>
    <n v="14"/>
    <s v="It Support"/>
    <s v="MA"/>
    <n v="1886"/>
    <d v="1970-10-27T00:00:00"/>
    <x v="0"/>
    <x v="0"/>
    <s v="Divorced"/>
    <s v="US Citizen"/>
    <s v="No"/>
    <s v="White"/>
    <d v="2015-05-01T00:00:00"/>
    <m/>
    <s v="N/A-StillEmployed"/>
    <s v="Active"/>
    <x v="1"/>
    <s v="Peter Monroe"/>
    <x v="2"/>
    <x v="1"/>
    <n v="5"/>
    <n v="5"/>
    <n v="6"/>
    <d v="2019-02-18T00:00:00"/>
    <n v="16"/>
    <n v="49"/>
    <n v="5"/>
    <n v="7"/>
    <x v="0"/>
    <n v="1"/>
  </r>
  <r>
    <s v="Baczenski, Rachael"/>
    <n v="10252"/>
    <n v="1"/>
    <n v="1"/>
    <n v="0"/>
    <n v="5"/>
    <n v="5"/>
    <n v="3"/>
    <n v="1"/>
    <n v="54670"/>
    <x v="1"/>
    <n v="19"/>
    <s v="Production Technician I"/>
    <s v="MA"/>
    <n v="1902"/>
    <d v="1990-09-21T00:00:00"/>
    <x v="0"/>
    <x v="1"/>
    <s v="Married"/>
    <s v="US Citizen"/>
    <s v="Yes"/>
    <s v="Black or African American"/>
    <d v="2011-10-01T00:00:00"/>
    <d v="2017-12-01T00:00:00"/>
    <s v="Another position"/>
    <s v="Voluntarily Terminated"/>
    <x v="0"/>
    <s v="David Stanley"/>
    <x v="3"/>
    <x v="1"/>
    <n v="4.2"/>
    <n v="4"/>
    <n v="0"/>
    <d v="2016-01-30T00:00:00"/>
    <n v="12"/>
    <n v="27"/>
    <n v="6"/>
    <n v="14"/>
    <x v="1"/>
    <n v="1"/>
  </r>
  <r>
    <s v="Barone, Francesco  A"/>
    <n v="10265"/>
    <n v="0"/>
    <n v="0"/>
    <n v="1"/>
    <n v="1"/>
    <n v="5"/>
    <n v="3"/>
    <n v="0"/>
    <n v="58709"/>
    <x v="0"/>
    <n v="19"/>
    <s v="Production Technician I"/>
    <s v="MA"/>
    <n v="1810"/>
    <d v="1987-11-24T00:00:00"/>
    <x v="0"/>
    <x v="0"/>
    <s v="Single"/>
    <s v="US Citizen"/>
    <s v="No"/>
    <s v="Two or more races"/>
    <d v="2012-02-20T00:00:00"/>
    <m/>
    <s v="N/A-StillEmployed"/>
    <s v="Active"/>
    <x v="0"/>
    <s v="Kelley Spirea"/>
    <x v="4"/>
    <x v="1"/>
    <n v="4.5999999999999996"/>
    <n v="4"/>
    <n v="0"/>
    <d v="2019-02-14T00:00:00"/>
    <n v="7"/>
    <n v="32"/>
    <n v="8"/>
    <n v="18"/>
    <x v="0"/>
    <n v="1"/>
  </r>
  <r>
    <s v="Bates, Norman"/>
    <n v="10061"/>
    <n v="0"/>
    <n v="0"/>
    <n v="1"/>
    <n v="4"/>
    <n v="5"/>
    <n v="3"/>
    <n v="0"/>
    <n v="57834"/>
    <x v="1"/>
    <n v="19"/>
    <s v="Production Technician I"/>
    <s v="MA"/>
    <n v="2050"/>
    <d v="1988-05-31T00:00:00"/>
    <x v="0"/>
    <x v="0"/>
    <s v="Single"/>
    <s v="US Citizen"/>
    <s v="No"/>
    <s v="White"/>
    <d v="2011-02-21T00:00:00"/>
    <d v="2017-04-08T00:00:00"/>
    <s v="attendance"/>
    <s v="Terminated for Cause"/>
    <x v="0"/>
    <s v="Kelley Spirea"/>
    <x v="4"/>
    <x v="1"/>
    <n v="5"/>
    <n v="4"/>
    <n v="0"/>
    <d v="2017-05-04T00:00:00"/>
    <n v="20"/>
    <n v="29"/>
    <n v="6"/>
    <n v="18"/>
    <x v="1"/>
    <n v="1"/>
  </r>
  <r>
    <s v="Beak, Kimberly"/>
    <n v="10023"/>
    <n v="1"/>
    <n v="1"/>
    <n v="0"/>
    <n v="2"/>
    <n v="5"/>
    <n v="4"/>
    <n v="0"/>
    <n v="70131"/>
    <x v="0"/>
    <n v="20"/>
    <s v="Production Technician Ii"/>
    <s v="MA"/>
    <n v="2145"/>
    <d v="1980-08-26T00:00:00"/>
    <x v="0"/>
    <x v="1"/>
    <s v="Married"/>
    <s v="US Citizen"/>
    <s v="No"/>
    <s v="White"/>
    <d v="2016-07-21T00:00:00"/>
    <m/>
    <s v="N/A-StillEmployed"/>
    <s v="Active"/>
    <x v="0"/>
    <s v="Kelley Spirea"/>
    <x v="5"/>
    <x v="0"/>
    <n v="4.4000000000000004"/>
    <n v="3"/>
    <n v="0"/>
    <d v="2019-01-14T00:00:00"/>
    <n v="16"/>
    <n v="39"/>
    <n v="3"/>
    <n v="18"/>
    <x v="0"/>
    <n v="1"/>
  </r>
  <r>
    <s v="Billis, Helen"/>
    <n v="10003"/>
    <n v="1"/>
    <n v="1"/>
    <n v="0"/>
    <n v="1"/>
    <n v="5"/>
    <n v="4"/>
    <n v="0"/>
    <n v="62910"/>
    <x v="0"/>
    <n v="19"/>
    <s v="Production Technician I"/>
    <s v="MA"/>
    <n v="2031"/>
    <d v="1982-11-15T00:00:00"/>
    <x v="0"/>
    <x v="1"/>
    <s v="Married"/>
    <s v="US Citizen"/>
    <s v="No"/>
    <s v="White"/>
    <d v="2014-07-07T00:00:00"/>
    <m/>
    <s v="N/A-StillEmployed"/>
    <s v="Active"/>
    <x v="0"/>
    <s v="Brannon Miller"/>
    <x v="2"/>
    <x v="0"/>
    <n v="5"/>
    <n v="3"/>
    <n v="0"/>
    <d v="2019-02-27T00:00:00"/>
    <n v="19"/>
    <n v="37"/>
    <n v="5"/>
    <n v="12"/>
    <x v="0"/>
    <n v="1"/>
  </r>
  <r>
    <s v="Blount, Dianna"/>
    <n v="10294"/>
    <n v="0"/>
    <n v="0"/>
    <n v="0"/>
    <n v="1"/>
    <n v="5"/>
    <n v="2"/>
    <n v="0"/>
    <n v="66441"/>
    <x v="0"/>
    <n v="20"/>
    <s v="Production Technician Ii"/>
    <s v="MA"/>
    <n v="2171"/>
    <d v="1973-09-23T00:00:00"/>
    <x v="0"/>
    <x v="1"/>
    <s v="Single"/>
    <s v="US Citizen"/>
    <s v="No"/>
    <s v="White"/>
    <d v="2011-04-04T00:00:00"/>
    <m/>
    <s v="N/A-StillEmployed"/>
    <s v="Active"/>
    <x v="0"/>
    <s v="Michael Albert"/>
    <x v="6"/>
    <x v="2"/>
    <n v="2"/>
    <n v="3"/>
    <n v="0"/>
    <d v="2019-02-27T00:00:00"/>
    <n v="3"/>
    <n v="46"/>
    <n v="9"/>
    <n v="22"/>
    <x v="0"/>
    <n v="1"/>
  </r>
  <r>
    <s v="Bondwell, Betsy"/>
    <n v="10267"/>
    <n v="0"/>
    <n v="0"/>
    <n v="0"/>
    <n v="5"/>
    <n v="5"/>
    <n v="3"/>
    <n v="0"/>
    <n v="57815"/>
    <x v="1"/>
    <n v="20"/>
    <s v="Production Technician Ii"/>
    <s v="MA"/>
    <n v="2210"/>
    <d v="1978-08-25T00:00:00"/>
    <x v="0"/>
    <x v="1"/>
    <s v="Single"/>
    <s v="US Citizen"/>
    <s v="No"/>
    <s v="White"/>
    <d v="2011-10-01T00:00:00"/>
    <d v="2014-04-04T00:00:00"/>
    <s v="career change"/>
    <s v="Voluntarily Terminated"/>
    <x v="0"/>
    <s v="Elijiah Gray"/>
    <x v="4"/>
    <x v="1"/>
    <n v="4.8"/>
    <n v="5"/>
    <n v="0"/>
    <d v="2014-04-03T00:00:00"/>
    <n v="5"/>
    <n v="36"/>
    <n v="3"/>
    <n v="16"/>
    <x v="5"/>
    <n v="1"/>
  </r>
  <r>
    <s v="Booth, Frank"/>
    <n v="10199"/>
    <n v="0"/>
    <n v="0"/>
    <n v="1"/>
    <n v="4"/>
    <n v="3"/>
    <n v="3"/>
    <n v="0"/>
    <n v="103613"/>
    <x v="1"/>
    <n v="30"/>
    <s v="Enterprise Architect"/>
    <s v="CT"/>
    <n v="6033"/>
    <d v="1989-08-25T00:00:00"/>
    <x v="0"/>
    <x v="0"/>
    <s v="Single"/>
    <s v="US Citizen"/>
    <s v="No"/>
    <s v="Black or African American"/>
    <d v="2014-02-17T00:00:00"/>
    <d v="2016-02-19T00:00:00"/>
    <s v="Learned that he is a gangster"/>
    <s v="Terminated for Cause"/>
    <x v="1"/>
    <s v="Simon Roup"/>
    <x v="0"/>
    <x v="1"/>
    <n v="3.5"/>
    <n v="5"/>
    <n v="7"/>
    <d v="2016-10-01T00:00:00"/>
    <n v="2"/>
    <n v="26"/>
    <n v="2"/>
    <n v="4"/>
    <x v="2"/>
    <n v="1"/>
  </r>
  <r>
    <s v="Boutwell, Bonalyn"/>
    <n v="10081"/>
    <n v="1"/>
    <n v="1"/>
    <n v="0"/>
    <n v="1"/>
    <n v="1"/>
    <n v="3"/>
    <n v="1"/>
    <n v="106367"/>
    <x v="0"/>
    <n v="26"/>
    <s v="Sr. Accountant"/>
    <s v="MA"/>
    <n v="2468"/>
    <d v="1978-09-22T00:00:00"/>
    <x v="0"/>
    <x v="1"/>
    <s v="Married"/>
    <s v="US Citizen"/>
    <s v="No"/>
    <s v="Black or African American"/>
    <d v="2015-02-16T00:00:00"/>
    <m/>
    <s v="N/A-StillEmployed"/>
    <s v="Active"/>
    <x v="3"/>
    <s v="Brandon R. Leblanc"/>
    <x v="3"/>
    <x v="1"/>
    <n v="5"/>
    <n v="4"/>
    <n v="3"/>
    <d v="2019-02-18T00:00:00"/>
    <n v="4"/>
    <n v="41"/>
    <n v="5"/>
    <n v="3"/>
    <x v="0"/>
    <n v="1"/>
  </r>
  <r>
    <s v="Bozzi, Charles"/>
    <n v="10175"/>
    <n v="0"/>
    <n v="0"/>
    <n v="1"/>
    <n v="5"/>
    <n v="5"/>
    <n v="3"/>
    <n v="0"/>
    <n v="74312"/>
    <x v="1"/>
    <n v="18"/>
    <s v="Production Manager"/>
    <s v="MA"/>
    <n v="1901"/>
    <d v="1987-09-27T00:00:00"/>
    <x v="0"/>
    <x v="0"/>
    <s v="Single"/>
    <s v="US Citizen"/>
    <s v="No"/>
    <s v="Asian"/>
    <d v="2013-09-30T00:00:00"/>
    <d v="2014-07-08T00:00:00"/>
    <s v="retiring"/>
    <s v="Voluntarily Terminated"/>
    <x v="0"/>
    <s v="Janet King"/>
    <x v="2"/>
    <x v="1"/>
    <n v="3.39"/>
    <n v="3"/>
    <n v="0"/>
    <d v="2014-02-20T00:00:00"/>
    <n v="14"/>
    <n v="27"/>
    <n v="1"/>
    <n v="2"/>
    <x v="5"/>
    <n v="1"/>
  </r>
  <r>
    <s v="Brill, Donna"/>
    <n v="10177"/>
    <n v="1"/>
    <n v="1"/>
    <n v="0"/>
    <n v="5"/>
    <n v="5"/>
    <n v="3"/>
    <n v="0"/>
    <n v="53492"/>
    <x v="1"/>
    <n v="19"/>
    <s v="Production Technician I"/>
    <s v="MA"/>
    <n v="1701"/>
    <d v="1955-04-14T00:00:00"/>
    <x v="1"/>
    <x v="1"/>
    <s v="Married"/>
    <s v="US Citizen"/>
    <s v="No"/>
    <s v="White"/>
    <d v="2012-02-04T00:00:00"/>
    <d v="2013-06-15T00:00:00"/>
    <s v="Another position"/>
    <s v="Voluntarily Terminated"/>
    <x v="0"/>
    <s v="David Stanley"/>
    <x v="4"/>
    <x v="1"/>
    <n v="3.35"/>
    <n v="4"/>
    <n v="0"/>
    <d v="2013-04-03T00:00:00"/>
    <n v="6"/>
    <n v="58"/>
    <n v="1"/>
    <n v="14"/>
    <x v="6"/>
    <n v="1"/>
  </r>
  <r>
    <s v="Brown, Mia"/>
    <n v="10238"/>
    <n v="1"/>
    <n v="1"/>
    <n v="0"/>
    <n v="1"/>
    <n v="1"/>
    <n v="3"/>
    <n v="1"/>
    <n v="63000"/>
    <x v="0"/>
    <n v="1"/>
    <s v="Accountant I"/>
    <s v="MA"/>
    <n v="1450"/>
    <d v="1981-03-16T00:00:00"/>
    <x v="0"/>
    <x v="1"/>
    <s v="Married"/>
    <s v="US Citizen"/>
    <s v="No"/>
    <s v="Black or African American"/>
    <d v="2008-10-27T00:00:00"/>
    <m/>
    <s v="N/A-StillEmployed"/>
    <s v="Active"/>
    <x v="3"/>
    <s v="Brandon R. Leblanc"/>
    <x v="3"/>
    <x v="1"/>
    <n v="4.5"/>
    <n v="2"/>
    <n v="6"/>
    <d v="2019-01-15T00:00:00"/>
    <n v="14"/>
    <n v="39"/>
    <n v="11"/>
    <n v="1"/>
    <x v="0"/>
    <n v="1"/>
  </r>
  <r>
    <s v="Buccheri, Joseph"/>
    <n v="10184"/>
    <n v="0"/>
    <n v="0"/>
    <n v="1"/>
    <n v="1"/>
    <n v="5"/>
    <n v="3"/>
    <n v="0"/>
    <n v="65288"/>
    <x v="0"/>
    <n v="20"/>
    <s v="Production Technician Ii"/>
    <s v="MA"/>
    <n v="1013"/>
    <d v="1979-04-16T00:00:00"/>
    <x v="0"/>
    <x v="0"/>
    <s v="Single"/>
    <s v="US Citizen"/>
    <s v="No"/>
    <s v="White"/>
    <d v="2014-09-29T00:00:00"/>
    <m/>
    <s v="N/A-StillEmployed"/>
    <s v="Active"/>
    <x v="0"/>
    <s v="Webster Butler"/>
    <x v="4"/>
    <x v="1"/>
    <n v="3.19"/>
    <n v="3"/>
    <n v="0"/>
    <d v="2019-01-02T00:00:00"/>
    <n v="9"/>
    <n v="41"/>
    <n v="5"/>
    <n v="39"/>
    <x v="0"/>
    <n v="1"/>
  </r>
  <r>
    <s v="Bugali, Josephine"/>
    <n v="10203"/>
    <n v="0"/>
    <n v="3"/>
    <n v="0"/>
    <n v="3"/>
    <n v="5"/>
    <n v="3"/>
    <n v="1"/>
    <n v="64375"/>
    <x v="0"/>
    <n v="19"/>
    <s v="Production Technician I"/>
    <s v="MA"/>
    <n v="2043"/>
    <d v="1963-08-28T00:00:00"/>
    <x v="1"/>
    <x v="1"/>
    <s v="Separated"/>
    <s v="US Citizen"/>
    <s v="No"/>
    <s v="Black or African American"/>
    <d v="2013-11-11T00:00:00"/>
    <m/>
    <s v="N/A-StillEmployed"/>
    <s v="Active"/>
    <x v="0"/>
    <s v="Kissy Sullivan"/>
    <x v="3"/>
    <x v="1"/>
    <n v="3.5"/>
    <n v="5"/>
    <n v="0"/>
    <d v="2019-01-21T00:00:00"/>
    <n v="17"/>
    <n v="56"/>
    <n v="6"/>
    <n v="20"/>
    <x v="0"/>
    <n v="1"/>
  </r>
  <r>
    <s v="Bunbury, Jessica"/>
    <n v="10188"/>
    <n v="1"/>
    <n v="1"/>
    <n v="0"/>
    <n v="5"/>
    <n v="6"/>
    <n v="3"/>
    <n v="0"/>
    <n v="74326"/>
    <x v="1"/>
    <n v="3"/>
    <s v="Area Sales Manager"/>
    <s v="VA"/>
    <n v="21851"/>
    <d v="1985-09-15T00:00:00"/>
    <x v="0"/>
    <x v="1"/>
    <s v="Married"/>
    <s v="Eligible NonCitizen"/>
    <s v="No"/>
    <s v="Black or African American"/>
    <d v="2011-08-15T00:00:00"/>
    <d v="2014-02-08T00:00:00"/>
    <s v="Another position"/>
    <s v="Voluntarily Terminated"/>
    <x v="4"/>
    <s v="John Smith"/>
    <x v="4"/>
    <x v="1"/>
    <n v="3.14"/>
    <n v="5"/>
    <n v="0"/>
    <d v="2013-10-02T00:00:00"/>
    <n v="19"/>
    <n v="28"/>
    <n v="2"/>
    <n v="17"/>
    <x v="5"/>
    <n v="1"/>
  </r>
  <r>
    <s v="Burke, Joelle"/>
    <n v="10107"/>
    <n v="0"/>
    <n v="0"/>
    <n v="0"/>
    <n v="1"/>
    <n v="5"/>
    <n v="3"/>
    <n v="0"/>
    <n v="63763"/>
    <x v="0"/>
    <n v="20"/>
    <s v="Production Technician Ii"/>
    <s v="MA"/>
    <n v="2148"/>
    <d v="1971-10-23T00:00:00"/>
    <x v="0"/>
    <x v="1"/>
    <s v="Single"/>
    <s v="US Citizen"/>
    <s v="No"/>
    <s v="Black or African American"/>
    <d v="2012-05-03T00:00:00"/>
    <m/>
    <s v="N/A-StillEmployed"/>
    <s v="Active"/>
    <x v="0"/>
    <s v="Amy Dunn"/>
    <x v="5"/>
    <x v="1"/>
    <n v="4.51"/>
    <n v="4"/>
    <n v="0"/>
    <d v="2019-02-21T00:00:00"/>
    <n v="3"/>
    <n v="48"/>
    <n v="8"/>
    <n v="11"/>
    <x v="0"/>
    <n v="1"/>
  </r>
  <r>
    <s v="Burkett, Benjamin"/>
    <n v="10181"/>
    <n v="1"/>
    <n v="1"/>
    <n v="1"/>
    <n v="1"/>
    <n v="5"/>
    <n v="3"/>
    <n v="0"/>
    <n v="62162"/>
    <x v="0"/>
    <n v="20"/>
    <s v="Production Technician Ii"/>
    <s v="MA"/>
    <n v="1890"/>
    <d v="1989-11-24T00:00:00"/>
    <x v="0"/>
    <x v="0"/>
    <s v="Married"/>
    <s v="US Citizen"/>
    <s v="No"/>
    <s v="White"/>
    <d v="2011-04-04T00:00:00"/>
    <m/>
    <s v="N/A-StillEmployed"/>
    <s v="Active"/>
    <x v="0"/>
    <s v="Ketsia Liebig"/>
    <x v="2"/>
    <x v="1"/>
    <n v="3.25"/>
    <n v="5"/>
    <n v="0"/>
    <d v="2019-01-14T00:00:00"/>
    <n v="15"/>
    <n v="30"/>
    <n v="9"/>
    <n v="19"/>
    <x v="0"/>
    <n v="1"/>
  </r>
  <r>
    <s v="Cady, Max"/>
    <n v="10150"/>
    <n v="0"/>
    <n v="0"/>
    <n v="1"/>
    <n v="1"/>
    <n v="4"/>
    <n v="3"/>
    <n v="0"/>
    <n v="77692"/>
    <x v="0"/>
    <n v="25"/>
    <s v="Software Engineering Manager"/>
    <s v="MA"/>
    <n v="2184"/>
    <d v="1969-09-29T00:00:00"/>
    <x v="0"/>
    <x v="0"/>
    <s v="Single"/>
    <s v="US Citizen"/>
    <s v="No"/>
    <s v="White"/>
    <d v="2011-08-15T00:00:00"/>
    <m/>
    <s v="N/A-StillEmployed"/>
    <s v="Active"/>
    <x v="2"/>
    <s v="Jennifer Zamora"/>
    <x v="4"/>
    <x v="1"/>
    <n v="3.84"/>
    <n v="3"/>
    <n v="5"/>
    <d v="2019-01-21T00:00:00"/>
    <n v="4"/>
    <n v="50"/>
    <n v="8"/>
    <n v="5"/>
    <x v="0"/>
    <n v="1"/>
  </r>
  <r>
    <s v="Candie, Calvin"/>
    <n v="10001"/>
    <n v="0"/>
    <n v="0"/>
    <n v="1"/>
    <n v="1"/>
    <n v="5"/>
    <n v="4"/>
    <n v="0"/>
    <n v="72640"/>
    <x v="0"/>
    <n v="18"/>
    <s v="Production Manager"/>
    <s v="MA"/>
    <n v="2169"/>
    <d v="1981-04-16T00:00:00"/>
    <x v="0"/>
    <x v="0"/>
    <s v="Single"/>
    <s v="US Citizen"/>
    <s v="No"/>
    <s v="White"/>
    <d v="2016-01-28T00:00:00"/>
    <m/>
    <s v="N/A-StillEmployed"/>
    <s v="Active"/>
    <x v="0"/>
    <s v="Janet King"/>
    <x v="2"/>
    <x v="0"/>
    <n v="5"/>
    <n v="3"/>
    <n v="0"/>
    <d v="2019-02-22T00:00:00"/>
    <n v="14"/>
    <n v="39"/>
    <n v="4"/>
    <n v="2"/>
    <x v="0"/>
    <n v="1"/>
  </r>
  <r>
    <s v="Carabbio, Judith"/>
    <n v="10085"/>
    <n v="0"/>
    <n v="0"/>
    <n v="0"/>
    <n v="1"/>
    <n v="4"/>
    <n v="3"/>
    <n v="0"/>
    <n v="93396"/>
    <x v="0"/>
    <n v="24"/>
    <s v="Software Engineer"/>
    <s v="MA"/>
    <n v="2132"/>
    <d v="1986-05-25T00:00:00"/>
    <x v="0"/>
    <x v="1"/>
    <s v="Single"/>
    <s v="US Citizen"/>
    <s v="No"/>
    <s v="White"/>
    <d v="2013-11-11T00:00:00"/>
    <m/>
    <s v="N/A-StillEmployed"/>
    <s v="Active"/>
    <x v="2"/>
    <s v="Alex Sweetwater"/>
    <x v="2"/>
    <x v="1"/>
    <n v="4.96"/>
    <n v="4"/>
    <n v="6"/>
    <d v="2019-01-30T00:00:00"/>
    <n v="3"/>
    <n v="34"/>
    <n v="6"/>
    <n v="10"/>
    <x v="0"/>
    <n v="1"/>
  </r>
  <r>
    <s v="Carey, Michael"/>
    <n v="10115"/>
    <n v="0"/>
    <n v="0"/>
    <n v="1"/>
    <n v="1"/>
    <n v="5"/>
    <n v="3"/>
    <n v="0"/>
    <n v="52846"/>
    <x v="0"/>
    <n v="19"/>
    <s v="Production Technician I"/>
    <s v="MA"/>
    <n v="1701"/>
    <d v="1989-06-30T00:00:00"/>
    <x v="0"/>
    <x v="0"/>
    <s v="Single"/>
    <s v="US Citizen"/>
    <s v="No"/>
    <s v="Black or African American"/>
    <d v="2014-03-31T00:00:00"/>
    <m/>
    <s v="N/A-StillEmployed"/>
    <s v="Active"/>
    <x v="0"/>
    <s v="Kelley Spirea"/>
    <x v="0"/>
    <x v="1"/>
    <n v="4.43"/>
    <n v="3"/>
    <n v="0"/>
    <d v="2019-01-02T00:00:00"/>
    <n v="14"/>
    <n v="31"/>
    <n v="6"/>
    <n v="18"/>
    <x v="0"/>
    <n v="1"/>
  </r>
  <r>
    <s v="Carr, Claudia  N"/>
    <n v="10082"/>
    <n v="0"/>
    <n v="0"/>
    <n v="0"/>
    <n v="2"/>
    <n v="3"/>
    <n v="3"/>
    <n v="0"/>
    <n v="100031"/>
    <x v="0"/>
    <n v="27"/>
    <s v="Sr. Dba"/>
    <s v="MA"/>
    <n v="1886"/>
    <d v="1977-03-23T00:00:00"/>
    <x v="0"/>
    <x v="1"/>
    <s v="Single"/>
    <s v="US Citizen"/>
    <s v="No"/>
    <s v="Black or African American"/>
    <d v="2016-06-30T00:00:00"/>
    <m/>
    <s v="N/A-StillEmployed"/>
    <s v="Active"/>
    <x v="1"/>
    <s v="Simon Roup"/>
    <x v="0"/>
    <x v="1"/>
    <n v="5"/>
    <n v="5"/>
    <n v="6"/>
    <d v="2019-02-18T00:00:00"/>
    <n v="7"/>
    <n v="43"/>
    <n v="4"/>
    <n v="4"/>
    <x v="0"/>
    <n v="1"/>
  </r>
  <r>
    <s v="Carter, Michelle"/>
    <n v="10040"/>
    <n v="0"/>
    <n v="0"/>
    <n v="0"/>
    <n v="1"/>
    <n v="6"/>
    <n v="3"/>
    <n v="0"/>
    <n v="71860"/>
    <x v="0"/>
    <n v="3"/>
    <s v="Area Sales Manager"/>
    <s v="VT"/>
    <n v="5664"/>
    <d v="1972-08-27T00:00:00"/>
    <x v="0"/>
    <x v="1"/>
    <s v="Single"/>
    <s v="US Citizen"/>
    <s v="No"/>
    <s v="White"/>
    <d v="2014-08-18T00:00:00"/>
    <m/>
    <s v="N/A-StillEmployed"/>
    <s v="Active"/>
    <x v="4"/>
    <s v="John Smith"/>
    <x v="2"/>
    <x v="1"/>
    <n v="5"/>
    <n v="5"/>
    <n v="0"/>
    <d v="2019-01-21T00:00:00"/>
    <n v="7"/>
    <n v="47"/>
    <n v="5"/>
    <n v="17"/>
    <x v="0"/>
    <n v="1"/>
  </r>
  <r>
    <s v="Chace, Beatrice"/>
    <n v="10067"/>
    <n v="0"/>
    <n v="0"/>
    <n v="0"/>
    <n v="1"/>
    <n v="5"/>
    <n v="3"/>
    <n v="0"/>
    <n v="61656"/>
    <x v="0"/>
    <n v="19"/>
    <s v="Production Technician I"/>
    <s v="MA"/>
    <n v="2763"/>
    <d v="1988-09-14T00:00:00"/>
    <x v="0"/>
    <x v="1"/>
    <s v="Single"/>
    <s v="US Citizen"/>
    <s v="No"/>
    <s v="White"/>
    <d v="2014-09-29T00:00:00"/>
    <m/>
    <s v="N/A-StillEmployed"/>
    <s v="Active"/>
    <x v="0"/>
    <s v="Michael Albert"/>
    <x v="4"/>
    <x v="1"/>
    <n v="5"/>
    <n v="4"/>
    <n v="0"/>
    <d v="2019-12-02T00:00:00"/>
    <n v="11"/>
    <n v="31"/>
    <n v="5"/>
    <n v="22"/>
    <x v="0"/>
    <n v="1"/>
  </r>
  <r>
    <s v="Champaigne, Brian"/>
    <n v="10108"/>
    <n v="1"/>
    <n v="1"/>
    <n v="1"/>
    <n v="1"/>
    <n v="3"/>
    <n v="3"/>
    <n v="0"/>
    <n v="110929"/>
    <x v="0"/>
    <n v="5"/>
    <s v="Bi Director"/>
    <s v="MA"/>
    <n v="2045"/>
    <d v="1966-03-17T00:00:00"/>
    <x v="0"/>
    <x v="0"/>
    <s v="Married"/>
    <s v="US Citizen"/>
    <s v="No"/>
    <s v="White"/>
    <d v="2016-06-09T00:00:00"/>
    <m/>
    <s v="N/A-StillEmployed"/>
    <s v="Active"/>
    <x v="1"/>
    <s v="Jennifer Zamora"/>
    <x v="2"/>
    <x v="1"/>
    <n v="4.5"/>
    <n v="5"/>
    <n v="7"/>
    <d v="2019-01-15T00:00:00"/>
    <n v="8"/>
    <n v="54"/>
    <n v="4"/>
    <n v="5"/>
    <x v="0"/>
    <n v="1"/>
  </r>
  <r>
    <s v="Chan, Lin"/>
    <n v="10210"/>
    <n v="0"/>
    <n v="0"/>
    <n v="0"/>
    <n v="1"/>
    <n v="5"/>
    <n v="3"/>
    <n v="0"/>
    <n v="54237"/>
    <x v="0"/>
    <n v="19"/>
    <s v="Production Technician I"/>
    <s v="MA"/>
    <n v="2170"/>
    <d v="1976-11-15T00:00:00"/>
    <x v="0"/>
    <x v="1"/>
    <s v="Single"/>
    <s v="US Citizen"/>
    <s v="No"/>
    <s v="White"/>
    <d v="2014-12-05T00:00:00"/>
    <m/>
    <s v="N/A-StillEmployed"/>
    <s v="Active"/>
    <x v="0"/>
    <s v="Elijiah Gray"/>
    <x v="2"/>
    <x v="1"/>
    <n v="3.3"/>
    <n v="4"/>
    <n v="0"/>
    <d v="2019-02-19T00:00:00"/>
    <n v="11"/>
    <n v="43"/>
    <n v="5"/>
    <n v="16"/>
    <x v="0"/>
    <n v="1"/>
  </r>
  <r>
    <s v="Chang, Donovan  E"/>
    <n v="10154"/>
    <n v="0"/>
    <n v="0"/>
    <n v="1"/>
    <n v="1"/>
    <n v="5"/>
    <n v="3"/>
    <n v="0"/>
    <n v="60380"/>
    <x v="0"/>
    <n v="19"/>
    <s v="Production Technician I"/>
    <s v="MA"/>
    <n v="1845"/>
    <d v="1991-01-28T00:00:00"/>
    <x v="0"/>
    <x v="0"/>
    <s v="Single"/>
    <s v="US Citizen"/>
    <s v="No"/>
    <s v="White"/>
    <d v="2013-08-07T00:00:00"/>
    <m/>
    <s v="N/A-StillEmployed"/>
    <s v="Active"/>
    <x v="0"/>
    <s v="Webster Butler"/>
    <x v="0"/>
    <x v="1"/>
    <n v="3.8"/>
    <n v="5"/>
    <n v="0"/>
    <d v="2019-01-14T00:00:00"/>
    <n v="4"/>
    <n v="29"/>
    <n v="6"/>
    <n v="39"/>
    <x v="0"/>
    <n v="1"/>
  </r>
  <r>
    <s v="Chigurh, Anton"/>
    <n v="10200"/>
    <n v="0"/>
    <n v="0"/>
    <n v="1"/>
    <n v="1"/>
    <n v="6"/>
    <n v="3"/>
    <n v="0"/>
    <n v="66808"/>
    <x v="0"/>
    <n v="3"/>
    <s v="Area Sales Manager"/>
    <s v="TX"/>
    <n v="78207"/>
    <d v="1964-04-13T00:00:00"/>
    <x v="1"/>
    <x v="0"/>
    <s v="Single"/>
    <s v="Eligible NonCitizen"/>
    <s v="No"/>
    <s v="Black or African American"/>
    <d v="2012-05-14T00:00:00"/>
    <m/>
    <s v="N/A-StillEmployed"/>
    <s v="Active"/>
    <x v="4"/>
    <s v="Lynn Daneault"/>
    <x v="5"/>
    <x v="1"/>
    <n v="3"/>
    <n v="5"/>
    <n v="0"/>
    <d v="2019-01-19T00:00:00"/>
    <n v="17"/>
    <n v="56"/>
    <n v="8"/>
    <n v="21"/>
    <x v="0"/>
    <n v="1"/>
  </r>
  <r>
    <s v="Chivukula, Enola"/>
    <n v="10240"/>
    <n v="0"/>
    <n v="0"/>
    <n v="0"/>
    <n v="5"/>
    <n v="5"/>
    <n v="3"/>
    <n v="0"/>
    <n v="64786"/>
    <x v="1"/>
    <n v="19"/>
    <s v="Production Technician I"/>
    <s v="MA"/>
    <n v="1775"/>
    <d v="1959-08-19T00:00:00"/>
    <x v="1"/>
    <x v="1"/>
    <s v="Single"/>
    <s v="US Citizen"/>
    <s v="No"/>
    <s v="White"/>
    <d v="2011-06-27T00:00:00"/>
    <d v="2015-11-15T00:00:00"/>
    <s v="relocation out of area"/>
    <s v="Voluntarily Terminated"/>
    <x v="0"/>
    <s v="Amy Dunn"/>
    <x v="2"/>
    <x v="1"/>
    <n v="4.3"/>
    <n v="4"/>
    <n v="0"/>
    <d v="2015-10-03T00:00:00"/>
    <n v="3"/>
    <n v="56"/>
    <n v="4"/>
    <n v="11"/>
    <x v="3"/>
    <n v="1"/>
  </r>
  <r>
    <s v="Cierpiszewski, Caroline"/>
    <n v="10168"/>
    <n v="0"/>
    <n v="0"/>
    <n v="0"/>
    <n v="1"/>
    <n v="5"/>
    <n v="3"/>
    <n v="0"/>
    <n v="64816"/>
    <x v="0"/>
    <n v="19"/>
    <s v="Production Technician I"/>
    <s v="MA"/>
    <n v="2044"/>
    <d v="1986-04-17T00:00:00"/>
    <x v="0"/>
    <x v="1"/>
    <s v="Single"/>
    <s v="Non-Citizen"/>
    <s v="No"/>
    <s v="Black or African American"/>
    <d v="2011-03-10T00:00:00"/>
    <m/>
    <s v="N/A-StillEmployed"/>
    <s v="Active"/>
    <x v="0"/>
    <s v="Ketsia Liebig"/>
    <x v="2"/>
    <x v="1"/>
    <n v="3.58"/>
    <n v="5"/>
    <n v="0"/>
    <d v="2019-01-30T00:00:00"/>
    <n v="3"/>
    <n v="34"/>
    <n v="9"/>
    <n v="19"/>
    <x v="0"/>
    <n v="1"/>
  </r>
  <r>
    <s v="Clayton, Rick"/>
    <n v="10220"/>
    <n v="0"/>
    <n v="0"/>
    <n v="1"/>
    <n v="1"/>
    <n v="3"/>
    <n v="3"/>
    <n v="0"/>
    <n v="68678"/>
    <x v="0"/>
    <n v="14"/>
    <s v="It Support"/>
    <s v="MA"/>
    <n v="2170"/>
    <d v="1954-09-21T00:00:00"/>
    <x v="1"/>
    <x v="0"/>
    <s v="Single"/>
    <s v="US Citizen"/>
    <s v="No"/>
    <s v="White"/>
    <d v="2012-05-09T00:00:00"/>
    <m/>
    <s v="N/A-StillEmployed"/>
    <s v="Active"/>
    <x v="1"/>
    <s v="Eric Dougall"/>
    <x v="2"/>
    <x v="1"/>
    <n v="4.7"/>
    <n v="3"/>
    <n v="6"/>
    <d v="2019-02-27T00:00:00"/>
    <n v="2"/>
    <n v="65"/>
    <n v="8"/>
    <n v="6"/>
    <x v="0"/>
    <n v="1"/>
  </r>
  <r>
    <s v="Cloninger, Jennifer"/>
    <n v="10275"/>
    <n v="1"/>
    <n v="1"/>
    <n v="0"/>
    <n v="5"/>
    <n v="5"/>
    <n v="3"/>
    <n v="0"/>
    <n v="64066"/>
    <x v="1"/>
    <n v="20"/>
    <s v="Production Technician Ii"/>
    <s v="MA"/>
    <n v="1752"/>
    <d v="1969-02-24T00:00:00"/>
    <x v="0"/>
    <x v="1"/>
    <s v="Married"/>
    <s v="US Citizen"/>
    <s v="No"/>
    <s v="White"/>
    <d v="2011-05-16T00:00:00"/>
    <d v="2013-07-01T00:00:00"/>
    <s v="unhappy"/>
    <s v="Voluntarily Terminated"/>
    <x v="0"/>
    <s v="Brannon Miller"/>
    <x v="4"/>
    <x v="1"/>
    <n v="4.2"/>
    <n v="5"/>
    <n v="0"/>
    <d v="2012-03-05T00:00:00"/>
    <n v="9"/>
    <n v="44"/>
    <n v="2"/>
    <n v="12"/>
    <x v="6"/>
    <n v="1"/>
  </r>
  <r>
    <s v="Close, Phil"/>
    <n v="10269"/>
    <n v="1"/>
    <n v="1"/>
    <n v="1"/>
    <n v="5"/>
    <n v="5"/>
    <n v="3"/>
    <n v="0"/>
    <n v="59369"/>
    <x v="1"/>
    <n v="20"/>
    <s v="Production Technician Ii"/>
    <s v="MA"/>
    <n v="2169"/>
    <d v="1986-04-23T00:00:00"/>
    <x v="0"/>
    <x v="0"/>
    <s v="Married"/>
    <s v="US Citizen"/>
    <s v="No"/>
    <s v="White"/>
    <d v="2010-08-30T00:00:00"/>
    <d v="2011-09-26T00:00:00"/>
    <s v="career change"/>
    <s v="Voluntarily Terminated"/>
    <x v="0"/>
    <s v="David Stanley"/>
    <x v="2"/>
    <x v="1"/>
    <n v="4.2"/>
    <n v="4"/>
    <n v="0"/>
    <d v="2011-04-05T00:00:00"/>
    <n v="6"/>
    <n v="25"/>
    <n v="1"/>
    <n v="14"/>
    <x v="7"/>
    <n v="1"/>
  </r>
  <r>
    <s v="Clukey, Elijian"/>
    <n v="10029"/>
    <n v="1"/>
    <n v="1"/>
    <n v="1"/>
    <n v="2"/>
    <n v="5"/>
    <n v="4"/>
    <n v="0"/>
    <n v="50373"/>
    <x v="0"/>
    <n v="19"/>
    <s v="Production Technician I"/>
    <s v="MA"/>
    <n v="2134"/>
    <d v="1979-07-25T00:00:00"/>
    <x v="0"/>
    <x v="0"/>
    <s v="Married"/>
    <s v="US Citizen"/>
    <s v="No"/>
    <s v="White"/>
    <d v="2016-06-07T00:00:00"/>
    <m/>
    <s v="N/A-StillEmployed"/>
    <s v="Active"/>
    <x v="0"/>
    <s v="Brannon Miller"/>
    <x v="5"/>
    <x v="0"/>
    <n v="4.0999999999999996"/>
    <n v="4"/>
    <n v="0"/>
    <d v="2019-02-28T00:00:00"/>
    <n v="5"/>
    <n v="40"/>
    <n v="4"/>
    <n v="12"/>
    <x v="0"/>
    <n v="1"/>
  </r>
  <r>
    <s v="Cockel, James"/>
    <n v="10261"/>
    <n v="0"/>
    <n v="0"/>
    <n v="1"/>
    <n v="1"/>
    <n v="5"/>
    <n v="3"/>
    <n v="0"/>
    <n v="63108"/>
    <x v="0"/>
    <n v="19"/>
    <s v="Production Technician I"/>
    <s v="MA"/>
    <n v="2452"/>
    <d v="1984-04-26T00:00:00"/>
    <x v="0"/>
    <x v="0"/>
    <s v="Single"/>
    <s v="US Citizen"/>
    <s v="No"/>
    <s v="White"/>
    <d v="2013-08-07T00:00:00"/>
    <m/>
    <s v="N/A-StillEmployed"/>
    <s v="Active"/>
    <x v="0"/>
    <s v="David Stanley"/>
    <x v="5"/>
    <x v="1"/>
    <n v="4.4000000000000004"/>
    <n v="5"/>
    <n v="0"/>
    <d v="2019-01-14T00:00:00"/>
    <n v="3"/>
    <n v="36"/>
    <n v="6"/>
    <n v="14"/>
    <x v="0"/>
    <n v="1"/>
  </r>
  <r>
    <s v="Cole, Spencer"/>
    <n v="10292"/>
    <n v="0"/>
    <n v="0"/>
    <n v="1"/>
    <n v="4"/>
    <n v="5"/>
    <n v="2"/>
    <n v="0"/>
    <n v="59144"/>
    <x v="1"/>
    <n v="19"/>
    <s v="Production Technician I"/>
    <s v="MA"/>
    <n v="1880"/>
    <d v="1987-06-14T00:00:00"/>
    <x v="0"/>
    <x v="0"/>
    <s v="Single"/>
    <s v="US Citizen"/>
    <s v="No"/>
    <s v="Black or African American"/>
    <d v="2011-11-07T00:00:00"/>
    <d v="2016-09-23T00:00:00"/>
    <s v="performance"/>
    <s v="Terminated for Cause"/>
    <x v="0"/>
    <s v="Kissy Sullivan"/>
    <x v="0"/>
    <x v="2"/>
    <n v="2"/>
    <n v="3"/>
    <n v="0"/>
    <d v="2016-01-05T00:00:00"/>
    <n v="16"/>
    <n v="29"/>
    <n v="5"/>
    <n v="20"/>
    <x v="2"/>
    <n v="1"/>
  </r>
  <r>
    <s v="Corleone, Michael"/>
    <n v="10282"/>
    <n v="0"/>
    <n v="2"/>
    <n v="1"/>
    <n v="1"/>
    <n v="5"/>
    <n v="2"/>
    <n v="0"/>
    <n v="68051"/>
    <x v="0"/>
    <n v="18"/>
    <s v="Production Manager"/>
    <s v="MA"/>
    <n v="1803"/>
    <d v="1979-01-17T00:00:00"/>
    <x v="0"/>
    <x v="0"/>
    <s v="Divorced"/>
    <s v="US Citizen"/>
    <s v="No"/>
    <s v="White"/>
    <d v="2010-07-20T00:00:00"/>
    <m/>
    <s v="N/A-StillEmployed"/>
    <s v="Active"/>
    <x v="0"/>
    <s v="Janet King"/>
    <x v="6"/>
    <x v="2"/>
    <n v="4.13"/>
    <n v="2"/>
    <n v="0"/>
    <d v="2019-01-14T00:00:00"/>
    <n v="3"/>
    <n v="41"/>
    <n v="9"/>
    <n v="2"/>
    <x v="0"/>
    <n v="1"/>
  </r>
  <r>
    <s v="Corleone, Vito"/>
    <n v="10019"/>
    <n v="0"/>
    <n v="0"/>
    <n v="1"/>
    <n v="1"/>
    <n v="5"/>
    <n v="4"/>
    <n v="0"/>
    <n v="170500"/>
    <x v="0"/>
    <n v="10"/>
    <s v="Director Of Operations"/>
    <s v="MA"/>
    <n v="2030"/>
    <d v="1976-12-26T00:00:00"/>
    <x v="0"/>
    <x v="0"/>
    <s v="Single"/>
    <s v="US Citizen"/>
    <s v="No"/>
    <s v="Black or African American"/>
    <d v="2009-05-01T00:00:00"/>
    <m/>
    <s v="N/A-StillEmployed"/>
    <s v="Active"/>
    <x v="0"/>
    <s v="Janet King"/>
    <x v="2"/>
    <x v="0"/>
    <n v="3.7"/>
    <n v="5"/>
    <n v="0"/>
    <d v="2019-04-02T00:00:00"/>
    <n v="15"/>
    <n v="43"/>
    <n v="11"/>
    <n v="2"/>
    <x v="0"/>
    <n v="1"/>
  </r>
  <r>
    <s v="Cornett, Lisa"/>
    <n v="10094"/>
    <n v="1"/>
    <n v="1"/>
    <n v="0"/>
    <n v="1"/>
    <n v="5"/>
    <n v="3"/>
    <n v="0"/>
    <n v="63381"/>
    <x v="0"/>
    <n v="19"/>
    <s v="Production Technician I"/>
    <s v="MA"/>
    <n v="2189"/>
    <d v="1982-03-28T00:00:00"/>
    <x v="0"/>
    <x v="1"/>
    <s v="Married"/>
    <s v="US Citizen"/>
    <s v="Yes"/>
    <s v="White"/>
    <d v="2015-05-01T00:00:00"/>
    <m/>
    <s v="N/A-StillEmployed"/>
    <s v="Active"/>
    <x v="0"/>
    <s v="Kelley Spirea"/>
    <x v="2"/>
    <x v="1"/>
    <n v="4.7300000000000004"/>
    <n v="5"/>
    <n v="0"/>
    <d v="2019-02-14T00:00:00"/>
    <n v="6"/>
    <n v="38"/>
    <n v="5"/>
    <n v="18"/>
    <x v="0"/>
    <n v="1"/>
  </r>
  <r>
    <s v="Costello, Frank"/>
    <n v="10193"/>
    <n v="1"/>
    <n v="1"/>
    <n v="1"/>
    <n v="1"/>
    <n v="3"/>
    <n v="3"/>
    <n v="0"/>
    <n v="83552"/>
    <x v="0"/>
    <n v="9"/>
    <s v="Data Analyst"/>
    <s v="MA"/>
    <n v="1810"/>
    <d v="1973-02-14T00:00:00"/>
    <x v="0"/>
    <x v="0"/>
    <s v="Married"/>
    <s v="US Citizen"/>
    <s v="No"/>
    <s v="White"/>
    <d v="2015-03-30T00:00:00"/>
    <m/>
    <s v="N/A-StillEmployed"/>
    <s v="Active"/>
    <x v="1"/>
    <s v="Simon Roup"/>
    <x v="2"/>
    <x v="1"/>
    <n v="3.04"/>
    <n v="3"/>
    <n v="6"/>
    <d v="2019-01-22T00:00:00"/>
    <n v="2"/>
    <n v="47"/>
    <n v="5"/>
    <n v="4"/>
    <x v="0"/>
    <n v="1"/>
  </r>
  <r>
    <s v="Crimmings,   Jean"/>
    <n v="10132"/>
    <n v="0"/>
    <n v="0"/>
    <n v="0"/>
    <n v="2"/>
    <n v="5"/>
    <n v="3"/>
    <n v="0"/>
    <n v="56149"/>
    <x v="0"/>
    <n v="19"/>
    <s v="Production Technician I"/>
    <s v="MA"/>
    <n v="1821"/>
    <d v="1987-05-21T00:00:00"/>
    <x v="0"/>
    <x v="1"/>
    <s v="Single"/>
    <s v="US Citizen"/>
    <s v="No"/>
    <s v="White"/>
    <d v="2016-06-07T00:00:00"/>
    <m/>
    <s v="N/A-StillEmployed"/>
    <s v="Active"/>
    <x v="0"/>
    <s v="Michael Albert"/>
    <x v="0"/>
    <x v="1"/>
    <n v="4.12"/>
    <n v="5"/>
    <n v="0"/>
    <d v="2019-01-28T00:00:00"/>
    <n v="15"/>
    <n v="33"/>
    <n v="4"/>
    <n v="22"/>
    <x v="0"/>
    <n v="1"/>
  </r>
  <r>
    <s v="Cross, Noah"/>
    <n v="10083"/>
    <n v="0"/>
    <n v="0"/>
    <n v="1"/>
    <n v="1"/>
    <n v="3"/>
    <n v="3"/>
    <n v="0"/>
    <n v="92329"/>
    <x v="0"/>
    <n v="28"/>
    <s v="Sr. Network Engineer"/>
    <s v="CT"/>
    <n v="6278"/>
    <d v="1992-08-17T00:00:00"/>
    <x v="0"/>
    <x v="0"/>
    <s v="Single"/>
    <s v="US Citizen"/>
    <s v="No"/>
    <s v="White"/>
    <d v="2014-10-11T00:00:00"/>
    <m/>
    <s v="N/A-StillEmployed"/>
    <s v="Active"/>
    <x v="1"/>
    <s v="Peter Monroe"/>
    <x v="5"/>
    <x v="1"/>
    <n v="5"/>
    <n v="3"/>
    <n v="4"/>
    <d v="2019-02-01T00:00:00"/>
    <n v="5"/>
    <n v="27"/>
    <n v="5"/>
    <n v="7"/>
    <x v="0"/>
    <n v="1"/>
  </r>
  <r>
    <s v="Daneault, Lynn"/>
    <n v="10099"/>
    <n v="0"/>
    <n v="0"/>
    <n v="0"/>
    <n v="1"/>
    <n v="6"/>
    <n v="3"/>
    <n v="0"/>
    <n v="65729"/>
    <x v="0"/>
    <n v="21"/>
    <s v="Sales Manager"/>
    <s v="VT"/>
    <n v="5473"/>
    <d v="1970-04-24T00:00:00"/>
    <x v="0"/>
    <x v="1"/>
    <s v="Single"/>
    <s v="US Citizen"/>
    <s v="No"/>
    <s v="White"/>
    <d v="2014-05-05T00:00:00"/>
    <m/>
    <s v="N/A-StillEmployed"/>
    <s v="Active"/>
    <x v="4"/>
    <s v="Debra Houlihan"/>
    <x v="2"/>
    <x v="1"/>
    <n v="4.62"/>
    <n v="4"/>
    <n v="0"/>
    <d v="2019-01-24T00:00:00"/>
    <n v="8"/>
    <n v="50"/>
    <n v="6"/>
    <n v="15"/>
    <x v="0"/>
    <n v="1"/>
  </r>
  <r>
    <s v="Daniele, Ann"/>
    <n v="10212"/>
    <n v="1"/>
    <n v="1"/>
    <n v="0"/>
    <n v="3"/>
    <n v="3"/>
    <n v="3"/>
    <n v="0"/>
    <n v="85028"/>
    <x v="0"/>
    <n v="28"/>
    <s v="Sr. Network Engineer"/>
    <s v="CT"/>
    <n v="6033"/>
    <d v="1980-04-18T00:00:00"/>
    <x v="0"/>
    <x v="1"/>
    <s v="Married"/>
    <s v="US Citizen"/>
    <s v="No"/>
    <s v="White"/>
    <d v="2014-10-11T00:00:00"/>
    <m/>
    <s v="N/A-StillEmployed"/>
    <s v="Active"/>
    <x v="1"/>
    <s v="Peter Monroe"/>
    <x v="0"/>
    <x v="1"/>
    <n v="3.1"/>
    <n v="5"/>
    <n v="8"/>
    <d v="2019-12-02T00:00:00"/>
    <n v="19"/>
    <n v="40"/>
    <n v="5"/>
    <n v="7"/>
    <x v="0"/>
    <n v="1"/>
  </r>
  <r>
    <s v="Darson, Jene'Ya"/>
    <n v="10056"/>
    <n v="1"/>
    <n v="1"/>
    <n v="0"/>
    <n v="1"/>
    <n v="5"/>
    <n v="3"/>
    <n v="0"/>
    <n v="57583"/>
    <x v="0"/>
    <n v="19"/>
    <s v="Production Technician I"/>
    <s v="MA"/>
    <n v="2110"/>
    <d v="1970-04-25T00:00:00"/>
    <x v="0"/>
    <x v="1"/>
    <s v="Married"/>
    <s v="US Citizen"/>
    <s v="No"/>
    <s v="White"/>
    <d v="2012-02-07T00:00:00"/>
    <m/>
    <s v="N/A-StillEmployed"/>
    <s v="Active"/>
    <x v="0"/>
    <s v="Elijiah Gray"/>
    <x v="2"/>
    <x v="1"/>
    <n v="5"/>
    <n v="3"/>
    <n v="0"/>
    <d v="2019-02-25T00:00:00"/>
    <n v="1"/>
    <n v="50"/>
    <n v="8"/>
    <n v="16"/>
    <x v="0"/>
    <n v="1"/>
  </r>
  <r>
    <s v="Davis, Daniel"/>
    <n v="10143"/>
    <n v="0"/>
    <n v="0"/>
    <n v="1"/>
    <n v="1"/>
    <n v="5"/>
    <n v="3"/>
    <n v="0"/>
    <n v="56294"/>
    <x v="0"/>
    <n v="20"/>
    <s v="Production Technician Ii"/>
    <s v="MA"/>
    <n v="2458"/>
    <d v="1983-03-28T00:00:00"/>
    <x v="0"/>
    <x v="0"/>
    <s v="Single"/>
    <s v="Eligible NonCitizen"/>
    <s v="No"/>
    <s v="Two or more races"/>
    <d v="2011-07-11T00:00:00"/>
    <m/>
    <s v="N/A-StillEmployed"/>
    <s v="Active"/>
    <x v="0"/>
    <s v="Kissy Sullivan"/>
    <x v="0"/>
    <x v="1"/>
    <n v="3.96"/>
    <n v="4"/>
    <n v="0"/>
    <d v="2019-02-27T00:00:00"/>
    <n v="6"/>
    <n v="37"/>
    <n v="8"/>
    <n v="20"/>
    <x v="0"/>
    <n v="1"/>
  </r>
  <r>
    <s v="Dee, Randy"/>
    <n v="10311"/>
    <n v="1"/>
    <n v="1"/>
    <n v="1"/>
    <n v="1"/>
    <n v="6"/>
    <n v="1"/>
    <n v="0"/>
    <n v="56991"/>
    <x v="0"/>
    <n v="19"/>
    <s v="Production Technician I"/>
    <s v="MA"/>
    <n v="2138"/>
    <d v="1985-11-23T00:00:00"/>
    <x v="0"/>
    <x v="0"/>
    <s v="Married"/>
    <s v="US Citizen"/>
    <s v="No"/>
    <s v="White"/>
    <d v="2018-09-07T00:00:00"/>
    <m/>
    <s v="N/A-StillEmployed"/>
    <s v="Active"/>
    <x v="0"/>
    <s v="Brannon Miller"/>
    <x v="2"/>
    <x v="1"/>
    <n v="4.3"/>
    <n v="4"/>
    <n v="3"/>
    <d v="2019-01-31T00:00:00"/>
    <n v="2"/>
    <n v="34"/>
    <n v="1"/>
    <n v="12"/>
    <x v="0"/>
    <n v="1"/>
  </r>
  <r>
    <s v="Degweck,  James"/>
    <n v="10070"/>
    <n v="1"/>
    <n v="1"/>
    <n v="1"/>
    <n v="5"/>
    <n v="5"/>
    <n v="3"/>
    <n v="0"/>
    <n v="55722"/>
    <x v="1"/>
    <n v="19"/>
    <s v="Production Technician I"/>
    <s v="MA"/>
    <n v="1810"/>
    <d v="1980-09-30T00:00:00"/>
    <x v="0"/>
    <x v="0"/>
    <s v="Married"/>
    <s v="US Citizen"/>
    <s v="No"/>
    <s v="White"/>
    <d v="2011-05-16T00:00:00"/>
    <d v="2016-08-06T00:00:00"/>
    <s v="unhappy"/>
    <s v="Voluntarily Terminated"/>
    <x v="0"/>
    <s v="Webster Butler"/>
    <x v="2"/>
    <x v="1"/>
    <n v="5"/>
    <n v="4"/>
    <n v="0"/>
    <d v="2016-02-04T00:00:00"/>
    <n v="14"/>
    <n v="36"/>
    <n v="5"/>
    <n v="39"/>
    <x v="2"/>
    <n v="1"/>
  </r>
  <r>
    <s v="Del Bosque, Keyla"/>
    <n v="10155"/>
    <n v="0"/>
    <n v="0"/>
    <n v="0"/>
    <n v="1"/>
    <n v="4"/>
    <n v="3"/>
    <n v="0"/>
    <n v="101199"/>
    <x v="0"/>
    <n v="24"/>
    <s v="Software Engineer"/>
    <s v="MA"/>
    <n v="2176"/>
    <d v="1979-11-24T00:00:00"/>
    <x v="0"/>
    <x v="1"/>
    <s v="Single"/>
    <s v="US Citizen"/>
    <s v="No"/>
    <s v="Black or African American"/>
    <d v="2012-09-01T00:00:00"/>
    <m/>
    <s v="N/A-StillEmployed"/>
    <s v="Active"/>
    <x v="2"/>
    <s v="Alex Sweetwater"/>
    <x v="6"/>
    <x v="1"/>
    <n v="3.79"/>
    <n v="5"/>
    <n v="5"/>
    <d v="2019-01-25T00:00:00"/>
    <n v="8"/>
    <n v="40"/>
    <n v="7"/>
    <n v="10"/>
    <x v="0"/>
    <n v="1"/>
  </r>
  <r>
    <s v="Delarge, Alex"/>
    <n v="10306"/>
    <n v="0"/>
    <n v="0"/>
    <n v="1"/>
    <n v="1"/>
    <n v="6"/>
    <n v="1"/>
    <n v="0"/>
    <n v="61568"/>
    <x v="0"/>
    <n v="3"/>
    <s v="Area Sales Manager"/>
    <s v="AL"/>
    <n v="36006"/>
    <d v="1989-07-18T00:00:00"/>
    <x v="0"/>
    <x v="0"/>
    <s v="Single"/>
    <s v="US Citizen"/>
    <s v="No"/>
    <s v="Two or more races"/>
    <d v="2014-09-29T00:00:00"/>
    <m/>
    <s v="N/A-StillEmployed"/>
    <s v="Active"/>
    <x v="4"/>
    <s v="John Smith"/>
    <x v="2"/>
    <x v="3"/>
    <n v="1.93"/>
    <n v="3"/>
    <n v="0"/>
    <d v="2019-01-30T00:00:00"/>
    <n v="5"/>
    <n v="30"/>
    <n v="5"/>
    <n v="17"/>
    <x v="0"/>
    <n v="1"/>
  </r>
  <r>
    <s v="Demita, Carla"/>
    <n v="10100"/>
    <n v="0"/>
    <n v="3"/>
    <n v="0"/>
    <n v="5"/>
    <n v="5"/>
    <n v="3"/>
    <n v="0"/>
    <n v="58275"/>
    <x v="1"/>
    <n v="20"/>
    <s v="Production Technician Ii"/>
    <s v="MA"/>
    <n v="2343"/>
    <d v="1986-07-20T00:00:00"/>
    <x v="0"/>
    <x v="1"/>
    <s v="Separated"/>
    <s v="US Citizen"/>
    <s v="No"/>
    <s v="Black or African American"/>
    <d v="2011-04-04T00:00:00"/>
    <d v="2015-04-11T00:00:00"/>
    <s v="more money"/>
    <s v="Voluntarily Terminated"/>
    <x v="0"/>
    <s v="Kelley Spirea"/>
    <x v="4"/>
    <x v="1"/>
    <n v="4.62"/>
    <n v="5"/>
    <n v="0"/>
    <d v="2015-06-05T00:00:00"/>
    <n v="1"/>
    <n v="29"/>
    <n v="4"/>
    <n v="18"/>
    <x v="3"/>
    <n v="1"/>
  </r>
  <r>
    <s v="Desimone, Carl"/>
    <n v="10310"/>
    <n v="1"/>
    <n v="1"/>
    <n v="1"/>
    <n v="1"/>
    <n v="5"/>
    <n v="1"/>
    <n v="0"/>
    <n v="53189"/>
    <x v="0"/>
    <n v="19"/>
    <s v="Production Technician I"/>
    <s v="MA"/>
    <n v="2061"/>
    <d v="1984-09-16T00:00:00"/>
    <x v="0"/>
    <x v="0"/>
    <s v="Married"/>
    <s v="US Citizen"/>
    <s v="No"/>
    <s v="White"/>
    <d v="2014-07-07T00:00:00"/>
    <m/>
    <s v="N/A-StillEmployed"/>
    <s v="Active"/>
    <x v="0"/>
    <s v="Amy Dunn"/>
    <x v="2"/>
    <x v="3"/>
    <n v="1.1200000000000001"/>
    <n v="2"/>
    <n v="0"/>
    <d v="2019-01-31T00:00:00"/>
    <n v="9"/>
    <n v="35"/>
    <n v="5"/>
    <n v="11"/>
    <x v="0"/>
    <n v="1"/>
  </r>
  <r>
    <s v="Devito, Tommy"/>
    <n v="10197"/>
    <n v="0"/>
    <n v="0"/>
    <n v="1"/>
    <n v="1"/>
    <n v="3"/>
    <n v="3"/>
    <n v="0"/>
    <n v="96820"/>
    <x v="0"/>
    <n v="4"/>
    <s v="Bi Developer"/>
    <s v="MA"/>
    <n v="2045"/>
    <d v="1988-08-29T00:00:00"/>
    <x v="0"/>
    <x v="0"/>
    <s v="Single"/>
    <s v="US Citizen"/>
    <s v="No"/>
    <s v="White"/>
    <d v="2017-02-15T00:00:00"/>
    <m/>
    <s v="N/A-StillEmployed"/>
    <s v="Active"/>
    <x v="1"/>
    <s v="Brian Champaigne"/>
    <x v="2"/>
    <x v="1"/>
    <n v="3.01"/>
    <n v="5"/>
    <n v="7"/>
    <d v="2019-01-23T00:00:00"/>
    <n v="15"/>
    <n v="31"/>
    <n v="3"/>
    <n v="13"/>
    <x v="0"/>
    <n v="1"/>
  </r>
  <r>
    <s v="Dickinson, Geoff"/>
    <n v="10276"/>
    <n v="0"/>
    <n v="0"/>
    <n v="1"/>
    <n v="1"/>
    <n v="5"/>
    <n v="3"/>
    <n v="0"/>
    <n v="51259"/>
    <x v="0"/>
    <n v="19"/>
    <s v="Production Technician I"/>
    <s v="MA"/>
    <n v="2180"/>
    <d v="1970-09-22T00:00:00"/>
    <x v="0"/>
    <x v="0"/>
    <s v="Single"/>
    <s v="US Citizen"/>
    <s v="No"/>
    <s v="White"/>
    <d v="2014-12-05T00:00:00"/>
    <m/>
    <s v="N/A-StillEmployed"/>
    <s v="Active"/>
    <x v="0"/>
    <s v="Ketsia Liebig"/>
    <x v="2"/>
    <x v="1"/>
    <n v="4.3"/>
    <n v="4"/>
    <n v="0"/>
    <d v="2019-02-19T00:00:00"/>
    <n v="1"/>
    <n v="49"/>
    <n v="5"/>
    <n v="19"/>
    <x v="0"/>
    <n v="1"/>
  </r>
  <r>
    <s v="Dietrich, Jenna"/>
    <n v="10304"/>
    <n v="0"/>
    <n v="0"/>
    <n v="0"/>
    <n v="1"/>
    <n v="6"/>
    <n v="1"/>
    <n v="0"/>
    <n v="59231"/>
    <x v="0"/>
    <n v="3"/>
    <s v="Area Sales Manager"/>
    <s v="WA"/>
    <n v="98052"/>
    <d v="1984-12-31T00:00:00"/>
    <x v="0"/>
    <x v="1"/>
    <s v="Single"/>
    <s v="US Citizen"/>
    <s v="Yes"/>
    <s v="White"/>
    <d v="2012-02-20T00:00:00"/>
    <m/>
    <s v="N/A-StillEmployed"/>
    <s v="Active"/>
    <x v="4"/>
    <s v="John Smith"/>
    <x v="7"/>
    <x v="3"/>
    <n v="2.2999999999999998"/>
    <n v="1"/>
    <n v="0"/>
    <d v="2019-01-29T00:00:00"/>
    <n v="17"/>
    <n v="35"/>
    <n v="8"/>
    <n v="17"/>
    <x v="0"/>
    <n v="1"/>
  </r>
  <r>
    <s v="Dinocco, Lily"/>
    <n v="10284"/>
    <n v="1"/>
    <n v="1"/>
    <n v="0"/>
    <n v="1"/>
    <n v="5"/>
    <n v="2"/>
    <n v="0"/>
    <n v="61584"/>
    <x v="0"/>
    <n v="19"/>
    <s v="Production Technician I"/>
    <s v="MA"/>
    <n v="2351"/>
    <d v="1982-07-22T00:00:00"/>
    <x v="0"/>
    <x v="1"/>
    <s v="Married"/>
    <s v="US Citizen"/>
    <s v="No"/>
    <s v="Black or African American"/>
    <d v="2013-07-01T00:00:00"/>
    <m/>
    <s v="N/A-StillEmployed"/>
    <s v="Active"/>
    <x v="0"/>
    <s v="Brannon Miller"/>
    <x v="2"/>
    <x v="2"/>
    <n v="3.88"/>
    <n v="4"/>
    <n v="0"/>
    <d v="2019-01-18T00:00:00"/>
    <n v="6"/>
    <n v="37"/>
    <n v="6"/>
    <n v="12"/>
    <x v="0"/>
    <n v="1"/>
  </r>
  <r>
    <s v="Dobrin, Denisa  S"/>
    <n v="10207"/>
    <n v="0"/>
    <n v="0"/>
    <n v="0"/>
    <n v="1"/>
    <n v="5"/>
    <n v="3"/>
    <n v="0"/>
    <n v="46335"/>
    <x v="0"/>
    <n v="19"/>
    <s v="Production Technician I"/>
    <s v="MA"/>
    <n v="2125"/>
    <d v="1985-01-28T00:00:00"/>
    <x v="0"/>
    <x v="1"/>
    <s v="Single"/>
    <s v="US Citizen"/>
    <s v="Yes"/>
    <s v="White"/>
    <d v="2012-02-04T00:00:00"/>
    <m/>
    <s v="N/A-StillEmployed"/>
    <s v="Active"/>
    <x v="0"/>
    <s v="David Stanley"/>
    <x v="6"/>
    <x v="1"/>
    <n v="3.4"/>
    <n v="5"/>
    <n v="0"/>
    <d v="2019-02-19T00:00:00"/>
    <n v="15"/>
    <n v="35"/>
    <n v="8"/>
    <n v="14"/>
    <x v="0"/>
    <n v="1"/>
  </r>
  <r>
    <s v="Dolan, Linda"/>
    <n v="10133"/>
    <n v="1"/>
    <n v="1"/>
    <n v="0"/>
    <n v="1"/>
    <n v="3"/>
    <n v="3"/>
    <n v="0"/>
    <n v="70621"/>
    <x v="0"/>
    <n v="14"/>
    <s v="It Support"/>
    <s v="MA"/>
    <n v="2119"/>
    <d v="1973-05-27T00:00:00"/>
    <x v="0"/>
    <x v="1"/>
    <s v="Married"/>
    <s v="US Citizen"/>
    <s v="No"/>
    <s v="White"/>
    <d v="2015-05-01T00:00:00"/>
    <m/>
    <s v="N/A-StillEmployed"/>
    <s v="Active"/>
    <x v="1"/>
    <s v="Peter Monroe"/>
    <x v="5"/>
    <x v="1"/>
    <n v="4.1100000000000003"/>
    <n v="4"/>
    <n v="6"/>
    <d v="2019-02-25T00:00:00"/>
    <n v="16"/>
    <n v="47"/>
    <n v="5"/>
    <n v="7"/>
    <x v="0"/>
    <n v="1"/>
  </r>
  <r>
    <s v="Dougall, Eric"/>
    <n v="10028"/>
    <n v="0"/>
    <n v="0"/>
    <n v="1"/>
    <n v="1"/>
    <n v="3"/>
    <n v="4"/>
    <n v="0"/>
    <n v="138888"/>
    <x v="0"/>
    <n v="13"/>
    <s v="It Manager - Support"/>
    <s v="MA"/>
    <n v="1886"/>
    <d v="1972-11-21T00:00:00"/>
    <x v="0"/>
    <x v="0"/>
    <s v="Single"/>
    <s v="US Citizen"/>
    <s v="No"/>
    <s v="Black or African American"/>
    <d v="2014-05-01T00:00:00"/>
    <m/>
    <s v="N/A-StillEmployed"/>
    <s v="Active"/>
    <x v="1"/>
    <s v="Jennifer Zamora"/>
    <x v="2"/>
    <x v="0"/>
    <n v="4.3"/>
    <n v="5"/>
    <n v="5"/>
    <d v="2019-04-01T00:00:00"/>
    <n v="4"/>
    <n v="47"/>
    <n v="6"/>
    <n v="5"/>
    <x v="0"/>
    <n v="1"/>
  </r>
  <r>
    <s v="Driver, Elle"/>
    <n v="10006"/>
    <n v="0"/>
    <n v="0"/>
    <n v="0"/>
    <n v="1"/>
    <n v="6"/>
    <n v="4"/>
    <n v="0"/>
    <n v="74241"/>
    <x v="0"/>
    <n v="3"/>
    <s v="Area Sales Manager"/>
    <s v="CA"/>
    <n v="90007"/>
    <d v="1986-04-26T00:00:00"/>
    <x v="0"/>
    <x v="1"/>
    <s v="Single"/>
    <s v="US Citizen"/>
    <s v="No"/>
    <s v="White"/>
    <d v="2011-10-01T00:00:00"/>
    <m/>
    <s v="N/A-StillEmployed"/>
    <s v="Active"/>
    <x v="4"/>
    <s v="Lynn Daneault"/>
    <x v="2"/>
    <x v="0"/>
    <n v="4.7699999999999996"/>
    <n v="5"/>
    <n v="0"/>
    <d v="2019-01-27T00:00:00"/>
    <n v="14"/>
    <n v="34"/>
    <n v="8"/>
    <n v="21"/>
    <x v="0"/>
    <n v="1"/>
  </r>
  <r>
    <s v="Dunn, Amy"/>
    <n v="10105"/>
    <n v="0"/>
    <n v="0"/>
    <n v="0"/>
    <n v="1"/>
    <n v="5"/>
    <n v="3"/>
    <n v="0"/>
    <n v="75188"/>
    <x v="0"/>
    <n v="18"/>
    <s v="Production Manager"/>
    <s v="MA"/>
    <n v="1731"/>
    <d v="1987-12-17T00:00:00"/>
    <x v="0"/>
    <x v="1"/>
    <s v="Single"/>
    <s v="US Citizen"/>
    <s v="No"/>
    <s v="White"/>
    <d v="2014-09-18T00:00:00"/>
    <m/>
    <s v="N/A-StillEmployed"/>
    <s v="Active"/>
    <x v="0"/>
    <s v="Janet King"/>
    <x v="4"/>
    <x v="1"/>
    <n v="4.5199999999999996"/>
    <n v="4"/>
    <n v="0"/>
    <d v="2019-01-15T00:00:00"/>
    <n v="4"/>
    <n v="32"/>
    <n v="5"/>
    <n v="2"/>
    <x v="0"/>
    <n v="1"/>
  </r>
  <r>
    <s v="Dunne, Amy"/>
    <n v="10211"/>
    <n v="1"/>
    <n v="1"/>
    <n v="0"/>
    <n v="1"/>
    <n v="5"/>
    <n v="3"/>
    <n v="0"/>
    <n v="62514"/>
    <x v="0"/>
    <n v="19"/>
    <s v="Production Technician I"/>
    <s v="MA"/>
    <n v="1749"/>
    <d v="1981-04-14T00:00:00"/>
    <x v="0"/>
    <x v="1"/>
    <s v="Married"/>
    <s v="US Citizen"/>
    <s v="No"/>
    <s v="White"/>
    <d v="2010-04-26T00:00:00"/>
    <m/>
    <s v="N/A-StillEmployed"/>
    <s v="Active"/>
    <x v="0"/>
    <s v="Ketsia Liebig"/>
    <x v="4"/>
    <x v="1"/>
    <n v="2.9"/>
    <n v="3"/>
    <n v="0"/>
    <d v="2019-01-21T00:00:00"/>
    <n v="6"/>
    <n v="39"/>
    <n v="10"/>
    <n v="19"/>
    <x v="0"/>
    <n v="1"/>
  </r>
  <r>
    <s v="Eaton, Marianne"/>
    <n v="10064"/>
    <n v="1"/>
    <n v="1"/>
    <n v="0"/>
    <n v="5"/>
    <n v="5"/>
    <n v="3"/>
    <n v="0"/>
    <n v="60070"/>
    <x v="1"/>
    <n v="19"/>
    <s v="Production Technician I"/>
    <s v="MA"/>
    <n v="2343"/>
    <d v="1988-05-19T00:00:00"/>
    <x v="0"/>
    <x v="1"/>
    <s v="Married"/>
    <s v="US Citizen"/>
    <s v="No"/>
    <s v="White"/>
    <d v="2011-04-04T00:00:00"/>
    <d v="2017-06-06T00:00:00"/>
    <s v="military"/>
    <s v="Voluntarily Terminated"/>
    <x v="0"/>
    <s v="Kissy Sullivan"/>
    <x v="4"/>
    <x v="1"/>
    <n v="5"/>
    <n v="3"/>
    <n v="0"/>
    <d v="2017-09-04T00:00:00"/>
    <n v="7"/>
    <n v="29"/>
    <n v="6"/>
    <n v="20"/>
    <x v="1"/>
    <n v="1"/>
  </r>
  <r>
    <s v="Engdahl, Jean"/>
    <n v="10247"/>
    <n v="0"/>
    <n v="0"/>
    <n v="1"/>
    <n v="1"/>
    <n v="5"/>
    <n v="3"/>
    <n v="0"/>
    <n v="48888"/>
    <x v="0"/>
    <n v="19"/>
    <s v="Production Technician I"/>
    <s v="MA"/>
    <n v="2026"/>
    <d v="1963-10-30T00:00:00"/>
    <x v="1"/>
    <x v="0"/>
    <s v="Single"/>
    <s v="US Citizen"/>
    <s v="No"/>
    <s v="White"/>
    <d v="2014-10-11T00:00:00"/>
    <m/>
    <s v="N/A-StillEmployed"/>
    <s v="Active"/>
    <x v="0"/>
    <s v="Kelley Spirea"/>
    <x v="0"/>
    <x v="1"/>
    <n v="4.7"/>
    <n v="5"/>
    <n v="0"/>
    <d v="2019-02-13T00:00:00"/>
    <n v="8"/>
    <n v="56"/>
    <n v="5"/>
    <n v="18"/>
    <x v="0"/>
    <n v="1"/>
  </r>
  <r>
    <s v="England, Rex"/>
    <n v="10235"/>
    <n v="1"/>
    <n v="1"/>
    <n v="1"/>
    <n v="1"/>
    <n v="5"/>
    <n v="3"/>
    <n v="0"/>
    <n v="54285"/>
    <x v="0"/>
    <n v="19"/>
    <s v="Production Technician I"/>
    <s v="MA"/>
    <n v="2045"/>
    <d v="1984-08-16T00:00:00"/>
    <x v="0"/>
    <x v="0"/>
    <s v="Married"/>
    <s v="US Citizen"/>
    <s v="No"/>
    <s v="White"/>
    <d v="2014-03-31T00:00:00"/>
    <m/>
    <s v="N/A-StillEmployed"/>
    <s v="Active"/>
    <x v="0"/>
    <s v="Kelley Spirea"/>
    <x v="5"/>
    <x v="1"/>
    <n v="4.2"/>
    <n v="3"/>
    <n v="0"/>
    <d v="2019-11-01T00:00:00"/>
    <n v="3"/>
    <n v="35"/>
    <n v="6"/>
    <n v="18"/>
    <x v="0"/>
    <n v="1"/>
  </r>
  <r>
    <s v="Erilus, Angela"/>
    <n v="10299"/>
    <n v="0"/>
    <n v="3"/>
    <n v="0"/>
    <n v="1"/>
    <n v="5"/>
    <n v="1"/>
    <n v="0"/>
    <n v="56847"/>
    <x v="0"/>
    <n v="20"/>
    <s v="Production Technician Ii"/>
    <s v="MA"/>
    <n v="2133"/>
    <d v="1975-09-30T00:00:00"/>
    <x v="0"/>
    <x v="1"/>
    <s v="Separated"/>
    <s v="US Citizen"/>
    <s v="No"/>
    <s v="White"/>
    <d v="2014-07-07T00:00:00"/>
    <m/>
    <s v="N/A-StillEmployed"/>
    <s v="Active"/>
    <x v="0"/>
    <s v="Michael Albert"/>
    <x v="2"/>
    <x v="3"/>
    <n v="3"/>
    <n v="1"/>
    <n v="0"/>
    <d v="2019-02-25T00:00:00"/>
    <n v="5"/>
    <n v="44"/>
    <n v="5"/>
    <n v="22"/>
    <x v="0"/>
    <n v="1"/>
  </r>
  <r>
    <s v="Estremera, Miguel"/>
    <n v="10280"/>
    <n v="0"/>
    <n v="0"/>
    <n v="1"/>
    <n v="4"/>
    <n v="5"/>
    <n v="2"/>
    <n v="0"/>
    <n v="60340"/>
    <x v="1"/>
    <n v="19"/>
    <s v="Production Technician I"/>
    <s v="MA"/>
    <n v="2129"/>
    <d v="1982-08-25T00:00:00"/>
    <x v="0"/>
    <x v="0"/>
    <s v="Single"/>
    <s v="US Citizen"/>
    <s v="No"/>
    <s v="White"/>
    <d v="2012-02-04T00:00:00"/>
    <d v="2018-09-27T00:00:00"/>
    <s v="attendance"/>
    <s v="Terminated for Cause"/>
    <x v="0"/>
    <s v="Michael Albert"/>
    <x v="4"/>
    <x v="2"/>
    <n v="5"/>
    <n v="4"/>
    <n v="0"/>
    <d v="2018-12-04T00:00:00"/>
    <n v="16"/>
    <n v="36"/>
    <n v="7"/>
    <n v="22"/>
    <x v="8"/>
    <n v="1"/>
  </r>
  <r>
    <s v="Evensen, April"/>
    <n v="10296"/>
    <n v="0"/>
    <n v="0"/>
    <n v="0"/>
    <n v="4"/>
    <n v="5"/>
    <n v="2"/>
    <n v="0"/>
    <n v="59124"/>
    <x v="1"/>
    <n v="19"/>
    <s v="Production Technician I"/>
    <s v="MA"/>
    <n v="2458"/>
    <d v="1985-03-14T00:00:00"/>
    <x v="0"/>
    <x v="1"/>
    <s v="Single"/>
    <s v="US Citizen"/>
    <s v="No"/>
    <s v="White"/>
    <d v="2014-02-17T00:00:00"/>
    <d v="2018-02-25T00:00:00"/>
    <s v="no-call, no-show"/>
    <s v="Terminated for Cause"/>
    <x v="0"/>
    <s v="Elijiah Gray"/>
    <x v="4"/>
    <x v="2"/>
    <n v="2.2999999999999998"/>
    <n v="3"/>
    <n v="0"/>
    <d v="2017-01-15T00:00:00"/>
    <n v="19"/>
    <n v="33"/>
    <n v="4"/>
    <n v="16"/>
    <x v="8"/>
    <n v="1"/>
  </r>
  <r>
    <s v="Exantus, Susan"/>
    <n v="10290"/>
    <n v="1"/>
    <n v="1"/>
    <n v="0"/>
    <n v="4"/>
    <n v="4"/>
    <n v="2"/>
    <n v="0"/>
    <n v="99280"/>
    <x v="1"/>
    <n v="24"/>
    <s v="Software Engineer"/>
    <s v="MA"/>
    <n v="1749"/>
    <d v="1978-03-28T00:00:00"/>
    <x v="0"/>
    <x v="1"/>
    <s v="Married"/>
    <s v="US Citizen"/>
    <s v="No"/>
    <s v="Black or African American"/>
    <d v="2011-02-05T00:00:00"/>
    <d v="2013-05-06T00:00:00"/>
    <s v="attendance"/>
    <s v="Terminated for Cause"/>
    <x v="2"/>
    <s v="Alex Sweetwater"/>
    <x v="2"/>
    <x v="2"/>
    <n v="2.1"/>
    <n v="5"/>
    <n v="4"/>
    <d v="2012-10-08T00:00:00"/>
    <n v="19"/>
    <n v="35"/>
    <n v="2"/>
    <n v="10"/>
    <x v="6"/>
    <n v="1"/>
  </r>
  <r>
    <s v="Faller, Megan"/>
    <n v="10263"/>
    <n v="1"/>
    <n v="1"/>
    <n v="0"/>
    <n v="1"/>
    <n v="5"/>
    <n v="3"/>
    <n v="0"/>
    <n v="71776"/>
    <x v="0"/>
    <n v="20"/>
    <s v="Production Technician Ii"/>
    <s v="MA"/>
    <n v="1824"/>
    <d v="1968-01-15T00:00:00"/>
    <x v="0"/>
    <x v="1"/>
    <s v="Married"/>
    <s v="US Citizen"/>
    <s v="No"/>
    <s v="Black or African American"/>
    <d v="2014-07-07T00:00:00"/>
    <m/>
    <s v="N/A-StillEmployed"/>
    <s v="Active"/>
    <x v="0"/>
    <s v="Elijiah Gray"/>
    <x v="0"/>
    <x v="1"/>
    <n v="4.4000000000000004"/>
    <n v="5"/>
    <n v="0"/>
    <d v="2019-02-22T00:00:00"/>
    <n v="17"/>
    <n v="52"/>
    <n v="5"/>
    <n v="16"/>
    <x v="0"/>
    <n v="1"/>
  </r>
  <r>
    <s v="Fancett, Nicole"/>
    <n v="10136"/>
    <n v="0"/>
    <n v="0"/>
    <n v="0"/>
    <n v="1"/>
    <n v="5"/>
    <n v="3"/>
    <n v="0"/>
    <n v="65902"/>
    <x v="0"/>
    <n v="20"/>
    <s v="Production Technician Ii"/>
    <s v="MA"/>
    <n v="2324"/>
    <d v="1983-05-16T00:00:00"/>
    <x v="0"/>
    <x v="1"/>
    <s v="Single"/>
    <s v="US Citizen"/>
    <s v="No"/>
    <s v="Black or African American"/>
    <d v="2014-02-17T00:00:00"/>
    <m/>
    <s v="N/A-StillEmployed"/>
    <s v="Active"/>
    <x v="0"/>
    <s v="Webster Butler"/>
    <x v="0"/>
    <x v="1"/>
    <n v="4"/>
    <n v="4"/>
    <n v="0"/>
    <d v="2019-07-01T00:00:00"/>
    <n v="7"/>
    <n v="37"/>
    <n v="6"/>
    <n v="39"/>
    <x v="0"/>
    <n v="1"/>
  </r>
  <r>
    <s v="Ferguson, Susan"/>
    <n v="10189"/>
    <n v="1"/>
    <n v="1"/>
    <n v="0"/>
    <n v="5"/>
    <n v="5"/>
    <n v="3"/>
    <n v="0"/>
    <n v="57748"/>
    <x v="1"/>
    <n v="19"/>
    <s v="Production Technician I"/>
    <s v="MA"/>
    <n v="2176"/>
    <d v="1985-03-15T00:00:00"/>
    <x v="0"/>
    <x v="1"/>
    <s v="Married"/>
    <s v="US Citizen"/>
    <s v="No"/>
    <s v="White"/>
    <d v="2011-07-11T00:00:00"/>
    <d v="2016-07-15T00:00:00"/>
    <s v="military"/>
    <s v="Voluntarily Terminated"/>
    <x v="0"/>
    <s v="Webster Butler"/>
    <x v="4"/>
    <x v="1"/>
    <n v="3.13"/>
    <n v="3"/>
    <n v="0"/>
    <d v="2016-04-02T00:00:00"/>
    <n v="16"/>
    <n v="31"/>
    <n v="5"/>
    <n v="39"/>
    <x v="2"/>
    <n v="1"/>
  </r>
  <r>
    <s v="Fernandes, Nilson"/>
    <n v="10308"/>
    <n v="1"/>
    <n v="1"/>
    <n v="1"/>
    <n v="1"/>
    <n v="5"/>
    <n v="1"/>
    <n v="0"/>
    <n v="64057"/>
    <x v="0"/>
    <n v="19"/>
    <s v="Production Technician I"/>
    <s v="MA"/>
    <n v="2132"/>
    <d v="1991-05-23T00:00:00"/>
    <x v="0"/>
    <x v="0"/>
    <s v="Married"/>
    <s v="US Citizen"/>
    <s v="No"/>
    <s v="White"/>
    <d v="2015-11-05T00:00:00"/>
    <m/>
    <s v="N/A-StillEmployed"/>
    <s v="Active"/>
    <x v="0"/>
    <s v="Amy Dunn"/>
    <x v="2"/>
    <x v="3"/>
    <n v="1.56"/>
    <n v="5"/>
    <n v="0"/>
    <d v="2019-03-01T00:00:00"/>
    <n v="15"/>
    <n v="29"/>
    <n v="4"/>
    <n v="11"/>
    <x v="0"/>
    <n v="1"/>
  </r>
  <r>
    <s v="Fett, Boba"/>
    <n v="10309"/>
    <n v="0"/>
    <n v="0"/>
    <n v="1"/>
    <n v="1"/>
    <n v="3"/>
    <n v="1"/>
    <n v="0"/>
    <n v="53366"/>
    <x v="0"/>
    <n v="15"/>
    <s v="Network Engineer"/>
    <s v="MA"/>
    <n v="2138"/>
    <d v="1955-11-14T00:00:00"/>
    <x v="1"/>
    <x v="0"/>
    <s v="Single"/>
    <s v="US Citizen"/>
    <s v="No"/>
    <s v="White"/>
    <d v="2015-03-30T00:00:00"/>
    <m/>
    <s v="N/A-StillEmployed"/>
    <s v="Active"/>
    <x v="1"/>
    <s v="Peter Monroe"/>
    <x v="0"/>
    <x v="3"/>
    <n v="1.2"/>
    <n v="3"/>
    <n v="6"/>
    <d v="2019-04-02T00:00:00"/>
    <n v="2"/>
    <n v="64"/>
    <n v="5"/>
    <n v="7"/>
    <x v="0"/>
    <n v="1"/>
  </r>
  <r>
    <s v="Fidelia,  Libby"/>
    <n v="10049"/>
    <n v="1"/>
    <n v="1"/>
    <n v="0"/>
    <n v="1"/>
    <n v="5"/>
    <n v="3"/>
    <n v="0"/>
    <n v="58530"/>
    <x v="0"/>
    <n v="19"/>
    <s v="Production Technician I"/>
    <s v="MA"/>
    <n v="2155"/>
    <d v="1987-05-24T00:00:00"/>
    <x v="0"/>
    <x v="1"/>
    <s v="Married"/>
    <s v="US Citizen"/>
    <s v="No"/>
    <s v="White"/>
    <d v="2012-09-01T00:00:00"/>
    <m/>
    <s v="N/A-StillEmployed"/>
    <s v="Active"/>
    <x v="0"/>
    <s v="Brannon Miller"/>
    <x v="4"/>
    <x v="1"/>
    <n v="5"/>
    <n v="5"/>
    <n v="0"/>
    <d v="2019-01-29T00:00:00"/>
    <n v="19"/>
    <n v="33"/>
    <n v="7"/>
    <n v="12"/>
    <x v="0"/>
    <n v="1"/>
  </r>
  <r>
    <s v="Fitzpatrick, Michael  J"/>
    <n v="10093"/>
    <n v="0"/>
    <n v="0"/>
    <n v="1"/>
    <n v="5"/>
    <n v="5"/>
    <n v="3"/>
    <n v="0"/>
    <n v="72609"/>
    <x v="1"/>
    <n v="20"/>
    <s v="Production Technician Ii"/>
    <s v="MA"/>
    <n v="2143"/>
    <d v="1979-08-30T00:00:00"/>
    <x v="0"/>
    <x v="0"/>
    <s v="Single"/>
    <s v="US Citizen"/>
    <s v="Yes"/>
    <s v="White"/>
    <d v="2011-05-16T00:00:00"/>
    <d v="2013-06-24T00:00:00"/>
    <s v="hours"/>
    <s v="Voluntarily Terminated"/>
    <x v="0"/>
    <s v="Amy Dunn"/>
    <x v="4"/>
    <x v="1"/>
    <n v="4.76"/>
    <n v="5"/>
    <n v="0"/>
    <d v="2013-05-04T00:00:00"/>
    <n v="20"/>
    <n v="34"/>
    <n v="2"/>
    <n v="11"/>
    <x v="6"/>
    <n v="1"/>
  </r>
  <r>
    <s v="Foreman, Tanya"/>
    <n v="10163"/>
    <n v="1"/>
    <n v="1"/>
    <n v="0"/>
    <n v="5"/>
    <n v="5"/>
    <n v="3"/>
    <n v="0"/>
    <n v="55965"/>
    <x v="1"/>
    <n v="20"/>
    <s v="Production Technician Ii"/>
    <s v="MA"/>
    <n v="2170"/>
    <d v="1979-02-24T00:00:00"/>
    <x v="0"/>
    <x v="1"/>
    <s v="Married"/>
    <s v="US Citizen"/>
    <s v="No"/>
    <s v="White"/>
    <d v="2011-04-04T00:00:00"/>
    <d v="2013-09-01T00:00:00"/>
    <s v="career change"/>
    <s v="Voluntarily Terminated"/>
    <x v="0"/>
    <s v="Ketsia Liebig"/>
    <x v="4"/>
    <x v="1"/>
    <n v="3.66"/>
    <n v="3"/>
    <n v="0"/>
    <d v="2012-07-01T00:00:00"/>
    <n v="6"/>
    <n v="35"/>
    <n v="2"/>
    <n v="19"/>
    <x v="6"/>
    <n v="1"/>
  </r>
  <r>
    <s v="Forrest, Alex"/>
    <n v="10305"/>
    <n v="1"/>
    <n v="1"/>
    <n v="1"/>
    <n v="1"/>
    <n v="6"/>
    <n v="3"/>
    <n v="0"/>
    <n v="70187"/>
    <x v="1"/>
    <n v="3"/>
    <s v="Area Sales Manager"/>
    <s v="MA"/>
    <n v="2330"/>
    <d v="1978-08-17T00:00:00"/>
    <x v="0"/>
    <x v="0"/>
    <s v="Married"/>
    <s v="US Citizen"/>
    <s v="No"/>
    <s v="White"/>
    <d v="2014-09-29T00:00:00"/>
    <d v="2018-09-18T00:00:00"/>
    <s v="Fatal attraction"/>
    <s v="Terminated for Cause"/>
    <x v="4"/>
    <s v="Lynn Daneault"/>
    <x v="5"/>
    <x v="3"/>
    <n v="2"/>
    <n v="5"/>
    <n v="0"/>
    <d v="2019-01-28T00:00:00"/>
    <n v="7"/>
    <n v="40"/>
    <n v="4"/>
    <n v="21"/>
    <x v="8"/>
    <n v="1"/>
  </r>
  <r>
    <s v="Foss, Jason"/>
    <n v="10015"/>
    <n v="0"/>
    <n v="0"/>
    <n v="1"/>
    <n v="1"/>
    <n v="3"/>
    <n v="4"/>
    <n v="0"/>
    <n v="178000"/>
    <x v="0"/>
    <n v="12"/>
    <s v="It Director"/>
    <s v="MA"/>
    <n v="1460"/>
    <d v="1980-05-07T00:00:00"/>
    <x v="0"/>
    <x v="0"/>
    <s v="Single"/>
    <s v="US Citizen"/>
    <s v="No"/>
    <s v="Black or African American"/>
    <d v="2011-04-15T00:00:00"/>
    <m/>
    <s v="N/A-StillEmployed"/>
    <s v="Active"/>
    <x v="1"/>
    <s v="Jennifer Zamora"/>
    <x v="2"/>
    <x v="0"/>
    <n v="5"/>
    <n v="5"/>
    <n v="5"/>
    <d v="2019-07-01T00:00:00"/>
    <n v="15"/>
    <n v="40"/>
    <n v="9"/>
    <n v="5"/>
    <x v="0"/>
    <n v="1"/>
  </r>
  <r>
    <s v="Foster-Baker, Amy"/>
    <n v="10080"/>
    <n v="1"/>
    <n v="1"/>
    <n v="0"/>
    <n v="1"/>
    <n v="1"/>
    <n v="3"/>
    <n v="0"/>
    <n v="99351"/>
    <x v="0"/>
    <n v="26"/>
    <s v="Sr. Accountant"/>
    <s v="MA"/>
    <n v="2050"/>
    <d v="1979-04-16T00:00:00"/>
    <x v="0"/>
    <x v="1"/>
    <s v="Married"/>
    <s v="US Citizen"/>
    <s v="No"/>
    <s v="White"/>
    <d v="2009-05-01T00:00:00"/>
    <m/>
    <s v="N/A-StillEmployed"/>
    <s v="Active"/>
    <x v="3"/>
    <s v="Board Of Directors"/>
    <x v="8"/>
    <x v="1"/>
    <n v="5"/>
    <n v="3"/>
    <n v="2"/>
    <d v="2019-08-02T00:00:00"/>
    <n v="3"/>
    <n v="41"/>
    <n v="11"/>
    <n v="9"/>
    <x v="0"/>
    <n v="1"/>
  </r>
  <r>
    <s v="Fraval, Maruk"/>
    <n v="10258"/>
    <n v="0"/>
    <n v="0"/>
    <n v="1"/>
    <n v="1"/>
    <n v="6"/>
    <n v="3"/>
    <n v="0"/>
    <n v="67251"/>
    <x v="0"/>
    <n v="3"/>
    <s v="Area Sales Manager"/>
    <s v="CT"/>
    <n v="6050"/>
    <d v="1963-08-28T00:00:00"/>
    <x v="1"/>
    <x v="0"/>
    <s v="Single"/>
    <s v="US Citizen"/>
    <s v="No"/>
    <s v="Black or African American"/>
    <d v="2011-06-09T00:00:00"/>
    <m/>
    <s v="N/A-StillEmployed"/>
    <s v="Active"/>
    <x v="4"/>
    <s v="Lynn Daneault"/>
    <x v="6"/>
    <x v="1"/>
    <n v="4.3"/>
    <n v="3"/>
    <n v="0"/>
    <d v="2019-01-27T00:00:00"/>
    <n v="7"/>
    <n v="56"/>
    <n v="9"/>
    <n v="21"/>
    <x v="0"/>
    <n v="1"/>
  </r>
  <r>
    <s v="Galia, Lisa"/>
    <n v="10273"/>
    <n v="0"/>
    <n v="0"/>
    <n v="0"/>
    <n v="1"/>
    <n v="3"/>
    <n v="3"/>
    <n v="0"/>
    <n v="65707"/>
    <x v="0"/>
    <n v="14"/>
    <s v="It Support"/>
    <s v="CT"/>
    <n v="6040"/>
    <d v="1985-09-15T00:00:00"/>
    <x v="0"/>
    <x v="1"/>
    <s v="Single"/>
    <s v="US Citizen"/>
    <s v="No"/>
    <s v="White"/>
    <d v="2010-01-05T00:00:00"/>
    <m/>
    <s v="N/A-StillEmployed"/>
    <s v="Active"/>
    <x v="1"/>
    <s v="Eric Dougall"/>
    <x v="0"/>
    <x v="1"/>
    <n v="4.7"/>
    <n v="4"/>
    <n v="5"/>
    <d v="2019-01-02T00:00:00"/>
    <n v="1"/>
    <n v="34"/>
    <n v="10"/>
    <n v="6"/>
    <x v="0"/>
    <n v="1"/>
  </r>
  <r>
    <s v="Garcia, Raul"/>
    <n v="10111"/>
    <n v="0"/>
    <n v="0"/>
    <n v="1"/>
    <n v="1"/>
    <n v="5"/>
    <n v="3"/>
    <n v="0"/>
    <n v="52249"/>
    <x v="0"/>
    <n v="19"/>
    <s v="Production Technician I"/>
    <s v="MA"/>
    <n v="1905"/>
    <d v="1970-05-15T00:00:00"/>
    <x v="0"/>
    <x v="0"/>
    <s v="Single"/>
    <s v="US Citizen"/>
    <s v="Yes"/>
    <s v="White"/>
    <d v="2015-03-30T00:00:00"/>
    <m/>
    <s v="N/A-StillEmployed"/>
    <s v="Active"/>
    <x v="0"/>
    <s v="David Stanley"/>
    <x v="5"/>
    <x v="1"/>
    <n v="4.5"/>
    <n v="3"/>
    <n v="0"/>
    <d v="2019-02-18T00:00:00"/>
    <n v="5"/>
    <n v="50"/>
    <n v="5"/>
    <n v="14"/>
    <x v="0"/>
    <n v="1"/>
  </r>
  <r>
    <s v="Gaul, Barbara"/>
    <n v="10257"/>
    <n v="0"/>
    <n v="0"/>
    <n v="0"/>
    <n v="1"/>
    <n v="5"/>
    <n v="3"/>
    <n v="0"/>
    <n v="53171"/>
    <x v="0"/>
    <n v="19"/>
    <s v="Production Technician I"/>
    <s v="MA"/>
    <n v="2121"/>
    <d v="1989-09-22T00:00:00"/>
    <x v="0"/>
    <x v="1"/>
    <s v="Single"/>
    <s v="US Citizen"/>
    <s v="Yes"/>
    <s v="Black or African American"/>
    <d v="2011-05-16T00:00:00"/>
    <m/>
    <s v="N/A-StillEmployed"/>
    <s v="Active"/>
    <x v="0"/>
    <s v="Kelley Spirea"/>
    <x v="0"/>
    <x v="1"/>
    <n v="4.2"/>
    <n v="4"/>
    <n v="0"/>
    <d v="2019-02-26T00:00:00"/>
    <n v="12"/>
    <n v="30"/>
    <n v="9"/>
    <n v="18"/>
    <x v="0"/>
    <n v="1"/>
  </r>
  <r>
    <s v="Gentry, Mildred"/>
    <n v="10159"/>
    <n v="1"/>
    <n v="1"/>
    <n v="0"/>
    <n v="1"/>
    <n v="5"/>
    <n v="3"/>
    <n v="0"/>
    <n v="51337"/>
    <x v="0"/>
    <n v="19"/>
    <s v="Production Technician I"/>
    <s v="MA"/>
    <n v="2145"/>
    <d v="1971-10-23T00:00:00"/>
    <x v="0"/>
    <x v="1"/>
    <s v="Married"/>
    <s v="US Citizen"/>
    <s v="No"/>
    <s v="Black or African American"/>
    <d v="2015-03-30T00:00:00"/>
    <m/>
    <s v="N/A-StillEmployed"/>
    <s v="Active"/>
    <x v="0"/>
    <s v="Michael Albert"/>
    <x v="0"/>
    <x v="1"/>
    <n v="3.73"/>
    <n v="3"/>
    <n v="0"/>
    <d v="2019-01-16T00:00:00"/>
    <n v="19"/>
    <n v="48"/>
    <n v="5"/>
    <n v="22"/>
    <x v="0"/>
    <n v="1"/>
  </r>
  <r>
    <s v="Gerke, Melisa"/>
    <n v="10122"/>
    <n v="0"/>
    <n v="2"/>
    <n v="0"/>
    <n v="5"/>
    <n v="5"/>
    <n v="3"/>
    <n v="1"/>
    <n v="51505"/>
    <x v="1"/>
    <n v="19"/>
    <s v="Production Technician I"/>
    <s v="MA"/>
    <n v="2330"/>
    <d v="1989-11-24T00:00:00"/>
    <x v="0"/>
    <x v="1"/>
    <s v="Divorced"/>
    <s v="US Citizen"/>
    <s v="No"/>
    <s v="Black or African American"/>
    <d v="2011-07-11T00:00:00"/>
    <d v="2016-11-15T00:00:00"/>
    <s v="hours"/>
    <s v="Voluntarily Terminated"/>
    <x v="0"/>
    <s v="Elijiah Gray"/>
    <x v="3"/>
    <x v="1"/>
    <n v="4.24"/>
    <n v="4"/>
    <n v="0"/>
    <d v="2016-04-29T00:00:00"/>
    <n v="2"/>
    <n v="27"/>
    <n v="5"/>
    <n v="16"/>
    <x v="2"/>
    <n v="1"/>
  </r>
  <r>
    <s v="Gill, Whitney"/>
    <n v="10142"/>
    <n v="0"/>
    <n v="4"/>
    <n v="0"/>
    <n v="4"/>
    <n v="6"/>
    <n v="3"/>
    <n v="0"/>
    <n v="59370"/>
    <x v="1"/>
    <n v="3"/>
    <s v="Area Sales Manager"/>
    <s v="OH"/>
    <n v="43050"/>
    <d v="1992-06-18T00:00:00"/>
    <x v="0"/>
    <x v="1"/>
    <s v="Widowed"/>
    <s v="US Citizen"/>
    <s v="No"/>
    <s v="Black or African American"/>
    <d v="2014-07-07T00:00:00"/>
    <d v="2015-05-09T00:00:00"/>
    <s v="attendance"/>
    <s v="Terminated for Cause"/>
    <x v="4"/>
    <s v="John Smith"/>
    <x v="6"/>
    <x v="1"/>
    <n v="3.97"/>
    <n v="4"/>
    <n v="0"/>
    <d v="2014-01-15T00:00:00"/>
    <n v="7"/>
    <n v="23"/>
    <n v="1"/>
    <n v="17"/>
    <x v="3"/>
    <n v="1"/>
  </r>
  <r>
    <s v="Gilles, Alex"/>
    <n v="10283"/>
    <n v="1"/>
    <n v="1"/>
    <n v="1"/>
    <n v="5"/>
    <n v="5"/>
    <n v="2"/>
    <n v="1"/>
    <n v="54933"/>
    <x v="1"/>
    <n v="19"/>
    <s v="Production Technician I"/>
    <s v="MA"/>
    <n v="2062"/>
    <d v="1969-09-29T00:00:00"/>
    <x v="0"/>
    <x v="0"/>
    <s v="Married"/>
    <s v="US Citizen"/>
    <s v="No"/>
    <s v="Black or African American"/>
    <d v="2012-02-04T00:00:00"/>
    <d v="2015-06-25T00:00:00"/>
    <s v="military"/>
    <s v="Voluntarily Terminated"/>
    <x v="0"/>
    <s v="Webster Butler"/>
    <x v="3"/>
    <x v="2"/>
    <n v="3.97"/>
    <n v="4"/>
    <n v="0"/>
    <d v="2015-01-20T00:00:00"/>
    <n v="15"/>
    <n v="46"/>
    <n v="3"/>
    <n v="39"/>
    <x v="3"/>
    <n v="1"/>
  </r>
  <r>
    <s v="Girifalco, Evelyn"/>
    <n v="10018"/>
    <n v="0"/>
    <n v="0"/>
    <n v="0"/>
    <n v="1"/>
    <n v="5"/>
    <n v="4"/>
    <n v="0"/>
    <n v="57815"/>
    <x v="0"/>
    <n v="19"/>
    <s v="Production Technician I"/>
    <s v="MA"/>
    <n v="2451"/>
    <d v="1981-04-16T00:00:00"/>
    <x v="0"/>
    <x v="1"/>
    <s v="Single"/>
    <s v="US Citizen"/>
    <s v="Yes"/>
    <s v="Two or more races"/>
    <d v="2014-09-29T00:00:00"/>
    <m/>
    <s v="N/A-StillEmployed"/>
    <s v="Active"/>
    <x v="0"/>
    <s v="Amy Dunn"/>
    <x v="2"/>
    <x v="0"/>
    <n v="3.9"/>
    <n v="4"/>
    <n v="0"/>
    <d v="2019-07-02T00:00:00"/>
    <n v="3"/>
    <n v="39"/>
    <n v="5"/>
    <n v="11"/>
    <x v="0"/>
    <n v="1"/>
  </r>
  <r>
    <s v="Givens, Myriam"/>
    <n v="10255"/>
    <n v="0"/>
    <n v="0"/>
    <n v="0"/>
    <n v="1"/>
    <n v="6"/>
    <n v="3"/>
    <n v="0"/>
    <n v="61555"/>
    <x v="0"/>
    <n v="3"/>
    <s v="Area Sales Manager"/>
    <s v="IN"/>
    <n v="46204"/>
    <d v="1986-05-25T00:00:00"/>
    <x v="0"/>
    <x v="1"/>
    <s v="Single"/>
    <s v="US Citizen"/>
    <s v="No"/>
    <s v="White"/>
    <d v="2015-02-16T00:00:00"/>
    <m/>
    <s v="N/A-StillEmployed"/>
    <s v="Active"/>
    <x v="4"/>
    <s v="Lynn Daneault"/>
    <x v="2"/>
    <x v="1"/>
    <n v="4.5"/>
    <n v="5"/>
    <n v="0"/>
    <d v="2019-01-25T00:00:00"/>
    <n v="20"/>
    <n v="34"/>
    <n v="5"/>
    <n v="21"/>
    <x v="0"/>
    <n v="1"/>
  </r>
  <r>
    <s v="Goble, Taisha"/>
    <n v="10246"/>
    <n v="0"/>
    <n v="0"/>
    <n v="0"/>
    <n v="4"/>
    <n v="3"/>
    <n v="3"/>
    <n v="0"/>
    <n v="114800"/>
    <x v="1"/>
    <n v="8"/>
    <s v="Database Administrator"/>
    <s v="MA"/>
    <n v="2127"/>
    <d v="1979-05-21T00:00:00"/>
    <x v="0"/>
    <x v="1"/>
    <s v="Single"/>
    <s v="US Citizen"/>
    <s v="No"/>
    <s v="White"/>
    <d v="2015-02-16T00:00:00"/>
    <d v="2015-03-15T00:00:00"/>
    <s v="no-call, no-show"/>
    <s v="Terminated for Cause"/>
    <x v="1"/>
    <s v="Simon Roup"/>
    <x v="2"/>
    <x v="1"/>
    <n v="4.5999999999999996"/>
    <n v="4"/>
    <n v="4"/>
    <d v="2015-01-20T00:00:00"/>
    <n v="10"/>
    <n v="36"/>
    <n v="0"/>
    <n v="4"/>
    <x v="3"/>
    <n v="1"/>
  </r>
  <r>
    <s v="Goeth, Amon"/>
    <n v="10228"/>
    <n v="1"/>
    <n v="1"/>
    <n v="1"/>
    <n v="1"/>
    <n v="3"/>
    <n v="3"/>
    <n v="0"/>
    <n v="74679"/>
    <x v="0"/>
    <n v="14"/>
    <s v="It Support"/>
    <s v="MA"/>
    <n v="2135"/>
    <d v="1983-05-21T00:00:00"/>
    <x v="0"/>
    <x v="0"/>
    <s v="Married"/>
    <s v="US Citizen"/>
    <s v="Yes"/>
    <s v="White"/>
    <d v="2015-03-30T00:00:00"/>
    <m/>
    <s v="N/A-StillEmployed"/>
    <s v="Active"/>
    <x v="1"/>
    <s v="Peter Monroe"/>
    <x v="0"/>
    <x v="1"/>
    <n v="4.3"/>
    <n v="5"/>
    <n v="7"/>
    <d v="2019-10-01T00:00:00"/>
    <n v="20"/>
    <n v="37"/>
    <n v="5"/>
    <n v="7"/>
    <x v="0"/>
    <n v="1"/>
  </r>
  <r>
    <s v="Gold, Shenice"/>
    <n v="10243"/>
    <n v="0"/>
    <n v="0"/>
    <n v="0"/>
    <n v="1"/>
    <n v="5"/>
    <n v="3"/>
    <n v="0"/>
    <n v="53018"/>
    <x v="0"/>
    <n v="19"/>
    <s v="Production Technician I"/>
    <s v="MA"/>
    <n v="2451"/>
    <d v="1989-06-30T00:00:00"/>
    <x v="0"/>
    <x v="1"/>
    <s v="Single"/>
    <s v="US Citizen"/>
    <s v="Yes"/>
    <s v="White"/>
    <d v="2013-11-11T00:00:00"/>
    <m/>
    <s v="N/A-StillEmployed"/>
    <s v="Active"/>
    <x v="0"/>
    <s v="Ketsia Liebig"/>
    <x v="2"/>
    <x v="1"/>
    <n v="4.3"/>
    <n v="5"/>
    <n v="0"/>
    <d v="2019-02-18T00:00:00"/>
    <n v="7"/>
    <n v="31"/>
    <n v="6"/>
    <n v="19"/>
    <x v="0"/>
    <n v="1"/>
  </r>
  <r>
    <s v="Gonzalez, Cayo"/>
    <n v="10031"/>
    <n v="0"/>
    <n v="2"/>
    <n v="1"/>
    <n v="1"/>
    <n v="5"/>
    <n v="4"/>
    <n v="1"/>
    <n v="59892"/>
    <x v="0"/>
    <n v="19"/>
    <s v="Production Technician I"/>
    <s v="MA"/>
    <n v="2108"/>
    <d v="1977-03-23T00:00:00"/>
    <x v="0"/>
    <x v="0"/>
    <s v="Divorced"/>
    <s v="US Citizen"/>
    <s v="No"/>
    <s v="Black or African American"/>
    <d v="2011-11-07T00:00:00"/>
    <m/>
    <s v="N/A-StillEmployed"/>
    <s v="Active"/>
    <x v="0"/>
    <s v="Brannon Miller"/>
    <x v="3"/>
    <x v="0"/>
    <n v="4.5"/>
    <n v="4"/>
    <n v="0"/>
    <d v="2019-02-18T00:00:00"/>
    <n v="1"/>
    <n v="43"/>
    <n v="8"/>
    <n v="12"/>
    <x v="0"/>
    <n v="1"/>
  </r>
  <r>
    <s v="Gonzalez, Juan"/>
    <n v="10300"/>
    <n v="1"/>
    <n v="1"/>
    <n v="1"/>
    <n v="5"/>
    <n v="5"/>
    <n v="1"/>
    <n v="1"/>
    <n v="68898"/>
    <x v="1"/>
    <n v="20"/>
    <s v="Production Technician Ii"/>
    <s v="MA"/>
    <n v="2128"/>
    <d v="1952-08-18T00:00:00"/>
    <x v="1"/>
    <x v="0"/>
    <s v="Married"/>
    <s v="US Citizen"/>
    <s v="No"/>
    <s v="Black or African American"/>
    <d v="2011-04-26T00:00:00"/>
    <d v="2011-05-30T00:00:00"/>
    <s v="career change"/>
    <s v="Voluntarily Terminated"/>
    <x v="0"/>
    <s v="Brannon Miller"/>
    <x v="3"/>
    <x v="3"/>
    <n v="3"/>
    <n v="3"/>
    <n v="0"/>
    <d v="2011-06-03T00:00:00"/>
    <n v="10"/>
    <n v="59"/>
    <n v="0"/>
    <n v="12"/>
    <x v="7"/>
    <n v="1"/>
  </r>
  <r>
    <s v="Gonzalez, Maria"/>
    <n v="10101"/>
    <n v="0"/>
    <n v="3"/>
    <n v="0"/>
    <n v="1"/>
    <n v="3"/>
    <n v="3"/>
    <n v="0"/>
    <n v="61242"/>
    <x v="0"/>
    <n v="14"/>
    <s v="It Support"/>
    <s v="MA"/>
    <n v="2472"/>
    <d v="1972-08-27T00:00:00"/>
    <x v="0"/>
    <x v="1"/>
    <s v="Separated"/>
    <s v="US Citizen"/>
    <s v="Yes"/>
    <s v="White"/>
    <d v="2015-05-01T00:00:00"/>
    <m/>
    <s v="N/A-StillEmployed"/>
    <s v="Active"/>
    <x v="1"/>
    <s v="Peter Monroe"/>
    <x v="5"/>
    <x v="1"/>
    <n v="4.6100000000000003"/>
    <n v="4"/>
    <n v="5"/>
    <d v="2019-01-28T00:00:00"/>
    <n v="11"/>
    <n v="47"/>
    <n v="5"/>
    <n v="7"/>
    <x v="0"/>
    <n v="1"/>
  </r>
  <r>
    <s v="Good, Susan"/>
    <n v="10237"/>
    <n v="1"/>
    <n v="1"/>
    <n v="0"/>
    <n v="3"/>
    <n v="5"/>
    <n v="3"/>
    <n v="0"/>
    <n v="66825"/>
    <x v="0"/>
    <n v="20"/>
    <s v="Production Technician Ii"/>
    <s v="MA"/>
    <n v="1886"/>
    <d v="1988-09-14T00:00:00"/>
    <x v="0"/>
    <x v="1"/>
    <s v="Married"/>
    <s v="US Citizen"/>
    <s v="No"/>
    <s v="White"/>
    <d v="2014-12-05T00:00:00"/>
    <m/>
    <s v="N/A-StillEmployed"/>
    <s v="Active"/>
    <x v="0"/>
    <s v="David Stanley"/>
    <x v="0"/>
    <x v="1"/>
    <n v="4.5999999999999996"/>
    <n v="3"/>
    <n v="0"/>
    <d v="2019-07-02T00:00:00"/>
    <n v="20"/>
    <n v="31"/>
    <n v="5"/>
    <n v="14"/>
    <x v="0"/>
    <n v="1"/>
  </r>
  <r>
    <s v="Gordon, David"/>
    <n v="10051"/>
    <n v="1"/>
    <n v="1"/>
    <n v="1"/>
    <n v="1"/>
    <n v="5"/>
    <n v="3"/>
    <n v="0"/>
    <n v="48285"/>
    <x v="0"/>
    <n v="19"/>
    <s v="Production Technician I"/>
    <s v="MA"/>
    <n v="2169"/>
    <d v="1984-02-16T00:00:00"/>
    <x v="0"/>
    <x v="0"/>
    <s v="Married"/>
    <s v="US Citizen"/>
    <s v="No"/>
    <s v="White"/>
    <d v="2012-02-07T00:00:00"/>
    <m/>
    <s v="N/A-StillEmployed"/>
    <s v="Active"/>
    <x v="0"/>
    <s v="David Stanley"/>
    <x v="0"/>
    <x v="1"/>
    <n v="5"/>
    <n v="3"/>
    <n v="0"/>
    <d v="2019-01-14T00:00:00"/>
    <n v="2"/>
    <n v="36"/>
    <n v="8"/>
    <n v="14"/>
    <x v="0"/>
    <n v="1"/>
  </r>
  <r>
    <s v="Gosciminski, Phylicia"/>
    <n v="10218"/>
    <n v="0"/>
    <n v="3"/>
    <n v="0"/>
    <n v="3"/>
    <n v="5"/>
    <n v="3"/>
    <n v="0"/>
    <n v="66149"/>
    <x v="0"/>
    <n v="20"/>
    <s v="Production Technician Ii"/>
    <s v="MA"/>
    <n v="1824"/>
    <d v="1984-02-21T00:00:00"/>
    <x v="0"/>
    <x v="1"/>
    <s v="Separated"/>
    <s v="US Citizen"/>
    <s v="No"/>
    <s v="American Indian or Alaska Native"/>
    <d v="2013-09-30T00:00:00"/>
    <m/>
    <s v="N/A-StillEmployed"/>
    <s v="Active"/>
    <x v="0"/>
    <s v="Kissy Sullivan"/>
    <x v="4"/>
    <x v="1"/>
    <n v="4.4000000000000004"/>
    <n v="5"/>
    <n v="0"/>
    <d v="2019-02-21T00:00:00"/>
    <n v="1"/>
    <n v="36"/>
    <n v="6"/>
    <n v="20"/>
    <x v="0"/>
    <n v="1"/>
  </r>
  <r>
    <s v="Goyal, Roxana"/>
    <n v="10256"/>
    <n v="1"/>
    <n v="1"/>
    <n v="0"/>
    <n v="3"/>
    <n v="5"/>
    <n v="3"/>
    <n v="0"/>
    <n v="49256"/>
    <x v="0"/>
    <n v="19"/>
    <s v="Production Technician I"/>
    <s v="MA"/>
    <n v="1864"/>
    <d v="1966-03-17T00:00:00"/>
    <x v="0"/>
    <x v="1"/>
    <s v="Married"/>
    <s v="US Citizen"/>
    <s v="No"/>
    <s v="Asian"/>
    <d v="2013-08-19T00:00:00"/>
    <m/>
    <s v="N/A-StillEmployed"/>
    <s v="Active"/>
    <x v="0"/>
    <s v="Kissy Sullivan"/>
    <x v="0"/>
    <x v="1"/>
    <n v="4.0999999999999996"/>
    <n v="5"/>
    <n v="0"/>
    <d v="2019-02-15T00:00:00"/>
    <n v="3"/>
    <n v="54"/>
    <n v="6"/>
    <n v="20"/>
    <x v="0"/>
    <n v="1"/>
  </r>
  <r>
    <s v="Gray, Elijiah"/>
    <n v="10098"/>
    <n v="0"/>
    <n v="2"/>
    <n v="1"/>
    <n v="1"/>
    <n v="5"/>
    <n v="3"/>
    <n v="0"/>
    <n v="62957"/>
    <x v="0"/>
    <n v="18"/>
    <s v="Production Manager"/>
    <s v="MA"/>
    <n v="1752"/>
    <d v="1985-09-16T00:00:00"/>
    <x v="0"/>
    <x v="0"/>
    <s v="Divorced"/>
    <s v="US Citizen"/>
    <s v="No"/>
    <s v="White"/>
    <d v="2015-02-06T00:00:00"/>
    <m/>
    <s v="N/A-StillEmployed"/>
    <s v="Active"/>
    <x v="0"/>
    <s v="Janet King"/>
    <x v="5"/>
    <x v="1"/>
    <n v="4.63"/>
    <n v="3"/>
    <n v="0"/>
    <d v="2019-04-01T00:00:00"/>
    <n v="2"/>
    <n v="34"/>
    <n v="5"/>
    <n v="2"/>
    <x v="0"/>
    <n v="1"/>
  </r>
  <r>
    <s v="Gross, Paula"/>
    <n v="10059"/>
    <n v="0"/>
    <n v="2"/>
    <n v="0"/>
    <n v="5"/>
    <n v="5"/>
    <n v="3"/>
    <n v="0"/>
    <n v="63813"/>
    <x v="1"/>
    <n v="19"/>
    <s v="Production Technician I"/>
    <s v="MA"/>
    <n v="2176"/>
    <d v="1976-09-22T00:00:00"/>
    <x v="0"/>
    <x v="1"/>
    <s v="Divorced"/>
    <s v="US Citizen"/>
    <s v="No"/>
    <s v="White"/>
    <d v="2011-02-21T00:00:00"/>
    <d v="2014-11-01T00:00:00"/>
    <s v="more money"/>
    <s v="Voluntarily Terminated"/>
    <x v="0"/>
    <s v="Kelley Spirea"/>
    <x v="6"/>
    <x v="1"/>
    <n v="5"/>
    <n v="5"/>
    <n v="0"/>
    <d v="2013-03-06T00:00:00"/>
    <n v="17"/>
    <n v="38"/>
    <n v="4"/>
    <n v="18"/>
    <x v="5"/>
    <n v="1"/>
  </r>
  <r>
    <s v="Gruber, Hans"/>
    <n v="10234"/>
    <n v="1"/>
    <n v="1"/>
    <n v="1"/>
    <n v="1"/>
    <n v="3"/>
    <n v="3"/>
    <n v="0"/>
    <n v="99020"/>
    <x v="0"/>
    <n v="4"/>
    <s v="Bi Developer"/>
    <s v="MA"/>
    <n v="2134"/>
    <d v="1976-11-15T00:00:00"/>
    <x v="0"/>
    <x v="0"/>
    <s v="Married"/>
    <s v="US Citizen"/>
    <s v="No"/>
    <s v="Black or African American"/>
    <d v="2017-04-20T00:00:00"/>
    <m/>
    <s v="N/A-StillEmployed"/>
    <s v="Active"/>
    <x v="1"/>
    <s v="Brian Champaigne"/>
    <x v="2"/>
    <x v="1"/>
    <n v="4.2"/>
    <n v="5"/>
    <n v="5"/>
    <d v="2019-01-28T00:00:00"/>
    <n v="8"/>
    <n v="43"/>
    <n v="3"/>
    <n v="13"/>
    <x v="0"/>
    <n v="1"/>
  </r>
  <r>
    <s v="Guilianno, Mike"/>
    <n v="10109"/>
    <n v="0"/>
    <n v="0"/>
    <n v="1"/>
    <n v="5"/>
    <n v="6"/>
    <n v="3"/>
    <n v="0"/>
    <n v="71707"/>
    <x v="1"/>
    <n v="3"/>
    <s v="Area Sales Manager"/>
    <s v="TN"/>
    <n v="37129"/>
    <d v="1991-01-28T00:00:00"/>
    <x v="0"/>
    <x v="0"/>
    <s v="Single"/>
    <s v="US Citizen"/>
    <s v="No"/>
    <s v="Two or more races"/>
    <d v="2012-07-03T00:00:00"/>
    <d v="2014-10-31T00:00:00"/>
    <s v="relocation out of area"/>
    <s v="Voluntarily Terminated"/>
    <x v="4"/>
    <s v="John Smith"/>
    <x v="0"/>
    <x v="1"/>
    <n v="4.5"/>
    <n v="5"/>
    <n v="0"/>
    <d v="2013-01-02T00:00:00"/>
    <n v="20"/>
    <n v="24"/>
    <n v="2"/>
    <n v="17"/>
    <x v="5"/>
    <n v="1"/>
  </r>
  <r>
    <s v="Handschiegl, Joanne"/>
    <n v="10125"/>
    <n v="1"/>
    <n v="1"/>
    <n v="0"/>
    <n v="1"/>
    <n v="5"/>
    <n v="3"/>
    <n v="0"/>
    <n v="54828"/>
    <x v="0"/>
    <n v="19"/>
    <s v="Production Technician I"/>
    <s v="MA"/>
    <n v="2127"/>
    <d v="1966-03-22T00:00:00"/>
    <x v="0"/>
    <x v="1"/>
    <s v="Married"/>
    <s v="US Citizen"/>
    <s v="No"/>
    <s v="White"/>
    <d v="2011-11-28T00:00:00"/>
    <m/>
    <s v="N/A-StillEmployed"/>
    <s v="Active"/>
    <x v="0"/>
    <s v="Michael Albert"/>
    <x v="4"/>
    <x v="1"/>
    <n v="4.2"/>
    <n v="4"/>
    <n v="0"/>
    <d v="2019-02-22T00:00:00"/>
    <n v="13"/>
    <n v="54"/>
    <n v="8"/>
    <n v="22"/>
    <x v="0"/>
    <n v="1"/>
  </r>
  <r>
    <s v="Hankard, Earnest"/>
    <n v="10074"/>
    <n v="0"/>
    <n v="0"/>
    <n v="1"/>
    <n v="1"/>
    <n v="5"/>
    <n v="3"/>
    <n v="0"/>
    <n v="64246"/>
    <x v="0"/>
    <n v="20"/>
    <s v="Production Technician Ii"/>
    <s v="MA"/>
    <n v="2155"/>
    <d v="1964-04-13T00:00:00"/>
    <x v="1"/>
    <x v="0"/>
    <s v="Single"/>
    <s v="US Citizen"/>
    <s v="Yes"/>
    <s v="White"/>
    <d v="2013-11-11T00:00:00"/>
    <m/>
    <s v="N/A-StillEmployed"/>
    <s v="Active"/>
    <x v="0"/>
    <s v="Kelley Spirea"/>
    <x v="0"/>
    <x v="1"/>
    <n v="5"/>
    <n v="3"/>
    <n v="0"/>
    <d v="2019-08-01T00:00:00"/>
    <n v="20"/>
    <n v="56"/>
    <n v="6"/>
    <n v="18"/>
    <x v="0"/>
    <n v="1"/>
  </r>
  <r>
    <s v="Harrington, Christie"/>
    <n v="10097"/>
    <n v="0"/>
    <n v="0"/>
    <n v="0"/>
    <n v="5"/>
    <n v="5"/>
    <n v="3"/>
    <n v="0"/>
    <n v="52177"/>
    <x v="1"/>
    <n v="19"/>
    <s v="Production Technician I"/>
    <s v="MA"/>
    <n v="2324"/>
    <d v="1959-08-19T00:00:00"/>
    <x v="1"/>
    <x v="1"/>
    <s v="Single"/>
    <s v="US Citizen"/>
    <s v="No"/>
    <s v="White"/>
    <d v="2012-09-01T00:00:00"/>
    <d v="2015-12-15T00:00:00"/>
    <s v="retiring"/>
    <s v="Voluntarily Terminated"/>
    <x v="0"/>
    <s v="Webster Butler"/>
    <x v="6"/>
    <x v="1"/>
    <n v="4.6399999999999997"/>
    <n v="4"/>
    <n v="0"/>
    <d v="2015-02-05T00:00:00"/>
    <n v="8"/>
    <n v="56"/>
    <n v="3"/>
    <n v="39"/>
    <x v="3"/>
    <n v="1"/>
  </r>
  <r>
    <s v="Harrison, Kara"/>
    <n v="10007"/>
    <n v="1"/>
    <n v="1"/>
    <n v="0"/>
    <n v="1"/>
    <n v="5"/>
    <n v="4"/>
    <n v="0"/>
    <n v="62065"/>
    <x v="0"/>
    <n v="19"/>
    <s v="Production Technician I"/>
    <s v="MA"/>
    <n v="1886"/>
    <d v="1986-04-17T00:00:00"/>
    <x v="0"/>
    <x v="1"/>
    <s v="Married"/>
    <s v="US Citizen"/>
    <s v="No"/>
    <s v="White"/>
    <d v="2014-12-05T00:00:00"/>
    <m/>
    <s v="N/A-StillEmployed"/>
    <s v="Active"/>
    <x v="0"/>
    <s v="Amy Dunn"/>
    <x v="6"/>
    <x v="0"/>
    <n v="4.76"/>
    <n v="4"/>
    <n v="0"/>
    <d v="2019-02-15T00:00:00"/>
    <n v="5"/>
    <n v="34"/>
    <n v="5"/>
    <n v="11"/>
    <x v="0"/>
    <n v="1"/>
  </r>
  <r>
    <s v="Heitzman, Anthony"/>
    <n v="10129"/>
    <n v="0"/>
    <n v="0"/>
    <n v="1"/>
    <n v="1"/>
    <n v="5"/>
    <n v="3"/>
    <n v="0"/>
    <n v="46998"/>
    <x v="0"/>
    <n v="19"/>
    <s v="Production Technician I"/>
    <s v="MA"/>
    <n v="2149"/>
    <d v="1976-01-19T00:00:00"/>
    <x v="0"/>
    <x v="0"/>
    <s v="Single"/>
    <s v="US Citizen"/>
    <s v="No"/>
    <s v="White"/>
    <d v="2012-08-13T00:00:00"/>
    <m/>
    <s v="N/A-StillEmployed"/>
    <s v="Active"/>
    <x v="0"/>
    <s v="Ketsia Liebig"/>
    <x v="4"/>
    <x v="1"/>
    <n v="4.17"/>
    <n v="4"/>
    <n v="0"/>
    <d v="2019-11-02T00:00:00"/>
    <n v="1"/>
    <n v="44"/>
    <n v="7"/>
    <n v="19"/>
    <x v="0"/>
    <n v="1"/>
  </r>
  <r>
    <s v="Hendrickson, Trina"/>
    <n v="10075"/>
    <n v="0"/>
    <n v="0"/>
    <n v="0"/>
    <n v="5"/>
    <n v="5"/>
    <n v="3"/>
    <n v="0"/>
    <n v="68099"/>
    <x v="1"/>
    <n v="20"/>
    <s v="Production Technician Ii"/>
    <s v="MA"/>
    <n v="2021"/>
    <d v="1979-11-27T00:00:00"/>
    <x v="0"/>
    <x v="1"/>
    <s v="Single"/>
    <s v="US Citizen"/>
    <s v="No"/>
    <s v="White"/>
    <d v="2011-10-01T00:00:00"/>
    <d v="2013-08-16T00:00:00"/>
    <s v="hours"/>
    <s v="Voluntarily Terminated"/>
    <x v="0"/>
    <s v="Kelley Spirea"/>
    <x v="6"/>
    <x v="1"/>
    <n v="5"/>
    <n v="3"/>
    <n v="0"/>
    <d v="2013-01-30T00:00:00"/>
    <n v="15"/>
    <n v="34"/>
    <n v="2"/>
    <n v="18"/>
    <x v="6"/>
    <n v="1"/>
  </r>
  <r>
    <s v="Hitchcock, Alfred"/>
    <n v="10167"/>
    <n v="1"/>
    <n v="1"/>
    <n v="1"/>
    <n v="1"/>
    <n v="6"/>
    <n v="3"/>
    <n v="0"/>
    <n v="70545"/>
    <x v="0"/>
    <n v="3"/>
    <s v="Area Sales Manager"/>
    <s v="NH"/>
    <n v="3062"/>
    <d v="1954-09-21T00:00:00"/>
    <x v="1"/>
    <x v="0"/>
    <s v="Married"/>
    <s v="US Citizen"/>
    <s v="No"/>
    <s v="American Indian or Alaska Native"/>
    <d v="2014-08-18T00:00:00"/>
    <m/>
    <s v="N/A-StillEmployed"/>
    <s v="Active"/>
    <x v="4"/>
    <s v="John Smith"/>
    <x v="2"/>
    <x v="1"/>
    <n v="3.6"/>
    <n v="5"/>
    <n v="0"/>
    <d v="2019-01-30T00:00:00"/>
    <n v="9"/>
    <n v="65"/>
    <n v="5"/>
    <n v="17"/>
    <x v="0"/>
    <n v="1"/>
  </r>
  <r>
    <s v="Homberger, Adrienne  J"/>
    <n v="10195"/>
    <n v="1"/>
    <n v="1"/>
    <n v="0"/>
    <n v="5"/>
    <n v="5"/>
    <n v="3"/>
    <n v="0"/>
    <n v="63478"/>
    <x v="1"/>
    <n v="20"/>
    <s v="Production Technician Ii"/>
    <s v="MA"/>
    <n v="2445"/>
    <d v="1969-02-24T00:00:00"/>
    <x v="0"/>
    <x v="1"/>
    <s v="Married"/>
    <s v="Non-Citizen"/>
    <s v="No"/>
    <s v="White"/>
    <d v="2011-08-15T00:00:00"/>
    <d v="2012-07-04T00:00:00"/>
    <s v="relocation out of area"/>
    <s v="Voluntarily Terminated"/>
    <x v="0"/>
    <s v="Michael Albert"/>
    <x v="2"/>
    <x v="1"/>
    <n v="3.03"/>
    <n v="5"/>
    <n v="0"/>
    <d v="2012-05-03T00:00:00"/>
    <n v="16"/>
    <n v="43"/>
    <n v="1"/>
    <n v="30"/>
    <x v="4"/>
    <n v="1"/>
  </r>
  <r>
    <s v="Horton, Jayne"/>
    <n v="10112"/>
    <n v="0"/>
    <n v="0"/>
    <n v="0"/>
    <n v="1"/>
    <n v="3"/>
    <n v="3"/>
    <n v="0"/>
    <n v="97999"/>
    <x v="0"/>
    <n v="8"/>
    <s v="Database Administrator"/>
    <s v="MA"/>
    <n v="2493"/>
    <d v="1986-04-23T00:00:00"/>
    <x v="0"/>
    <x v="1"/>
    <s v="Single"/>
    <s v="US Citizen"/>
    <s v="No"/>
    <s v="White"/>
    <d v="2015-03-30T00:00:00"/>
    <m/>
    <s v="N/A-StillEmployed"/>
    <s v="Active"/>
    <x v="1"/>
    <s v="Simon Roup"/>
    <x v="2"/>
    <x v="1"/>
    <n v="4.4800000000000004"/>
    <n v="5"/>
    <n v="6"/>
    <d v="2019-03-01T00:00:00"/>
    <n v="4"/>
    <n v="34"/>
    <n v="5"/>
    <n v="4"/>
    <x v="0"/>
    <n v="1"/>
  </r>
  <r>
    <s v="Houlihan, Debra"/>
    <n v="10272"/>
    <n v="1"/>
    <n v="1"/>
    <n v="0"/>
    <n v="1"/>
    <n v="6"/>
    <n v="3"/>
    <n v="0"/>
    <n v="180000"/>
    <x v="0"/>
    <n v="11"/>
    <s v="Director Of Sales"/>
    <s v="RI"/>
    <n v="2908"/>
    <d v="1979-07-25T00:00:00"/>
    <x v="0"/>
    <x v="1"/>
    <s v="Married"/>
    <s v="US Citizen"/>
    <s v="No"/>
    <s v="White"/>
    <d v="2014-05-05T00:00:00"/>
    <m/>
    <s v="N/A-StillEmployed"/>
    <s v="Active"/>
    <x v="4"/>
    <s v="Janet King"/>
    <x v="0"/>
    <x v="1"/>
    <n v="4.5"/>
    <n v="4"/>
    <n v="0"/>
    <d v="2019-01-21T00:00:00"/>
    <n v="19"/>
    <n v="40"/>
    <n v="6"/>
    <n v="2"/>
    <x v="0"/>
    <n v="1"/>
  </r>
  <r>
    <s v="Howard, Estelle"/>
    <n v="10182"/>
    <n v="1"/>
    <n v="1"/>
    <n v="0"/>
    <n v="1"/>
    <n v="1"/>
    <n v="3"/>
    <n v="0"/>
    <n v="49920"/>
    <x v="1"/>
    <n v="2"/>
    <s v="Administrative Assistant"/>
    <s v="MA"/>
    <n v="2170"/>
    <d v="1984-04-26T00:00:00"/>
    <x v="0"/>
    <x v="1"/>
    <s v="Married"/>
    <s v="US Citizen"/>
    <s v="No"/>
    <s v="Black or African American"/>
    <d v="2015-02-16T00:00:00"/>
    <d v="2015-04-15T00:00:00"/>
    <s v="no-call, no-show"/>
    <s v="Terminated for Cause"/>
    <x v="3"/>
    <s v="Brandon R. Leblanc"/>
    <x v="2"/>
    <x v="1"/>
    <n v="3.24"/>
    <n v="3"/>
    <n v="4"/>
    <d v="2015-04-15T00:00:00"/>
    <n v="6"/>
    <n v="31"/>
    <n v="0"/>
    <n v="1"/>
    <x v="3"/>
    <n v="1"/>
  </r>
  <r>
    <s v="Hudson, Jane"/>
    <n v="10248"/>
    <n v="0"/>
    <n v="0"/>
    <n v="0"/>
    <n v="1"/>
    <n v="5"/>
    <n v="3"/>
    <n v="0"/>
    <n v="55425"/>
    <x v="0"/>
    <n v="19"/>
    <s v="Production Technician I"/>
    <s v="MA"/>
    <n v="2176"/>
    <d v="1987-06-14T00:00:00"/>
    <x v="0"/>
    <x v="1"/>
    <s v="Single"/>
    <s v="US Citizen"/>
    <s v="No"/>
    <s v="White"/>
    <d v="2012-02-20T00:00:00"/>
    <m/>
    <s v="N/A-StillEmployed"/>
    <s v="Active"/>
    <x v="0"/>
    <s v="Ketsia Liebig"/>
    <x v="0"/>
    <x v="1"/>
    <n v="4.8"/>
    <n v="4"/>
    <n v="0"/>
    <d v="2019-07-01T00:00:00"/>
    <n v="4"/>
    <n v="33"/>
    <n v="8"/>
    <n v="19"/>
    <x v="0"/>
    <n v="1"/>
  </r>
  <r>
    <s v="Hunts, Julissa"/>
    <n v="10201"/>
    <n v="0"/>
    <n v="0"/>
    <n v="0"/>
    <n v="2"/>
    <n v="5"/>
    <n v="3"/>
    <n v="0"/>
    <n v="69340"/>
    <x v="0"/>
    <n v="20"/>
    <s v="Production Technician Ii"/>
    <s v="MA"/>
    <n v="2021"/>
    <d v="1985-01-17T00:00:00"/>
    <x v="0"/>
    <x v="1"/>
    <s v="Single"/>
    <s v="US Citizen"/>
    <s v="No"/>
    <s v="White"/>
    <d v="2016-06-06T00:00:00"/>
    <m/>
    <s v="N/A-StillEmployed"/>
    <s v="Active"/>
    <x v="0"/>
    <s v="Elijiah Gray"/>
    <x v="0"/>
    <x v="1"/>
    <n v="3"/>
    <n v="5"/>
    <n v="0"/>
    <d v="2019-01-18T00:00:00"/>
    <n v="4"/>
    <n v="35"/>
    <n v="4"/>
    <n v="16"/>
    <x v="0"/>
    <n v="1"/>
  </r>
  <r>
    <s v="Hutter, Rosalie"/>
    <n v="10214"/>
    <n v="0"/>
    <n v="3"/>
    <n v="0"/>
    <n v="2"/>
    <n v="5"/>
    <n v="3"/>
    <n v="0"/>
    <n v="64995"/>
    <x v="0"/>
    <n v="20"/>
    <s v="Production Technician Ii"/>
    <s v="MA"/>
    <n v="2351"/>
    <d v="1988-12-27T00:00:00"/>
    <x v="0"/>
    <x v="1"/>
    <s v="Separated"/>
    <s v="US Citizen"/>
    <s v="No"/>
    <s v="White"/>
    <d v="2015-05-06T00:00:00"/>
    <m/>
    <s v="N/A-StillEmployed"/>
    <s v="Active"/>
    <x v="0"/>
    <s v="Webster Butler"/>
    <x v="2"/>
    <x v="1"/>
    <n v="4.5"/>
    <n v="3"/>
    <n v="0"/>
    <d v="2019-02-14T00:00:00"/>
    <n v="6"/>
    <n v="31"/>
    <n v="5"/>
    <n v="39"/>
    <x v="0"/>
    <n v="1"/>
  </r>
  <r>
    <s v="Huynh, Ming"/>
    <n v="10160"/>
    <n v="0"/>
    <n v="2"/>
    <n v="0"/>
    <n v="5"/>
    <n v="5"/>
    <n v="3"/>
    <n v="0"/>
    <n v="68182"/>
    <x v="1"/>
    <n v="20"/>
    <s v="Production Technician Ii"/>
    <s v="MA"/>
    <n v="1742"/>
    <d v="1981-10-26T00:00:00"/>
    <x v="0"/>
    <x v="1"/>
    <s v="Divorced"/>
    <s v="US Citizen"/>
    <s v="No"/>
    <s v="White"/>
    <d v="2011-02-21T00:00:00"/>
    <d v="2013-01-04T00:00:00"/>
    <s v="unhappy"/>
    <s v="Voluntarily Terminated"/>
    <x v="0"/>
    <s v="Amy Dunn"/>
    <x v="4"/>
    <x v="1"/>
    <n v="3.72"/>
    <n v="3"/>
    <n v="0"/>
    <d v="2013-01-02T00:00:00"/>
    <n v="18"/>
    <n v="31"/>
    <n v="2"/>
    <n v="11"/>
    <x v="6"/>
    <n v="1"/>
  </r>
  <r>
    <s v="Immediato, Walter"/>
    <n v="10289"/>
    <n v="1"/>
    <n v="1"/>
    <n v="1"/>
    <n v="5"/>
    <n v="5"/>
    <n v="2"/>
    <n v="0"/>
    <n v="83082"/>
    <x v="1"/>
    <n v="18"/>
    <s v="Production Manager"/>
    <s v="MA"/>
    <n v="2128"/>
    <d v="1981-03-26T00:00:00"/>
    <x v="0"/>
    <x v="0"/>
    <s v="Married"/>
    <s v="US Citizen"/>
    <s v="No"/>
    <s v="Asian"/>
    <d v="2011-02-21T00:00:00"/>
    <d v="2012-09-24T00:00:00"/>
    <s v="unhappy"/>
    <s v="Voluntarily Terminated"/>
    <x v="0"/>
    <s v="Janet King"/>
    <x v="2"/>
    <x v="2"/>
    <n v="2.34"/>
    <n v="2"/>
    <n v="0"/>
    <d v="2012-12-04T00:00:00"/>
    <n v="4"/>
    <n v="31"/>
    <n v="2"/>
    <n v="2"/>
    <x v="4"/>
    <n v="1"/>
  </r>
  <r>
    <s v="Ivey, Rose"/>
    <n v="10139"/>
    <n v="0"/>
    <n v="0"/>
    <n v="0"/>
    <n v="1"/>
    <n v="5"/>
    <n v="3"/>
    <n v="0"/>
    <n v="51908"/>
    <x v="0"/>
    <n v="19"/>
    <s v="Production Technician I"/>
    <s v="MA"/>
    <n v="1775"/>
    <d v="1979-03-19T00:00:00"/>
    <x v="0"/>
    <x v="1"/>
    <s v="Single"/>
    <s v="US Citizen"/>
    <s v="No"/>
    <s v="White"/>
    <d v="2013-08-19T00:00:00"/>
    <m/>
    <s v="N/A-StillEmployed"/>
    <s v="Active"/>
    <x v="0"/>
    <s v="Brannon Miller"/>
    <x v="2"/>
    <x v="1"/>
    <n v="3.99"/>
    <n v="3"/>
    <n v="0"/>
    <d v="2019-01-14T00:00:00"/>
    <n v="14"/>
    <n v="41"/>
    <n v="6"/>
    <n v="12"/>
    <x v="0"/>
    <n v="1"/>
  </r>
  <r>
    <s v="Jackson, Maryellen"/>
    <n v="10227"/>
    <n v="0"/>
    <n v="0"/>
    <n v="0"/>
    <n v="1"/>
    <n v="5"/>
    <n v="3"/>
    <n v="0"/>
    <n v="61242"/>
    <x v="0"/>
    <n v="19"/>
    <s v="Production Technician I"/>
    <s v="MA"/>
    <n v="2081"/>
    <d v="1976-12-26T00:00:00"/>
    <x v="0"/>
    <x v="1"/>
    <s v="Single"/>
    <s v="US Citizen"/>
    <s v="No"/>
    <s v="Black or African American"/>
    <d v="2012-05-11T00:00:00"/>
    <m/>
    <s v="N/A-StillEmployed"/>
    <s v="Active"/>
    <x v="0"/>
    <s v="David Stanley"/>
    <x v="0"/>
    <x v="1"/>
    <n v="4.0999999999999996"/>
    <n v="3"/>
    <n v="0"/>
    <d v="2019-01-17T00:00:00"/>
    <n v="7"/>
    <n v="43"/>
    <n v="8"/>
    <n v="14"/>
    <x v="0"/>
    <n v="1"/>
  </r>
  <r>
    <s v="Jacobi, Hannah"/>
    <n v="10236"/>
    <n v="0"/>
    <n v="2"/>
    <n v="0"/>
    <n v="1"/>
    <n v="5"/>
    <n v="3"/>
    <n v="0"/>
    <n v="45069"/>
    <x v="0"/>
    <n v="19"/>
    <s v="Production Technician I"/>
    <s v="MA"/>
    <n v="1778"/>
    <d v="1982-03-28T00:00:00"/>
    <x v="0"/>
    <x v="1"/>
    <s v="Divorced"/>
    <s v="US Citizen"/>
    <s v="No"/>
    <s v="White"/>
    <d v="2013-09-30T00:00:00"/>
    <m/>
    <s v="N/A-StillEmployed"/>
    <s v="Active"/>
    <x v="0"/>
    <s v="Kissy Sullivan"/>
    <x v="5"/>
    <x v="1"/>
    <n v="4.3"/>
    <n v="5"/>
    <n v="0"/>
    <d v="2019-02-22T00:00:00"/>
    <n v="7"/>
    <n v="38"/>
    <n v="6"/>
    <n v="20"/>
    <x v="0"/>
    <n v="1"/>
  </r>
  <r>
    <s v="Jeannite, Tayana"/>
    <n v="10009"/>
    <n v="0"/>
    <n v="2"/>
    <n v="0"/>
    <n v="1"/>
    <n v="5"/>
    <n v="4"/>
    <n v="0"/>
    <n v="60724"/>
    <x v="0"/>
    <n v="20"/>
    <s v="Production Technician Ii"/>
    <s v="MA"/>
    <n v="1821"/>
    <d v="1975-10-22T00:00:00"/>
    <x v="0"/>
    <x v="1"/>
    <s v="Divorced"/>
    <s v="US Citizen"/>
    <s v="No"/>
    <s v="American Indian or Alaska Native"/>
    <d v="2011-05-07T00:00:00"/>
    <m/>
    <s v="N/A-StillEmployed"/>
    <s v="Active"/>
    <x v="0"/>
    <s v="Ketsia Liebig"/>
    <x v="0"/>
    <x v="0"/>
    <n v="4.5999999999999996"/>
    <n v="4"/>
    <n v="0"/>
    <d v="2019-02-25T00:00:00"/>
    <n v="11"/>
    <n v="44"/>
    <n v="9"/>
    <n v="19"/>
    <x v="0"/>
    <n v="1"/>
  </r>
  <r>
    <s v="Jhaveri, Sneha"/>
    <n v="10060"/>
    <n v="0"/>
    <n v="3"/>
    <n v="0"/>
    <n v="1"/>
    <n v="5"/>
    <n v="3"/>
    <n v="0"/>
    <n v="60436"/>
    <x v="0"/>
    <n v="19"/>
    <s v="Production Technician I"/>
    <s v="MA"/>
    <n v="2109"/>
    <d v="1973-02-14T00:00:00"/>
    <x v="0"/>
    <x v="1"/>
    <s v="Separated"/>
    <s v="US Citizen"/>
    <s v="No"/>
    <s v="White"/>
    <d v="2014-06-01T00:00:00"/>
    <m/>
    <s v="N/A-StillEmployed"/>
    <s v="Active"/>
    <x v="0"/>
    <s v="Kelley Spirea"/>
    <x v="0"/>
    <x v="1"/>
    <n v="5"/>
    <n v="5"/>
    <n v="0"/>
    <d v="2019-01-21T00:00:00"/>
    <n v="9"/>
    <n v="47"/>
    <n v="6"/>
    <n v="18"/>
    <x v="0"/>
    <n v="1"/>
  </r>
  <r>
    <s v="Johnson, George"/>
    <n v="10034"/>
    <n v="1"/>
    <n v="1"/>
    <n v="1"/>
    <n v="5"/>
    <n v="5"/>
    <n v="4"/>
    <n v="0"/>
    <n v="46837"/>
    <x v="1"/>
    <n v="19"/>
    <s v="Production Technician I"/>
    <s v="MA"/>
    <n v="2445"/>
    <d v="1976-08-25T00:00:00"/>
    <x v="0"/>
    <x v="0"/>
    <s v="Married"/>
    <s v="US Citizen"/>
    <s v="No"/>
    <s v="White"/>
    <d v="2011-07-11T00:00:00"/>
    <d v="2018-04-29T00:00:00"/>
    <s v="more money"/>
    <s v="Voluntarily Terminated"/>
    <x v="0"/>
    <s v="Michael Albert"/>
    <x v="6"/>
    <x v="0"/>
    <n v="4.7"/>
    <n v="4"/>
    <n v="0"/>
    <d v="2018-02-14T00:00:00"/>
    <n v="9"/>
    <n v="42"/>
    <n v="7"/>
    <n v="22"/>
    <x v="8"/>
    <n v="1"/>
  </r>
  <r>
    <s v="Johnson, Noelle"/>
    <n v="10156"/>
    <n v="1"/>
    <n v="1"/>
    <n v="0"/>
    <n v="3"/>
    <n v="3"/>
    <n v="3"/>
    <n v="0"/>
    <n v="105700"/>
    <x v="0"/>
    <n v="8"/>
    <s v="Database Administrator"/>
    <s v="MA"/>
    <n v="2301"/>
    <d v="1977-11-22T00:00:00"/>
    <x v="0"/>
    <x v="1"/>
    <s v="Married"/>
    <s v="US Citizen"/>
    <s v="No"/>
    <s v="Asian"/>
    <d v="2015-05-01T00:00:00"/>
    <m/>
    <s v="N/A-StillEmployed"/>
    <s v="Active"/>
    <x v="1"/>
    <s v="Simon Roup"/>
    <x v="2"/>
    <x v="1"/>
    <n v="3.75"/>
    <n v="3"/>
    <n v="5"/>
    <d v="2019-11-02T00:00:00"/>
    <n v="2"/>
    <n v="42"/>
    <n v="5"/>
    <n v="4"/>
    <x v="0"/>
    <n v="1"/>
  </r>
  <r>
    <s v="Johnston, Yen"/>
    <n v="10036"/>
    <n v="0"/>
    <n v="0"/>
    <n v="0"/>
    <n v="1"/>
    <n v="5"/>
    <n v="4"/>
    <n v="0"/>
    <n v="63322"/>
    <x v="0"/>
    <n v="20"/>
    <s v="Production Technician Ii"/>
    <s v="MA"/>
    <n v="2128"/>
    <d v="1987-05-21T00:00:00"/>
    <x v="0"/>
    <x v="1"/>
    <s v="Single"/>
    <s v="US Citizen"/>
    <s v="No"/>
    <s v="White"/>
    <d v="2014-07-07T00:00:00"/>
    <m/>
    <s v="N/A-StillEmployed"/>
    <s v="Active"/>
    <x v="0"/>
    <s v="Brannon Miller"/>
    <x v="0"/>
    <x v="0"/>
    <n v="4.3"/>
    <n v="3"/>
    <n v="0"/>
    <d v="2019-11-01T00:00:00"/>
    <n v="1"/>
    <n v="33"/>
    <n v="5"/>
    <n v="12"/>
    <x v="0"/>
    <n v="1"/>
  </r>
  <r>
    <s v="Jung, Judy"/>
    <n v="10138"/>
    <n v="1"/>
    <n v="1"/>
    <n v="0"/>
    <n v="5"/>
    <n v="5"/>
    <n v="3"/>
    <n v="0"/>
    <n v="61154"/>
    <x v="1"/>
    <n v="19"/>
    <s v="Production Technician I"/>
    <s v="MA"/>
    <n v="2446"/>
    <d v="1968-05-30T00:00:00"/>
    <x v="0"/>
    <x v="1"/>
    <s v="Married"/>
    <s v="US Citizen"/>
    <s v="No"/>
    <s v="Black or African American"/>
    <d v="2011-10-01T00:00:00"/>
    <d v="2016-01-04T00:00:00"/>
    <s v="unhappy"/>
    <s v="Voluntarily Terminated"/>
    <x v="0"/>
    <s v="Elijiah Gray"/>
    <x v="6"/>
    <x v="1"/>
    <n v="4"/>
    <n v="4"/>
    <n v="0"/>
    <d v="2016-03-02T00:00:00"/>
    <n v="4"/>
    <n v="48"/>
    <n v="4"/>
    <n v="16"/>
    <x v="2"/>
    <n v="1"/>
  </r>
  <r>
    <s v="Kampew, Donysha"/>
    <n v="10244"/>
    <n v="0"/>
    <n v="0"/>
    <n v="0"/>
    <n v="5"/>
    <n v="6"/>
    <n v="3"/>
    <n v="0"/>
    <n v="68999"/>
    <x v="1"/>
    <n v="21"/>
    <s v="Sales Manager"/>
    <s v="PA"/>
    <n v="19444"/>
    <d v="1976-09-22T00:00:00"/>
    <x v="0"/>
    <x v="1"/>
    <s v="Single"/>
    <s v="US Citizen"/>
    <s v="No"/>
    <s v="White"/>
    <d v="2011-07-11T00:00:00"/>
    <d v="2014-04-24T00:00:00"/>
    <s v="maternity leave - did not return"/>
    <s v="Voluntarily Terminated"/>
    <x v="4"/>
    <s v="Debra Houlihan"/>
    <x v="4"/>
    <x v="1"/>
    <n v="4.5"/>
    <n v="5"/>
    <n v="0"/>
    <d v="2013-03-30T00:00:00"/>
    <n v="2"/>
    <n v="38"/>
    <n v="3"/>
    <n v="15"/>
    <x v="5"/>
    <n v="1"/>
  </r>
  <r>
    <s v="Keatts, Kramer"/>
    <n v="10192"/>
    <n v="0"/>
    <n v="0"/>
    <n v="1"/>
    <n v="1"/>
    <n v="5"/>
    <n v="3"/>
    <n v="0"/>
    <n v="50482"/>
    <x v="0"/>
    <n v="19"/>
    <s v="Production Technician I"/>
    <s v="MA"/>
    <n v="1887"/>
    <d v="1985-06-29T00:00:00"/>
    <x v="0"/>
    <x v="0"/>
    <s v="Single"/>
    <s v="US Citizen"/>
    <s v="No"/>
    <s v="White"/>
    <d v="2013-09-30T00:00:00"/>
    <m/>
    <s v="N/A-StillEmployed"/>
    <s v="Active"/>
    <x v="0"/>
    <s v="Michael Albert"/>
    <x v="2"/>
    <x v="1"/>
    <n v="3.07"/>
    <n v="4"/>
    <n v="0"/>
    <d v="2019-01-23T00:00:00"/>
    <n v="10"/>
    <n v="35"/>
    <n v="6"/>
    <n v="22"/>
    <x v="0"/>
    <n v="1"/>
  </r>
  <r>
    <s v="Khemmich, Bartholemew"/>
    <n v="10231"/>
    <n v="0"/>
    <n v="0"/>
    <n v="1"/>
    <n v="1"/>
    <n v="6"/>
    <n v="3"/>
    <n v="0"/>
    <n v="65310"/>
    <x v="0"/>
    <n v="3"/>
    <s v="Area Sales Manager"/>
    <s v="CO"/>
    <n v="80820"/>
    <d v="1992-08-17T00:00:00"/>
    <x v="0"/>
    <x v="0"/>
    <s v="Single"/>
    <s v="US Citizen"/>
    <s v="No"/>
    <s v="White"/>
    <d v="2013-08-19T00:00:00"/>
    <m/>
    <s v="N/A-StillEmployed"/>
    <s v="Active"/>
    <x v="4"/>
    <s v="Lynn Daneault"/>
    <x v="2"/>
    <x v="1"/>
    <n v="4.3"/>
    <n v="5"/>
    <n v="0"/>
    <d v="2019-01-22T00:00:00"/>
    <n v="13"/>
    <n v="27"/>
    <n v="6"/>
    <n v="21"/>
    <x v="0"/>
    <n v="1"/>
  </r>
  <r>
    <s v="King, Janet"/>
    <n v="10089"/>
    <n v="1"/>
    <n v="1"/>
    <n v="0"/>
    <n v="1"/>
    <n v="2"/>
    <n v="3"/>
    <n v="0"/>
    <n v="250000"/>
    <x v="0"/>
    <n v="16"/>
    <s v="President &amp; Ceo"/>
    <s v="MA"/>
    <n v="1902"/>
    <d v="1970-04-24T00:00:00"/>
    <x v="0"/>
    <x v="1"/>
    <s v="Married"/>
    <s v="US Citizen"/>
    <s v="Yes"/>
    <s v="White"/>
    <d v="2012-02-07T00:00:00"/>
    <m/>
    <s v="N/A-StillEmployed"/>
    <s v="Active"/>
    <x v="5"/>
    <s v="Board Of Directors"/>
    <x v="2"/>
    <x v="1"/>
    <n v="4.83"/>
    <n v="3"/>
    <n v="0"/>
    <d v="2019-01-17T00:00:00"/>
    <n v="10"/>
    <n v="50"/>
    <n v="8"/>
    <n v="9"/>
    <x v="0"/>
    <n v="1"/>
  </r>
  <r>
    <s v="Kinsella, Kathleen"/>
    <n v="10166"/>
    <n v="1"/>
    <n v="1"/>
    <n v="0"/>
    <n v="5"/>
    <n v="5"/>
    <n v="3"/>
    <n v="0"/>
    <n v="54005"/>
    <x v="1"/>
    <n v="19"/>
    <s v="Production Technician I"/>
    <s v="MA"/>
    <n v="2170"/>
    <d v="1980-04-18T00:00:00"/>
    <x v="0"/>
    <x v="1"/>
    <s v="Married"/>
    <s v="US Citizen"/>
    <s v="No"/>
    <s v="White"/>
    <d v="2011-09-26T00:00:00"/>
    <d v="2015-04-06T00:00:00"/>
    <s v="more money"/>
    <s v="Voluntarily Terminated"/>
    <x v="0"/>
    <s v="Webster Butler"/>
    <x v="4"/>
    <x v="1"/>
    <n v="3.6"/>
    <n v="5"/>
    <n v="0"/>
    <d v="2015-01-03T00:00:00"/>
    <n v="16"/>
    <n v="35"/>
    <n v="4"/>
    <n v="39"/>
    <x v="3"/>
    <n v="1"/>
  </r>
  <r>
    <s v="Kirill, Alexandra"/>
    <n v="10170"/>
    <n v="1"/>
    <n v="1"/>
    <n v="0"/>
    <n v="5"/>
    <n v="5"/>
    <n v="3"/>
    <n v="0"/>
    <n v="45433"/>
    <x v="1"/>
    <n v="19"/>
    <s v="Production Technician I"/>
    <s v="MA"/>
    <n v="2127"/>
    <d v="1970-04-25T00:00:00"/>
    <x v="0"/>
    <x v="1"/>
    <s v="Married"/>
    <s v="US Citizen"/>
    <s v="No"/>
    <s v="White"/>
    <d v="2011-09-26T00:00:00"/>
    <d v="2014-09-01T00:00:00"/>
    <s v="more money"/>
    <s v="Voluntarily Terminated"/>
    <x v="0"/>
    <s v="Amy Dunn"/>
    <x v="4"/>
    <x v="1"/>
    <n v="3.49"/>
    <n v="4"/>
    <n v="0"/>
    <d v="2013-01-30T00:00:00"/>
    <n v="6"/>
    <n v="44"/>
    <n v="3"/>
    <n v="11"/>
    <x v="5"/>
    <n v="1"/>
  </r>
  <r>
    <s v="Knapp, Bradley  J"/>
    <n v="10208"/>
    <n v="0"/>
    <n v="0"/>
    <n v="1"/>
    <n v="1"/>
    <n v="5"/>
    <n v="3"/>
    <n v="0"/>
    <n v="46654"/>
    <x v="0"/>
    <n v="19"/>
    <s v="Production Technician I"/>
    <s v="MA"/>
    <n v="1721"/>
    <d v="1983-03-28T00:00:00"/>
    <x v="0"/>
    <x v="0"/>
    <s v="Single"/>
    <s v="US Citizen"/>
    <s v="No"/>
    <s v="Black or African American"/>
    <d v="2014-02-17T00:00:00"/>
    <m/>
    <s v="N/A-StillEmployed"/>
    <s v="Active"/>
    <x v="0"/>
    <s v="Ketsia Liebig"/>
    <x v="0"/>
    <x v="1"/>
    <n v="3.1"/>
    <n v="3"/>
    <n v="0"/>
    <d v="2019-06-02T00:00:00"/>
    <n v="3"/>
    <n v="37"/>
    <n v="6"/>
    <n v="19"/>
    <x v="0"/>
    <n v="1"/>
  </r>
  <r>
    <s v="Kretschmer, John"/>
    <n v="10176"/>
    <n v="1"/>
    <n v="1"/>
    <n v="1"/>
    <n v="1"/>
    <n v="5"/>
    <n v="3"/>
    <n v="0"/>
    <n v="63973"/>
    <x v="0"/>
    <n v="19"/>
    <s v="Production Technician I"/>
    <s v="MA"/>
    <n v="1801"/>
    <d v="1989-03-31T00:00:00"/>
    <x v="0"/>
    <x v="0"/>
    <s v="Married"/>
    <s v="US Citizen"/>
    <s v="No"/>
    <s v="Asian"/>
    <d v="2011-10-01T00:00:00"/>
    <m/>
    <s v="N/A-StillEmployed"/>
    <s v="Active"/>
    <x v="0"/>
    <s v="Brannon Miller"/>
    <x v="2"/>
    <x v="1"/>
    <n v="3.38"/>
    <n v="3"/>
    <n v="0"/>
    <d v="2019-01-21T00:00:00"/>
    <n v="17"/>
    <n v="31"/>
    <n v="8"/>
    <n v="12"/>
    <x v="0"/>
    <n v="1"/>
  </r>
  <r>
    <s v="Kreuger, Freddy"/>
    <n v="10165"/>
    <n v="0"/>
    <n v="0"/>
    <n v="1"/>
    <n v="1"/>
    <n v="6"/>
    <n v="3"/>
    <n v="1"/>
    <n v="71339"/>
    <x v="0"/>
    <n v="3"/>
    <s v="Area Sales Manager"/>
    <s v="NY"/>
    <n v="10171"/>
    <d v="1985-11-23T00:00:00"/>
    <x v="0"/>
    <x v="0"/>
    <s v="Single"/>
    <s v="US Citizen"/>
    <s v="Yes"/>
    <s v="Black or African American"/>
    <d v="2011-07-03T00:00:00"/>
    <m/>
    <s v="N/A-StillEmployed"/>
    <s v="Active"/>
    <x v="4"/>
    <s v="John Smith"/>
    <x v="3"/>
    <x v="1"/>
    <n v="3.65"/>
    <n v="5"/>
    <n v="0"/>
    <d v="2019-01-17T00:00:00"/>
    <n v="20"/>
    <n v="34"/>
    <n v="8"/>
    <n v="17"/>
    <x v="0"/>
    <n v="1"/>
  </r>
  <r>
    <s v="Lajiri,  Jyoti"/>
    <n v="10113"/>
    <n v="1"/>
    <n v="1"/>
    <n v="1"/>
    <n v="3"/>
    <n v="3"/>
    <n v="3"/>
    <n v="0"/>
    <n v="93206"/>
    <x v="0"/>
    <n v="28"/>
    <s v="Sr. Network Engineer"/>
    <s v="MA"/>
    <n v="2169"/>
    <d v="1980-09-30T00:00:00"/>
    <x v="0"/>
    <x v="0"/>
    <s v="Married"/>
    <s v="US Citizen"/>
    <s v="No"/>
    <s v="White"/>
    <d v="2014-10-11T00:00:00"/>
    <m/>
    <s v="N/A-StillEmployed"/>
    <s v="Active"/>
    <x v="1"/>
    <s v="Peter Monroe"/>
    <x v="5"/>
    <x v="1"/>
    <n v="4.46"/>
    <n v="5"/>
    <n v="6"/>
    <d v="2019-07-01T00:00:00"/>
    <n v="7"/>
    <n v="39"/>
    <n v="5"/>
    <n v="7"/>
    <x v="0"/>
    <n v="1"/>
  </r>
  <r>
    <s v="Landa, Hans"/>
    <n v="10092"/>
    <n v="1"/>
    <n v="1"/>
    <n v="1"/>
    <n v="4"/>
    <n v="5"/>
    <n v="3"/>
    <n v="0"/>
    <n v="82758"/>
    <x v="1"/>
    <n v="18"/>
    <s v="Production Manager"/>
    <s v="MA"/>
    <n v="1890"/>
    <d v="1979-11-24T00:00:00"/>
    <x v="0"/>
    <x v="0"/>
    <s v="Married"/>
    <s v="US Citizen"/>
    <s v="No"/>
    <s v="White"/>
    <d v="2011-10-01T00:00:00"/>
    <d v="2015-12-12T00:00:00"/>
    <s v="attendance"/>
    <s v="Terminated for Cause"/>
    <x v="0"/>
    <s v="Janet King"/>
    <x v="5"/>
    <x v="1"/>
    <n v="4.78"/>
    <n v="4"/>
    <n v="0"/>
    <d v="2015-02-15T00:00:00"/>
    <n v="9"/>
    <n v="36"/>
    <n v="4"/>
    <n v="2"/>
    <x v="3"/>
    <n v="1"/>
  </r>
  <r>
    <s v="Langford, Lindsey"/>
    <n v="10106"/>
    <n v="0"/>
    <n v="2"/>
    <n v="0"/>
    <n v="5"/>
    <n v="5"/>
    <n v="3"/>
    <n v="0"/>
    <n v="66074"/>
    <x v="1"/>
    <n v="20"/>
    <s v="Production Technician Ii"/>
    <s v="MA"/>
    <n v="2090"/>
    <d v="1982-05-19T00:00:00"/>
    <x v="0"/>
    <x v="1"/>
    <s v="Divorced"/>
    <s v="US Citizen"/>
    <s v="No"/>
    <s v="Asian"/>
    <d v="2013-07-01T00:00:00"/>
    <d v="2014-03-31T00:00:00"/>
    <s v="Another position"/>
    <s v="Voluntarily Terminated"/>
    <x v="0"/>
    <s v="David Stanley"/>
    <x v="2"/>
    <x v="1"/>
    <n v="4.5199999999999996"/>
    <n v="3"/>
    <n v="0"/>
    <d v="2014-02-20T00:00:00"/>
    <n v="20"/>
    <n v="32"/>
    <n v="1"/>
    <n v="14"/>
    <x v="5"/>
    <n v="1"/>
  </r>
  <r>
    <s v="Langton, Enrico"/>
    <n v="10052"/>
    <n v="1"/>
    <n v="1"/>
    <n v="1"/>
    <n v="1"/>
    <n v="5"/>
    <n v="3"/>
    <n v="0"/>
    <n v="46120"/>
    <x v="0"/>
    <n v="19"/>
    <s v="Production Technician I"/>
    <s v="MA"/>
    <n v="2048"/>
    <d v="1979-02-20T00:00:00"/>
    <x v="0"/>
    <x v="0"/>
    <s v="Married"/>
    <s v="US Citizen"/>
    <s v="No"/>
    <s v="White"/>
    <d v="2012-09-07T00:00:00"/>
    <m/>
    <s v="N/A-StillEmployed"/>
    <s v="Active"/>
    <x v="0"/>
    <s v="David Stanley"/>
    <x v="0"/>
    <x v="1"/>
    <n v="5"/>
    <n v="5"/>
    <n v="0"/>
    <d v="2019-04-02T00:00:00"/>
    <n v="13"/>
    <n v="41"/>
    <n v="7"/>
    <n v="14"/>
    <x v="0"/>
    <n v="1"/>
  </r>
  <r>
    <s v="Larotonda, William"/>
    <n v="10038"/>
    <n v="0"/>
    <n v="2"/>
    <n v="1"/>
    <n v="1"/>
    <n v="1"/>
    <n v="3"/>
    <n v="0"/>
    <n v="64520"/>
    <x v="0"/>
    <n v="1"/>
    <s v="Accountant I"/>
    <s v="MA"/>
    <n v="1460"/>
    <d v="1988-03-17T00:00:00"/>
    <x v="0"/>
    <x v="0"/>
    <s v="Divorced"/>
    <s v="US Citizen"/>
    <s v="No"/>
    <s v="Black or African American"/>
    <d v="2014-06-01T00:00:00"/>
    <m/>
    <s v="N/A-StillEmployed"/>
    <s v="Active"/>
    <x v="3"/>
    <s v="Brandon R. Leblanc"/>
    <x v="7"/>
    <x v="1"/>
    <n v="5"/>
    <n v="4"/>
    <n v="4"/>
    <d v="2019-01-17T00:00:00"/>
    <n v="3"/>
    <n v="32"/>
    <n v="6"/>
    <n v="1"/>
    <x v="0"/>
    <n v="1"/>
  </r>
  <r>
    <s v="Latif, Mohammed"/>
    <n v="10249"/>
    <n v="1"/>
    <n v="1"/>
    <n v="1"/>
    <n v="5"/>
    <n v="5"/>
    <n v="3"/>
    <n v="0"/>
    <n v="61962"/>
    <x v="1"/>
    <n v="20"/>
    <s v="Production Technician Ii"/>
    <s v="MA"/>
    <n v="2126"/>
    <d v="1989-07-18T00:00:00"/>
    <x v="0"/>
    <x v="0"/>
    <s v="Married"/>
    <s v="US Citizen"/>
    <s v="No"/>
    <s v="White"/>
    <d v="2012-02-04T00:00:00"/>
    <d v="2013-04-15T00:00:00"/>
    <s v="more money"/>
    <s v="Voluntarily Terminated"/>
    <x v="0"/>
    <s v="Kissy Sullivan"/>
    <x v="4"/>
    <x v="1"/>
    <n v="4.9000000000000004"/>
    <n v="3"/>
    <n v="0"/>
    <d v="2013-02-20T00:00:00"/>
    <n v="20"/>
    <n v="24"/>
    <n v="1"/>
    <n v="20"/>
    <x v="6"/>
    <n v="1"/>
  </r>
  <r>
    <s v="Le, Binh"/>
    <n v="10232"/>
    <n v="0"/>
    <n v="0"/>
    <n v="0"/>
    <n v="1"/>
    <n v="3"/>
    <n v="3"/>
    <n v="0"/>
    <n v="81584"/>
    <x v="0"/>
    <n v="22"/>
    <s v="Senior Bi Developer"/>
    <s v="MA"/>
    <n v="1886"/>
    <d v="1986-07-20T00:00:00"/>
    <x v="0"/>
    <x v="1"/>
    <s v="Single"/>
    <s v="US Citizen"/>
    <s v="No"/>
    <s v="Asian"/>
    <d v="2016-02-10T00:00:00"/>
    <m/>
    <s v="N/A-StillEmployed"/>
    <s v="Active"/>
    <x v="1"/>
    <s v="Brian Champaigne"/>
    <x v="2"/>
    <x v="1"/>
    <n v="4.0999999999999996"/>
    <n v="5"/>
    <n v="7"/>
    <d v="2019-08-01T00:00:00"/>
    <n v="2"/>
    <n v="33"/>
    <n v="4"/>
    <n v="13"/>
    <x v="0"/>
    <n v="1"/>
  </r>
  <r>
    <s v="Leach, Dallas"/>
    <n v="10087"/>
    <n v="0"/>
    <n v="0"/>
    <n v="0"/>
    <n v="5"/>
    <n v="5"/>
    <n v="3"/>
    <n v="0"/>
    <n v="63676"/>
    <x v="1"/>
    <n v="19"/>
    <s v="Production Technician I"/>
    <s v="MA"/>
    <n v="1810"/>
    <d v="1986-08-17T00:00:00"/>
    <x v="0"/>
    <x v="1"/>
    <s v="Single"/>
    <s v="US Citizen"/>
    <s v="No"/>
    <s v="Asian"/>
    <d v="2011-09-26T00:00:00"/>
    <d v="2018-08-19T00:00:00"/>
    <s v="return to school"/>
    <s v="Voluntarily Terminated"/>
    <x v="0"/>
    <s v="Kissy Sullivan"/>
    <x v="6"/>
    <x v="1"/>
    <n v="4.88"/>
    <n v="3"/>
    <n v="0"/>
    <d v="2017-02-07T00:00:00"/>
    <n v="17"/>
    <n v="32"/>
    <n v="7"/>
    <n v="20"/>
    <x v="8"/>
    <n v="1"/>
  </r>
  <r>
    <s v="Leblanc, Brandon  R"/>
    <n v="10134"/>
    <n v="1"/>
    <n v="1"/>
    <n v="1"/>
    <n v="1"/>
    <n v="1"/>
    <n v="3"/>
    <n v="0"/>
    <n v="93046"/>
    <x v="0"/>
    <n v="23"/>
    <s v="Shared Services Manager"/>
    <s v="MA"/>
    <n v="1460"/>
    <d v="1984-09-16T00:00:00"/>
    <x v="0"/>
    <x v="0"/>
    <s v="Married"/>
    <s v="US Citizen"/>
    <s v="No"/>
    <s v="White"/>
    <d v="2016-05-01T00:00:00"/>
    <m/>
    <s v="N/A-StillEmployed"/>
    <s v="Active"/>
    <x v="3"/>
    <s v="Janet King"/>
    <x v="6"/>
    <x v="1"/>
    <n v="4.0999999999999996"/>
    <n v="4"/>
    <n v="0"/>
    <d v="2019-01-28T00:00:00"/>
    <n v="20"/>
    <n v="35"/>
    <n v="4"/>
    <n v="2"/>
    <x v="0"/>
    <n v="1"/>
  </r>
  <r>
    <s v="Lecter, Hannibal"/>
    <n v="10251"/>
    <n v="1"/>
    <n v="1"/>
    <n v="1"/>
    <n v="1"/>
    <n v="5"/>
    <n v="3"/>
    <n v="0"/>
    <n v="64738"/>
    <x v="0"/>
    <n v="19"/>
    <s v="Production Technician I"/>
    <s v="MA"/>
    <n v="1776"/>
    <d v="1981-11-23T00:00:00"/>
    <x v="0"/>
    <x v="0"/>
    <s v="Married"/>
    <s v="US Citizen"/>
    <s v="No"/>
    <s v="Asian"/>
    <d v="2012-05-14T00:00:00"/>
    <m/>
    <s v="N/A-StillEmployed"/>
    <s v="Active"/>
    <x v="0"/>
    <s v="Elijiah Gray"/>
    <x v="4"/>
    <x v="1"/>
    <n v="4.0999999999999996"/>
    <n v="3"/>
    <n v="0"/>
    <d v="2019-02-22T00:00:00"/>
    <n v="10"/>
    <n v="38"/>
    <n v="8"/>
    <n v="16"/>
    <x v="0"/>
    <n v="1"/>
  </r>
  <r>
    <s v="Leruth, Giovanni"/>
    <n v="10103"/>
    <n v="0"/>
    <n v="3"/>
    <n v="1"/>
    <n v="1"/>
    <n v="6"/>
    <n v="3"/>
    <n v="0"/>
    <n v="70468"/>
    <x v="0"/>
    <n v="3"/>
    <s v="Area Sales Manager"/>
    <s v="UT"/>
    <n v="84111"/>
    <d v="1988-08-29T00:00:00"/>
    <x v="0"/>
    <x v="0"/>
    <s v="Separated"/>
    <s v="US Citizen"/>
    <s v="No"/>
    <s v="Black or African American"/>
    <d v="2012-04-30T00:00:00"/>
    <m/>
    <s v="N/A-StillEmployed"/>
    <s v="Active"/>
    <x v="4"/>
    <s v="John Smith"/>
    <x v="7"/>
    <x v="1"/>
    <n v="4.53"/>
    <n v="3"/>
    <n v="0"/>
    <d v="2019-01-29T00:00:00"/>
    <n v="16"/>
    <n v="31"/>
    <n v="8"/>
    <n v="17"/>
    <x v="0"/>
    <n v="1"/>
  </r>
  <r>
    <s v="Liebig, Ketsia"/>
    <n v="10017"/>
    <n v="1"/>
    <n v="1"/>
    <n v="0"/>
    <n v="1"/>
    <n v="5"/>
    <n v="4"/>
    <n v="0"/>
    <n v="77915"/>
    <x v="0"/>
    <n v="18"/>
    <s v="Production Manager"/>
    <s v="MA"/>
    <n v="2110"/>
    <d v="1984-10-15T00:00:00"/>
    <x v="0"/>
    <x v="1"/>
    <s v="Married"/>
    <s v="US Citizen"/>
    <s v="No"/>
    <s v="White"/>
    <d v="2013-09-30T00:00:00"/>
    <m/>
    <s v="N/A-StillEmployed"/>
    <s v="Active"/>
    <x v="0"/>
    <s v="Janet King"/>
    <x v="7"/>
    <x v="0"/>
    <n v="4.0999999999999996"/>
    <n v="3"/>
    <n v="0"/>
    <d v="2019-01-21T00:00:00"/>
    <n v="11"/>
    <n v="35"/>
    <n v="6"/>
    <n v="2"/>
    <x v="0"/>
    <n v="1"/>
  </r>
  <r>
    <s v="Linares, Marilyn"/>
    <n v="10186"/>
    <n v="1"/>
    <n v="1"/>
    <n v="0"/>
    <n v="5"/>
    <n v="5"/>
    <n v="3"/>
    <n v="0"/>
    <n v="52624"/>
    <x v="1"/>
    <n v="19"/>
    <s v="Production Technician I"/>
    <s v="MA"/>
    <n v="1886"/>
    <d v="1961-06-19T00:00:00"/>
    <x v="1"/>
    <x v="1"/>
    <s v="Married"/>
    <s v="US Citizen"/>
    <s v="No"/>
    <s v="White"/>
    <d v="2011-05-07T00:00:00"/>
    <d v="2018-09-26T00:00:00"/>
    <s v="unhappy"/>
    <s v="Voluntarily Terminated"/>
    <x v="0"/>
    <s v="Michael Albert"/>
    <x v="2"/>
    <x v="1"/>
    <n v="3.18"/>
    <n v="4"/>
    <n v="0"/>
    <d v="2018-02-03T00:00:00"/>
    <n v="16"/>
    <n v="57"/>
    <n v="7"/>
    <n v="22"/>
    <x v="8"/>
    <n v="1"/>
  </r>
  <r>
    <s v="Linden, Mathew"/>
    <n v="10137"/>
    <n v="1"/>
    <n v="1"/>
    <n v="1"/>
    <n v="3"/>
    <n v="5"/>
    <n v="3"/>
    <n v="0"/>
    <n v="63450"/>
    <x v="0"/>
    <n v="20"/>
    <s v="Production Technician Ii"/>
    <s v="MA"/>
    <n v="1770"/>
    <d v="1970-09-22T00:00:00"/>
    <x v="0"/>
    <x v="0"/>
    <s v="Married"/>
    <s v="US Citizen"/>
    <s v="No"/>
    <s v="White"/>
    <d v="2013-08-07T00:00:00"/>
    <m/>
    <s v="N/A-StillEmployed"/>
    <s v="Active"/>
    <x v="0"/>
    <s v="Kelley Spirea"/>
    <x v="0"/>
    <x v="1"/>
    <n v="4"/>
    <n v="3"/>
    <n v="0"/>
    <d v="2019-02-18T00:00:00"/>
    <n v="7"/>
    <n v="49"/>
    <n v="6"/>
    <n v="18"/>
    <x v="0"/>
    <n v="1"/>
  </r>
  <r>
    <s v="Lindsay, Leonara"/>
    <n v="10008"/>
    <n v="0"/>
    <n v="0"/>
    <n v="0"/>
    <n v="1"/>
    <n v="3"/>
    <n v="4"/>
    <n v="1"/>
    <n v="51777"/>
    <x v="0"/>
    <n v="14"/>
    <s v="It Support"/>
    <s v="CT"/>
    <n v="6070"/>
    <d v="1984-12-31T00:00:00"/>
    <x v="0"/>
    <x v="1"/>
    <s v="Single"/>
    <s v="US Citizen"/>
    <s v="Yes"/>
    <s v="Black or African American"/>
    <d v="2011-01-21T00:00:00"/>
    <m/>
    <s v="N/A-StillEmployed"/>
    <s v="Active"/>
    <x v="1"/>
    <s v="Eric Dougall"/>
    <x v="3"/>
    <x v="0"/>
    <n v="4.6399999999999997"/>
    <n v="4"/>
    <n v="5"/>
    <d v="2019-01-25T00:00:00"/>
    <n v="14"/>
    <n v="35"/>
    <n v="9"/>
    <n v="6"/>
    <x v="0"/>
    <n v="1"/>
  </r>
  <r>
    <s v="Lundy, Susan"/>
    <n v="10096"/>
    <n v="0"/>
    <n v="4"/>
    <n v="0"/>
    <n v="5"/>
    <n v="5"/>
    <n v="3"/>
    <n v="0"/>
    <n v="67237"/>
    <x v="1"/>
    <n v="20"/>
    <s v="Production Technician Ii"/>
    <s v="MA"/>
    <n v="2122"/>
    <d v="1982-07-22T00:00:00"/>
    <x v="0"/>
    <x v="1"/>
    <s v="Widowed"/>
    <s v="US Citizen"/>
    <s v="No"/>
    <s v="White"/>
    <d v="2013-08-07T00:00:00"/>
    <d v="2016-09-15T00:00:00"/>
    <s v="more money"/>
    <s v="Voluntarily Terminated"/>
    <x v="0"/>
    <s v="Michael Albert"/>
    <x v="0"/>
    <x v="1"/>
    <n v="4.6500000000000004"/>
    <n v="4"/>
    <n v="0"/>
    <d v="2016-10-06T00:00:00"/>
    <n v="15"/>
    <n v="34"/>
    <n v="3"/>
    <n v="22"/>
    <x v="2"/>
    <n v="1"/>
  </r>
  <r>
    <s v="Lunquist, Lisa"/>
    <n v="10035"/>
    <n v="0"/>
    <n v="0"/>
    <n v="0"/>
    <n v="1"/>
    <n v="5"/>
    <n v="4"/>
    <n v="0"/>
    <n v="73330"/>
    <x v="0"/>
    <n v="20"/>
    <s v="Production Technician Ii"/>
    <s v="MA"/>
    <n v="2324"/>
    <d v="1985-01-28T00:00:00"/>
    <x v="0"/>
    <x v="1"/>
    <s v="Single"/>
    <s v="US Citizen"/>
    <s v="No"/>
    <s v="Black or African American"/>
    <d v="2013-08-19T00:00:00"/>
    <m/>
    <s v="N/A-StillEmployed"/>
    <s v="Active"/>
    <x v="0"/>
    <s v="Elijiah Gray"/>
    <x v="2"/>
    <x v="0"/>
    <n v="4.2"/>
    <n v="4"/>
    <n v="0"/>
    <d v="2019-12-02T00:00:00"/>
    <n v="19"/>
    <n v="35"/>
    <n v="6"/>
    <n v="16"/>
    <x v="0"/>
    <n v="1"/>
  </r>
  <r>
    <s v="Lydon, Allison"/>
    <n v="10057"/>
    <n v="1"/>
    <n v="1"/>
    <n v="0"/>
    <n v="3"/>
    <n v="5"/>
    <n v="3"/>
    <n v="0"/>
    <n v="52057"/>
    <x v="0"/>
    <n v="19"/>
    <s v="Production Technician I"/>
    <s v="MA"/>
    <n v="2122"/>
    <d v="1973-05-27T00:00:00"/>
    <x v="0"/>
    <x v="1"/>
    <s v="Married"/>
    <s v="US Citizen"/>
    <s v="No"/>
    <s v="Black or African American"/>
    <d v="2015-02-16T00:00:00"/>
    <m/>
    <s v="N/A-StillEmployed"/>
    <s v="Active"/>
    <x v="0"/>
    <s v="Elijiah Gray"/>
    <x v="7"/>
    <x v="1"/>
    <n v="5"/>
    <n v="3"/>
    <n v="0"/>
    <d v="2019-01-23T00:00:00"/>
    <n v="6"/>
    <n v="47"/>
    <n v="5"/>
    <n v="16"/>
    <x v="0"/>
    <n v="1"/>
  </r>
  <r>
    <s v="Lynch, Lindsay"/>
    <n v="10004"/>
    <n v="0"/>
    <n v="0"/>
    <n v="0"/>
    <n v="5"/>
    <n v="5"/>
    <n v="4"/>
    <n v="1"/>
    <n v="47434"/>
    <x v="1"/>
    <n v="19"/>
    <s v="Production Technician I"/>
    <s v="MA"/>
    <n v="1844"/>
    <d v="1972-11-21T00:00:00"/>
    <x v="0"/>
    <x v="1"/>
    <s v="Single"/>
    <s v="US Citizen"/>
    <s v="Yes"/>
    <s v="Black or African American"/>
    <d v="2011-07-11T00:00:00"/>
    <d v="2015-11-14T00:00:00"/>
    <s v="Another position"/>
    <s v="Voluntarily Terminated"/>
    <x v="0"/>
    <s v="Webster Butler"/>
    <x v="3"/>
    <x v="0"/>
    <n v="5"/>
    <n v="4"/>
    <n v="0"/>
    <d v="2015-02-02T00:00:00"/>
    <n v="17"/>
    <n v="43"/>
    <n v="4"/>
    <n v="39"/>
    <x v="3"/>
    <n v="1"/>
  </r>
  <r>
    <s v="Maclennan, Samuel"/>
    <n v="10191"/>
    <n v="0"/>
    <n v="4"/>
    <n v="1"/>
    <n v="5"/>
    <n v="5"/>
    <n v="3"/>
    <n v="0"/>
    <n v="52788"/>
    <x v="1"/>
    <n v="19"/>
    <s v="Production Technician I"/>
    <s v="MA"/>
    <n v="1938"/>
    <d v="1987-03-18T00:00:00"/>
    <x v="0"/>
    <x v="0"/>
    <s v="Widowed"/>
    <s v="US Citizen"/>
    <s v="No"/>
    <s v="White"/>
    <d v="2012-09-24T00:00:00"/>
    <d v="2017-09-26T00:00:00"/>
    <s v="hours"/>
    <s v="Voluntarily Terminated"/>
    <x v="0"/>
    <s v="Amy Dunn"/>
    <x v="2"/>
    <x v="1"/>
    <n v="3.08"/>
    <n v="4"/>
    <n v="0"/>
    <d v="2017-01-04T00:00:00"/>
    <n v="18"/>
    <n v="31"/>
    <n v="5"/>
    <n v="11"/>
    <x v="1"/>
    <n v="1"/>
  </r>
  <r>
    <s v="Mahoney, Lauren"/>
    <n v="10219"/>
    <n v="0"/>
    <n v="0"/>
    <n v="0"/>
    <n v="1"/>
    <n v="5"/>
    <n v="3"/>
    <n v="0"/>
    <n v="45395"/>
    <x v="0"/>
    <n v="19"/>
    <s v="Production Technician I"/>
    <s v="MA"/>
    <n v="2189"/>
    <d v="1986-07-27T00:00:00"/>
    <x v="0"/>
    <x v="1"/>
    <s v="Single"/>
    <s v="US Citizen"/>
    <s v="No"/>
    <s v="White"/>
    <d v="2014-06-01T00:00:00"/>
    <m/>
    <s v="N/A-StillEmployed"/>
    <s v="Active"/>
    <x v="0"/>
    <s v="Ketsia Liebig"/>
    <x v="0"/>
    <x v="1"/>
    <n v="4.5999999999999996"/>
    <n v="4"/>
    <n v="0"/>
    <d v="2019-02-26T00:00:00"/>
    <n v="14"/>
    <n v="33"/>
    <n v="6"/>
    <n v="19"/>
    <x v="0"/>
    <n v="1"/>
  </r>
  <r>
    <s v="Manchester, Robyn"/>
    <n v="10077"/>
    <n v="1"/>
    <n v="1"/>
    <n v="0"/>
    <n v="2"/>
    <n v="5"/>
    <n v="3"/>
    <n v="0"/>
    <n v="62385"/>
    <x v="0"/>
    <n v="20"/>
    <s v="Production Technician Ii"/>
    <s v="MA"/>
    <n v="2324"/>
    <d v="1974-12-21T00:00:00"/>
    <x v="0"/>
    <x v="1"/>
    <s v="Married"/>
    <s v="US Citizen"/>
    <s v="No"/>
    <s v="White"/>
    <d v="2016-11-05T00:00:00"/>
    <m/>
    <s v="N/A-StillEmployed"/>
    <s v="Active"/>
    <x v="0"/>
    <s v="Webster Butler"/>
    <x v="0"/>
    <x v="1"/>
    <n v="5"/>
    <n v="3"/>
    <n v="0"/>
    <d v="2019-01-21T00:00:00"/>
    <n v="4"/>
    <n v="45"/>
    <n v="3"/>
    <n v="39"/>
    <x v="0"/>
    <n v="1"/>
  </r>
  <r>
    <s v="Mancuso, Karen"/>
    <n v="10073"/>
    <n v="1"/>
    <n v="1"/>
    <n v="0"/>
    <n v="5"/>
    <n v="5"/>
    <n v="3"/>
    <n v="0"/>
    <n v="68407"/>
    <x v="1"/>
    <n v="20"/>
    <s v="Production Technician Ii"/>
    <s v="MA"/>
    <n v="2176"/>
    <d v="1986-04-26T00:00:00"/>
    <x v="0"/>
    <x v="1"/>
    <s v="Married"/>
    <s v="US Citizen"/>
    <s v="No"/>
    <s v="Two or more races"/>
    <d v="2011-05-07T00:00:00"/>
    <d v="2012-08-19T00:00:00"/>
    <s v="Another position"/>
    <s v="Voluntarily Terminated"/>
    <x v="0"/>
    <s v="Amy Dunn"/>
    <x v="0"/>
    <x v="1"/>
    <n v="5"/>
    <n v="4"/>
    <n v="0"/>
    <d v="2012-02-07T00:00:00"/>
    <n v="16"/>
    <n v="26"/>
    <n v="1"/>
    <n v="11"/>
    <x v="4"/>
    <n v="1"/>
  </r>
  <r>
    <s v="Mangal, Debbie"/>
    <n v="10279"/>
    <n v="1"/>
    <n v="1"/>
    <n v="0"/>
    <n v="1"/>
    <n v="5"/>
    <n v="3"/>
    <n v="0"/>
    <n v="61349"/>
    <x v="0"/>
    <n v="19"/>
    <s v="Production Technician I"/>
    <s v="MA"/>
    <n v="2451"/>
    <d v="1987-12-17T00:00:00"/>
    <x v="0"/>
    <x v="1"/>
    <s v="Married"/>
    <s v="US Citizen"/>
    <s v="No"/>
    <s v="White"/>
    <d v="2013-11-11T00:00:00"/>
    <m/>
    <s v="N/A-StillEmployed"/>
    <s v="Active"/>
    <x v="0"/>
    <s v="Brannon Miller"/>
    <x v="0"/>
    <x v="1"/>
    <n v="4.0999999999999996"/>
    <n v="3"/>
    <n v="0"/>
    <d v="2019-01-22T00:00:00"/>
    <n v="11"/>
    <n v="32"/>
    <n v="6"/>
    <n v="12"/>
    <x v="0"/>
    <n v="1"/>
  </r>
  <r>
    <s v="Martin, Sandra"/>
    <n v="10110"/>
    <n v="0"/>
    <n v="0"/>
    <n v="0"/>
    <n v="1"/>
    <n v="4"/>
    <n v="3"/>
    <n v="0"/>
    <n v="105688"/>
    <x v="0"/>
    <n v="24"/>
    <s v="Software Engineer"/>
    <s v="MA"/>
    <n v="2135"/>
    <d v="1981-04-14T00:00:00"/>
    <x v="0"/>
    <x v="1"/>
    <s v="Single"/>
    <s v="US Citizen"/>
    <s v="No"/>
    <s v="Asian"/>
    <d v="2013-11-11T00:00:00"/>
    <m/>
    <s v="N/A-StillEmployed"/>
    <s v="Active"/>
    <x v="2"/>
    <s v="Alex Sweetwater"/>
    <x v="4"/>
    <x v="1"/>
    <n v="4.5"/>
    <n v="5"/>
    <n v="4"/>
    <d v="2019-01-14T00:00:00"/>
    <n v="14"/>
    <n v="39"/>
    <n v="6"/>
    <n v="10"/>
    <x v="0"/>
    <n v="1"/>
  </r>
  <r>
    <s v="Maurice, Shana"/>
    <n v="10053"/>
    <n v="1"/>
    <n v="1"/>
    <n v="0"/>
    <n v="1"/>
    <n v="5"/>
    <n v="3"/>
    <n v="0"/>
    <n v="54132"/>
    <x v="0"/>
    <n v="19"/>
    <s v="Production Technician I"/>
    <s v="MA"/>
    <n v="2330"/>
    <d v="1985-08-24T00:00:00"/>
    <x v="0"/>
    <x v="1"/>
    <s v="Married"/>
    <s v="US Citizen"/>
    <s v="No"/>
    <s v="White"/>
    <d v="2011-05-31T00:00:00"/>
    <m/>
    <s v="N/A-StillEmployed"/>
    <s v="Active"/>
    <x v="0"/>
    <s v="David Stanley"/>
    <x v="2"/>
    <x v="1"/>
    <n v="5"/>
    <n v="4"/>
    <n v="0"/>
    <d v="2019-10-01T00:00:00"/>
    <n v="8"/>
    <n v="34"/>
    <n v="9"/>
    <n v="14"/>
    <x v="0"/>
    <n v="1"/>
  </r>
  <r>
    <s v="Carthy, B'Rigit"/>
    <n v="10076"/>
    <n v="0"/>
    <n v="0"/>
    <n v="0"/>
    <n v="1"/>
    <n v="5"/>
    <n v="3"/>
    <n v="0"/>
    <n v="55315"/>
    <x v="0"/>
    <n v="20"/>
    <s v="Production Technician Ii"/>
    <s v="MA"/>
    <n v="2149"/>
    <d v="1988-05-19T00:00:00"/>
    <x v="0"/>
    <x v="1"/>
    <s v="Single"/>
    <s v="US Citizen"/>
    <s v="No"/>
    <s v="Black or African American"/>
    <d v="2015-03-30T00:00:00"/>
    <m/>
    <s v="N/A-StillEmployed"/>
    <s v="Active"/>
    <x v="0"/>
    <s v="Ketsia Liebig"/>
    <x v="0"/>
    <x v="1"/>
    <n v="5"/>
    <n v="5"/>
    <n v="0"/>
    <d v="2019-07-02T00:00:00"/>
    <n v="16"/>
    <n v="32"/>
    <n v="5"/>
    <n v="19"/>
    <x v="0"/>
    <n v="1"/>
  </r>
  <r>
    <s v="Mckenna, Sandy"/>
    <n v="10145"/>
    <n v="1"/>
    <n v="1"/>
    <n v="0"/>
    <n v="1"/>
    <n v="5"/>
    <n v="3"/>
    <n v="0"/>
    <n v="62810"/>
    <x v="0"/>
    <n v="19"/>
    <s v="Production Technician I"/>
    <s v="MA"/>
    <n v="2184"/>
    <d v="1987-11-25T00:00:00"/>
    <x v="0"/>
    <x v="1"/>
    <s v="Married"/>
    <s v="US Citizen"/>
    <s v="No"/>
    <s v="Black or African American"/>
    <d v="2013-07-01T00:00:00"/>
    <m/>
    <s v="N/A-StillEmployed"/>
    <s v="Active"/>
    <x v="0"/>
    <s v="Kissy Sullivan"/>
    <x v="6"/>
    <x v="1"/>
    <n v="3.93"/>
    <n v="3"/>
    <n v="0"/>
    <d v="2019-01-30T00:00:00"/>
    <n v="20"/>
    <n v="32"/>
    <n v="6"/>
    <n v="20"/>
    <x v="0"/>
    <n v="1"/>
  </r>
  <r>
    <s v="Mckinzie, Jac"/>
    <n v="10202"/>
    <n v="1"/>
    <n v="1"/>
    <n v="1"/>
    <n v="2"/>
    <n v="6"/>
    <n v="3"/>
    <n v="0"/>
    <n v="63291"/>
    <x v="0"/>
    <n v="3"/>
    <s v="Area Sales Manager"/>
    <s v="TX"/>
    <n v="78789"/>
    <d v="1963-10-30T00:00:00"/>
    <x v="1"/>
    <x v="0"/>
    <s v="Married"/>
    <s v="US Citizen"/>
    <s v="No"/>
    <s v="Two or more races"/>
    <d v="2016-06-07T00:00:00"/>
    <m/>
    <s v="N/A-StillEmployed"/>
    <s v="Active"/>
    <x v="4"/>
    <s v="Lynn Daneault"/>
    <x v="7"/>
    <x v="1"/>
    <n v="3.4"/>
    <n v="4"/>
    <n v="0"/>
    <d v="2019-01-29T00:00:00"/>
    <n v="7"/>
    <n v="56"/>
    <n v="4"/>
    <n v="21"/>
    <x v="0"/>
    <n v="1"/>
  </r>
  <r>
    <s v="Meads, Elizabeth"/>
    <n v="10128"/>
    <n v="0"/>
    <n v="0"/>
    <n v="0"/>
    <n v="5"/>
    <n v="5"/>
    <n v="3"/>
    <n v="1"/>
    <n v="62659"/>
    <x v="1"/>
    <n v="19"/>
    <s v="Production Technician I"/>
    <s v="MA"/>
    <n v="1760"/>
    <d v="1984-08-16T00:00:00"/>
    <x v="0"/>
    <x v="1"/>
    <s v="Single"/>
    <s v="US Citizen"/>
    <s v="No"/>
    <s v="Black or African American"/>
    <d v="2012-02-04T00:00:00"/>
    <d v="2016-11-11T00:00:00"/>
    <s v="Another position"/>
    <s v="Voluntarily Terminated"/>
    <x v="0"/>
    <s v="Kelley Spirea"/>
    <x v="3"/>
    <x v="1"/>
    <n v="4.18"/>
    <n v="4"/>
    <n v="0"/>
    <d v="2016-05-02T00:00:00"/>
    <n v="17"/>
    <n v="32"/>
    <n v="5"/>
    <n v="18"/>
    <x v="2"/>
    <n v="1"/>
  </r>
  <r>
    <s v="Medeiros, Jennifer"/>
    <n v="10068"/>
    <n v="0"/>
    <n v="0"/>
    <n v="0"/>
    <n v="1"/>
    <n v="5"/>
    <n v="3"/>
    <n v="0"/>
    <n v="55688"/>
    <x v="0"/>
    <n v="19"/>
    <s v="Production Technician I"/>
    <s v="MA"/>
    <n v="2346"/>
    <d v="1987-06-14T00:00:00"/>
    <x v="0"/>
    <x v="1"/>
    <s v="Single"/>
    <s v="US Citizen"/>
    <s v="No"/>
    <s v="White"/>
    <d v="2015-03-30T00:00:00"/>
    <m/>
    <s v="N/A-StillEmployed"/>
    <s v="Active"/>
    <x v="0"/>
    <s v="Michael Albert"/>
    <x v="6"/>
    <x v="1"/>
    <n v="5"/>
    <n v="4"/>
    <n v="0"/>
    <d v="2019-01-21T00:00:00"/>
    <n v="10"/>
    <n v="33"/>
    <n v="5"/>
    <n v="22"/>
    <x v="0"/>
    <n v="1"/>
  </r>
  <r>
    <s v="Miller, Brannon"/>
    <n v="10116"/>
    <n v="0"/>
    <n v="0"/>
    <n v="1"/>
    <n v="1"/>
    <n v="5"/>
    <n v="3"/>
    <n v="0"/>
    <n v="83667"/>
    <x v="0"/>
    <n v="18"/>
    <s v="Production Manager"/>
    <s v="MA"/>
    <n v="2045"/>
    <d v="1968-07-20T00:00:00"/>
    <x v="0"/>
    <x v="0"/>
    <s v="Single"/>
    <s v="US Citizen"/>
    <s v="Yes"/>
    <s v="Hispanic"/>
    <d v="2012-08-16T00:00:00"/>
    <m/>
    <s v="N/A-StillEmployed"/>
    <s v="Active"/>
    <x v="0"/>
    <s v="Janet King"/>
    <x v="2"/>
    <x v="1"/>
    <n v="4.37"/>
    <n v="3"/>
    <n v="0"/>
    <d v="2019-01-14T00:00:00"/>
    <n v="2"/>
    <n v="51"/>
    <n v="7"/>
    <n v="2"/>
    <x v="0"/>
    <n v="1"/>
  </r>
  <r>
    <s v="Miller, Ned"/>
    <n v="10298"/>
    <n v="0"/>
    <n v="0"/>
    <n v="1"/>
    <n v="5"/>
    <n v="5"/>
    <n v="1"/>
    <n v="0"/>
    <n v="55800"/>
    <x v="1"/>
    <n v="20"/>
    <s v="Production Technician Ii"/>
    <s v="MA"/>
    <n v="2472"/>
    <d v="1975-09-30T00:00:00"/>
    <x v="0"/>
    <x v="0"/>
    <s v="Single"/>
    <s v="US Citizen"/>
    <s v="No"/>
    <s v="White"/>
    <d v="2011-08-15T00:00:00"/>
    <d v="2014-04-09T00:00:00"/>
    <s v="unhappy"/>
    <s v="Voluntarily Terminated"/>
    <x v="0"/>
    <s v="Brannon Miller"/>
    <x v="0"/>
    <x v="3"/>
    <n v="3"/>
    <n v="2"/>
    <n v="0"/>
    <d v="2013-01-14T00:00:00"/>
    <n v="6"/>
    <n v="39"/>
    <n v="3"/>
    <n v="12"/>
    <x v="5"/>
    <n v="1"/>
  </r>
  <r>
    <s v="Monkfish, Erasumus"/>
    <n v="10213"/>
    <n v="1"/>
    <n v="1"/>
    <n v="1"/>
    <n v="1"/>
    <n v="5"/>
    <n v="3"/>
    <n v="0"/>
    <n v="58207"/>
    <x v="0"/>
    <n v="20"/>
    <s v="Production Technician Ii"/>
    <s v="MA"/>
    <n v="1450"/>
    <d v="1973-03-26T00:00:00"/>
    <x v="0"/>
    <x v="0"/>
    <s v="Married"/>
    <s v="US Citizen"/>
    <s v="No"/>
    <s v="White"/>
    <d v="2011-07-11T00:00:00"/>
    <m/>
    <s v="N/A-StillEmployed"/>
    <s v="Active"/>
    <x v="0"/>
    <s v="David Stanley"/>
    <x v="0"/>
    <x v="1"/>
    <n v="3.7"/>
    <n v="3"/>
    <n v="0"/>
    <d v="2019-08-01T00:00:00"/>
    <n v="14"/>
    <n v="47"/>
    <n v="8"/>
    <n v="14"/>
    <x v="0"/>
    <n v="1"/>
  </r>
  <r>
    <s v="Monroe, Peter"/>
    <n v="10288"/>
    <n v="1"/>
    <n v="1"/>
    <n v="1"/>
    <n v="1"/>
    <n v="3"/>
    <n v="2"/>
    <n v="1"/>
    <n v="157000"/>
    <x v="0"/>
    <n v="13"/>
    <s v="It Manager - Infra"/>
    <s v="MA"/>
    <n v="2134"/>
    <d v="1982-08-25T00:00:00"/>
    <x v="0"/>
    <x v="0"/>
    <s v="Married"/>
    <s v="Eligible NonCitizen"/>
    <s v="Yes"/>
    <s v="Black or African American"/>
    <d v="2012-02-15T00:00:00"/>
    <m/>
    <s v="N/A-StillEmployed"/>
    <s v="Active"/>
    <x v="1"/>
    <s v="Jennifer Zamora"/>
    <x v="3"/>
    <x v="2"/>
    <n v="2.39"/>
    <n v="3"/>
    <n v="6"/>
    <d v="2019-02-22T00:00:00"/>
    <n v="13"/>
    <n v="37"/>
    <n v="8"/>
    <n v="5"/>
    <x v="0"/>
    <n v="1"/>
  </r>
  <r>
    <s v="Monterro, Luisa"/>
    <n v="10025"/>
    <n v="0"/>
    <n v="0"/>
    <n v="0"/>
    <n v="1"/>
    <n v="5"/>
    <n v="4"/>
    <n v="0"/>
    <n v="72460"/>
    <x v="0"/>
    <n v="20"/>
    <s v="Production Technician Ii"/>
    <s v="MA"/>
    <n v="2126"/>
    <d v="1985-03-14T00:00:00"/>
    <x v="0"/>
    <x v="1"/>
    <s v="Single"/>
    <s v="US Citizen"/>
    <s v="No"/>
    <s v="Black or African American"/>
    <d v="2013-05-13T00:00:00"/>
    <m/>
    <s v="N/A-StillEmployed"/>
    <s v="Active"/>
    <x v="0"/>
    <s v="Kissy Sullivan"/>
    <x v="2"/>
    <x v="0"/>
    <n v="4.7"/>
    <n v="3"/>
    <n v="0"/>
    <d v="2019-01-14T00:00:00"/>
    <n v="1"/>
    <n v="35"/>
    <n v="7"/>
    <n v="20"/>
    <x v="0"/>
    <n v="1"/>
  </r>
  <r>
    <s v="Moran, Patrick"/>
    <n v="10223"/>
    <n v="0"/>
    <n v="0"/>
    <n v="1"/>
    <n v="3"/>
    <n v="5"/>
    <n v="3"/>
    <n v="1"/>
    <n v="72106"/>
    <x v="0"/>
    <n v="20"/>
    <s v="Production Technician Ii"/>
    <s v="MA"/>
    <n v="2127"/>
    <d v="1978-03-28T00:00:00"/>
    <x v="0"/>
    <x v="0"/>
    <s v="Single"/>
    <s v="US Citizen"/>
    <s v="No"/>
    <s v="Black or African American"/>
    <d v="2012-09-01T00:00:00"/>
    <m/>
    <s v="N/A-StillEmployed"/>
    <s v="Active"/>
    <x v="0"/>
    <s v="Kelley Spirea"/>
    <x v="3"/>
    <x v="1"/>
    <n v="4.0999999999999996"/>
    <n v="4"/>
    <n v="0"/>
    <d v="2019-01-31T00:00:00"/>
    <n v="12"/>
    <n v="42"/>
    <n v="7"/>
    <n v="18"/>
    <x v="0"/>
    <n v="1"/>
  </r>
  <r>
    <s v="Morway, Tanya"/>
    <n v="10151"/>
    <n v="1"/>
    <n v="1"/>
    <n v="0"/>
    <n v="1"/>
    <n v="3"/>
    <n v="3"/>
    <n v="0"/>
    <n v="52599"/>
    <x v="0"/>
    <n v="15"/>
    <s v="Network Engineer"/>
    <s v="MA"/>
    <n v="2048"/>
    <d v="1968-08-15T00:00:00"/>
    <x v="0"/>
    <x v="1"/>
    <s v="Married"/>
    <s v="US Citizen"/>
    <s v="No"/>
    <s v="White"/>
    <d v="2015-02-16T00:00:00"/>
    <m/>
    <s v="N/A-StillEmployed"/>
    <s v="Active"/>
    <x v="1"/>
    <s v="Peter Monroe"/>
    <x v="6"/>
    <x v="1"/>
    <n v="3.81"/>
    <n v="3"/>
    <n v="6"/>
    <d v="2019-11-02T00:00:00"/>
    <n v="6"/>
    <n v="51"/>
    <n v="5"/>
    <n v="7"/>
    <x v="0"/>
    <n v="1"/>
  </r>
  <r>
    <s v="Motlagh,  Dawn"/>
    <n v="10254"/>
    <n v="0"/>
    <n v="2"/>
    <n v="0"/>
    <n v="1"/>
    <n v="5"/>
    <n v="3"/>
    <n v="0"/>
    <n v="63430"/>
    <x v="0"/>
    <n v="19"/>
    <s v="Production Technician I"/>
    <s v="MA"/>
    <n v="2453"/>
    <d v="1987-10-24T00:00:00"/>
    <x v="0"/>
    <x v="1"/>
    <s v="Divorced"/>
    <s v="US Citizen"/>
    <s v="No"/>
    <s v="White"/>
    <d v="2013-01-04T00:00:00"/>
    <m/>
    <s v="N/A-StillEmployed"/>
    <s v="Active"/>
    <x v="0"/>
    <s v="Elijiah Gray"/>
    <x v="0"/>
    <x v="1"/>
    <n v="4.4000000000000004"/>
    <n v="4"/>
    <n v="0"/>
    <d v="2019-01-17T00:00:00"/>
    <n v="18"/>
    <n v="32"/>
    <n v="7"/>
    <n v="16"/>
    <x v="0"/>
    <n v="1"/>
  </r>
  <r>
    <s v="Moumanil, Maliki"/>
    <n v="10120"/>
    <n v="0"/>
    <n v="3"/>
    <n v="1"/>
    <n v="1"/>
    <n v="5"/>
    <n v="3"/>
    <n v="0"/>
    <n v="74417"/>
    <x v="0"/>
    <n v="20"/>
    <s v="Production Technician Ii"/>
    <s v="MA"/>
    <n v="1460"/>
    <d v="1953-05-24T00:00:00"/>
    <x v="1"/>
    <x v="0"/>
    <s v="Separated"/>
    <s v="US Citizen"/>
    <s v="No"/>
    <s v="Black or African American"/>
    <d v="2013-05-13T00:00:00"/>
    <m/>
    <s v="N/A-StillEmployed"/>
    <s v="Active"/>
    <x v="0"/>
    <s v="Michael Albert"/>
    <x v="0"/>
    <x v="1"/>
    <n v="4.29"/>
    <n v="5"/>
    <n v="0"/>
    <d v="2019-01-28T00:00:00"/>
    <n v="11"/>
    <n v="67"/>
    <n v="7"/>
    <n v="22"/>
    <x v="0"/>
    <n v="1"/>
  </r>
  <r>
    <s v="Myers, Michael"/>
    <n v="10216"/>
    <n v="0"/>
    <n v="0"/>
    <n v="1"/>
    <n v="1"/>
    <n v="5"/>
    <n v="3"/>
    <n v="0"/>
    <n v="57575"/>
    <x v="0"/>
    <n v="19"/>
    <s v="Production Technician I"/>
    <s v="MA"/>
    <n v="1550"/>
    <d v="1975-09-16T00:00:00"/>
    <x v="0"/>
    <x v="0"/>
    <s v="Single"/>
    <s v="US Citizen"/>
    <s v="No"/>
    <s v="Asian"/>
    <d v="2013-08-07T00:00:00"/>
    <m/>
    <s v="N/A-StillEmployed"/>
    <s v="Active"/>
    <x v="0"/>
    <s v="Kissy Sullivan"/>
    <x v="0"/>
    <x v="1"/>
    <n v="4.0999999999999996"/>
    <n v="4"/>
    <n v="0"/>
    <d v="2019-01-22T00:00:00"/>
    <n v="13"/>
    <n v="44"/>
    <n v="6"/>
    <n v="20"/>
    <x v="0"/>
    <n v="1"/>
  </r>
  <r>
    <s v="Navathe, Kurt"/>
    <n v="10079"/>
    <n v="0"/>
    <n v="0"/>
    <n v="1"/>
    <n v="1"/>
    <n v="3"/>
    <n v="3"/>
    <n v="0"/>
    <n v="87921"/>
    <x v="0"/>
    <n v="22"/>
    <s v="Senior Bi Developer"/>
    <s v="MA"/>
    <n v="2056"/>
    <d v="1968-01-15T00:00:00"/>
    <x v="0"/>
    <x v="0"/>
    <s v="Single"/>
    <s v="US Citizen"/>
    <s v="No"/>
    <s v="Asian"/>
    <d v="2017-10-02T00:00:00"/>
    <m/>
    <s v="N/A-StillEmployed"/>
    <s v="Active"/>
    <x v="1"/>
    <s v="Brian Champaigne"/>
    <x v="2"/>
    <x v="1"/>
    <n v="5"/>
    <n v="3"/>
    <n v="6"/>
    <d v="2019-02-25T00:00:00"/>
    <n v="17"/>
    <n v="52"/>
    <n v="2"/>
    <n v="13"/>
    <x v="0"/>
    <n v="1"/>
  </r>
  <r>
    <s v="Ndzi, Colombui"/>
    <n v="10215"/>
    <n v="0"/>
    <n v="0"/>
    <n v="1"/>
    <n v="5"/>
    <n v="5"/>
    <n v="3"/>
    <n v="1"/>
    <n v="50470"/>
    <x v="1"/>
    <n v="19"/>
    <s v="Production Technician I"/>
    <s v="MA"/>
    <n v="2110"/>
    <d v="1983-05-16T00:00:00"/>
    <x v="0"/>
    <x v="0"/>
    <s v="Single"/>
    <s v="US Citizen"/>
    <s v="No"/>
    <s v="Black or African American"/>
    <d v="2011-09-26T00:00:00"/>
    <d v="2014-04-04T00:00:00"/>
    <s v="return to school"/>
    <s v="Voluntarily Terminated"/>
    <x v="0"/>
    <s v="Webster Butler"/>
    <x v="3"/>
    <x v="1"/>
    <n v="4.3"/>
    <n v="3"/>
    <n v="0"/>
    <d v="2013-02-03T00:00:00"/>
    <n v="19"/>
    <n v="31"/>
    <n v="3"/>
    <n v="39"/>
    <x v="5"/>
    <n v="1"/>
  </r>
  <r>
    <s v="Ndzi, Horia"/>
    <n v="10185"/>
    <n v="1"/>
    <n v="1"/>
    <n v="1"/>
    <n v="5"/>
    <n v="5"/>
    <n v="3"/>
    <n v="0"/>
    <n v="46664"/>
    <x v="1"/>
    <n v="19"/>
    <s v="Production Technician I"/>
    <s v="MA"/>
    <n v="2421"/>
    <d v="1983-06-14T00:00:00"/>
    <x v="0"/>
    <x v="0"/>
    <s v="Married"/>
    <s v="US Citizen"/>
    <s v="No"/>
    <s v="White"/>
    <d v="2013-01-04T00:00:00"/>
    <d v="2016-05-25T00:00:00"/>
    <s v="more money"/>
    <s v="Voluntarily Terminated"/>
    <x v="0"/>
    <s v="Amy Dunn"/>
    <x v="5"/>
    <x v="1"/>
    <n v="3.18"/>
    <n v="3"/>
    <n v="0"/>
    <d v="2016-06-03T00:00:00"/>
    <n v="10"/>
    <n v="33"/>
    <n v="3"/>
    <n v="11"/>
    <x v="2"/>
    <n v="1"/>
  </r>
  <r>
    <s v="Newman, Richard"/>
    <n v="10063"/>
    <n v="1"/>
    <n v="1"/>
    <n v="1"/>
    <n v="3"/>
    <n v="5"/>
    <n v="3"/>
    <n v="0"/>
    <n v="48495"/>
    <x v="0"/>
    <n v="19"/>
    <s v="Production Technician I"/>
    <s v="MA"/>
    <n v="2136"/>
    <d v="1985-03-15T00:00:00"/>
    <x v="0"/>
    <x v="0"/>
    <s v="Married"/>
    <s v="US Citizen"/>
    <s v="No"/>
    <s v="White"/>
    <d v="2014-12-05T00:00:00"/>
    <m/>
    <s v="N/A-StillEmployed"/>
    <s v="Active"/>
    <x v="0"/>
    <s v="Ketsia Liebig"/>
    <x v="0"/>
    <x v="1"/>
    <n v="5"/>
    <n v="5"/>
    <n v="0"/>
    <d v="2019-02-18T00:00:00"/>
    <n v="11"/>
    <n v="35"/>
    <n v="5"/>
    <n v="19"/>
    <x v="0"/>
    <n v="1"/>
  </r>
  <r>
    <s v="Ngodup, Shari"/>
    <n v="10037"/>
    <n v="0"/>
    <n v="3"/>
    <n v="0"/>
    <n v="1"/>
    <n v="5"/>
    <n v="4"/>
    <n v="1"/>
    <n v="52984"/>
    <x v="0"/>
    <n v="19"/>
    <s v="Production Technician I"/>
    <s v="MA"/>
    <n v="1810"/>
    <d v="1969-03-31T00:00:00"/>
    <x v="0"/>
    <x v="1"/>
    <s v="Separated"/>
    <s v="US Citizen"/>
    <s v="No"/>
    <s v="Black or African American"/>
    <d v="2013-01-04T00:00:00"/>
    <m/>
    <s v="N/A-StillEmployed"/>
    <s v="Active"/>
    <x v="0"/>
    <s v="Brannon Miller"/>
    <x v="3"/>
    <x v="0"/>
    <n v="4"/>
    <n v="3"/>
    <n v="0"/>
    <d v="2019-02-13T00:00:00"/>
    <n v="12"/>
    <n v="51"/>
    <n v="7"/>
    <n v="12"/>
    <x v="0"/>
    <n v="1"/>
  </r>
  <r>
    <s v="Nguyen, Dheepa"/>
    <n v="10042"/>
    <n v="0"/>
    <n v="0"/>
    <n v="0"/>
    <n v="1"/>
    <n v="6"/>
    <n v="3"/>
    <n v="0"/>
    <n v="63695"/>
    <x v="0"/>
    <n v="3"/>
    <s v="Area Sales Manager"/>
    <s v="GA"/>
    <n v="30428"/>
    <d v="1991-05-23T00:00:00"/>
    <x v="0"/>
    <x v="1"/>
    <s v="Single"/>
    <s v="US Citizen"/>
    <s v="No"/>
    <s v="Two or more races"/>
    <d v="2013-08-07T00:00:00"/>
    <m/>
    <s v="N/A-StillEmployed"/>
    <s v="Active"/>
    <x v="4"/>
    <s v="Lynn Daneault"/>
    <x v="2"/>
    <x v="1"/>
    <n v="5"/>
    <n v="5"/>
    <n v="0"/>
    <d v="2019-01-25T00:00:00"/>
    <n v="2"/>
    <n v="29"/>
    <n v="6"/>
    <n v="21"/>
    <x v="0"/>
    <n v="1"/>
  </r>
  <r>
    <s v="Nguyen, Lei-Ming"/>
    <n v="10206"/>
    <n v="0"/>
    <n v="0"/>
    <n v="0"/>
    <n v="1"/>
    <n v="5"/>
    <n v="3"/>
    <n v="0"/>
    <n v="62061"/>
    <x v="0"/>
    <n v="19"/>
    <s v="Production Technician I"/>
    <s v="MA"/>
    <n v="2132"/>
    <d v="1987-01-31T00:00:00"/>
    <x v="0"/>
    <x v="1"/>
    <s v="Single"/>
    <s v="US Citizen"/>
    <s v="No"/>
    <s v="White"/>
    <d v="2013-08-07T00:00:00"/>
    <m/>
    <s v="N/A-StillEmployed"/>
    <s v="Active"/>
    <x v="0"/>
    <s v="David Stanley"/>
    <x v="0"/>
    <x v="1"/>
    <n v="3.6"/>
    <n v="5"/>
    <n v="0"/>
    <d v="2019-02-01T00:00:00"/>
    <n v="4"/>
    <n v="33"/>
    <n v="6"/>
    <n v="14"/>
    <x v="0"/>
    <n v="1"/>
  </r>
  <r>
    <s v="Nowlan, Kristie"/>
    <n v="10104"/>
    <n v="0"/>
    <n v="0"/>
    <n v="0"/>
    <n v="1"/>
    <n v="5"/>
    <n v="3"/>
    <n v="0"/>
    <n v="66738"/>
    <x v="0"/>
    <n v="20"/>
    <s v="Production Technician Ii"/>
    <s v="MA"/>
    <n v="1040"/>
    <d v="1955-11-14T00:00:00"/>
    <x v="1"/>
    <x v="1"/>
    <s v="Single"/>
    <s v="US Citizen"/>
    <s v="No"/>
    <s v="White"/>
    <d v="2014-10-11T00:00:00"/>
    <m/>
    <s v="N/A-StillEmployed"/>
    <s v="Active"/>
    <x v="0"/>
    <s v="Elijiah Gray"/>
    <x v="2"/>
    <x v="1"/>
    <n v="4.53"/>
    <n v="5"/>
    <n v="0"/>
    <d v="2019-01-16T00:00:00"/>
    <n v="5"/>
    <n v="64"/>
    <n v="5"/>
    <n v="16"/>
    <x v="0"/>
    <n v="1"/>
  </r>
  <r>
    <s v="O'Hare, Lynn"/>
    <n v="10303"/>
    <n v="0"/>
    <n v="0"/>
    <n v="0"/>
    <n v="4"/>
    <n v="5"/>
    <n v="1"/>
    <n v="0"/>
    <n v="52674"/>
    <x v="1"/>
    <n v="19"/>
    <s v="Production Technician I"/>
    <s v="MA"/>
    <n v="2152"/>
    <d v="1987-05-24T00:00:00"/>
    <x v="0"/>
    <x v="1"/>
    <s v="Single"/>
    <s v="US Citizen"/>
    <s v="No"/>
    <s v="Two or more races"/>
    <d v="2014-03-31T00:00:00"/>
    <d v="2018-01-05T00:00:00"/>
    <s v="performance"/>
    <s v="Terminated for Cause"/>
    <x v="0"/>
    <s v="Kissy Sullivan"/>
    <x v="0"/>
    <x v="3"/>
    <n v="2.33"/>
    <n v="2"/>
    <n v="0"/>
    <d v="2018-09-03T00:00:00"/>
    <n v="3"/>
    <n v="31"/>
    <n v="4"/>
    <n v="20"/>
    <x v="8"/>
    <n v="1"/>
  </r>
  <r>
    <s v="Oliver, Brooke"/>
    <n v="10078"/>
    <n v="1"/>
    <n v="1"/>
    <n v="0"/>
    <n v="5"/>
    <n v="5"/>
    <n v="3"/>
    <n v="0"/>
    <n v="71966"/>
    <x v="1"/>
    <n v="20"/>
    <s v="Production Technician Ii"/>
    <s v="MA"/>
    <n v="2492"/>
    <d v="1983-07-30T00:00:00"/>
    <x v="0"/>
    <x v="1"/>
    <s v="Married"/>
    <s v="US Citizen"/>
    <s v="No"/>
    <s v="Asian"/>
    <d v="2011-05-14T00:00:00"/>
    <d v="2013-08-19T00:00:00"/>
    <s v="unhappy"/>
    <s v="Voluntarily Terminated"/>
    <x v="0"/>
    <s v="Webster Butler"/>
    <x v="0"/>
    <x v="1"/>
    <n v="5"/>
    <n v="3"/>
    <n v="0"/>
    <d v="2013-02-07T00:00:00"/>
    <n v="17"/>
    <n v="30"/>
    <n v="2"/>
    <n v="39"/>
    <x v="6"/>
    <n v="1"/>
  </r>
  <r>
    <s v="Onque, Jasmine"/>
    <n v="10121"/>
    <n v="0"/>
    <n v="0"/>
    <n v="0"/>
    <n v="1"/>
    <n v="6"/>
    <n v="3"/>
    <n v="0"/>
    <n v="63051"/>
    <x v="0"/>
    <n v="3"/>
    <s v="Area Sales Manager"/>
    <s v="FL"/>
    <n v="33174"/>
    <d v="1985-04-20T00:00:00"/>
    <x v="0"/>
    <x v="1"/>
    <s v="Single"/>
    <s v="US Citizen"/>
    <s v="Yes"/>
    <s v="White"/>
    <d v="2013-09-30T00:00:00"/>
    <m/>
    <s v="N/A-StillEmployed"/>
    <s v="Active"/>
    <x v="4"/>
    <s v="Lynn Daneault"/>
    <x v="2"/>
    <x v="1"/>
    <n v="4.28"/>
    <n v="3"/>
    <n v="0"/>
    <d v="2019-01-25T00:00:00"/>
    <n v="1"/>
    <n v="35"/>
    <n v="6"/>
    <n v="21"/>
    <x v="0"/>
    <n v="1"/>
  </r>
  <r>
    <s v="Osturnka, Adeel"/>
    <n v="10021"/>
    <n v="1"/>
    <n v="1"/>
    <n v="1"/>
    <n v="1"/>
    <n v="5"/>
    <n v="4"/>
    <n v="0"/>
    <n v="47414"/>
    <x v="0"/>
    <n v="19"/>
    <s v="Production Technician I"/>
    <s v="MA"/>
    <n v="2478"/>
    <d v="1979-08-30T00:00:00"/>
    <x v="0"/>
    <x v="0"/>
    <s v="Married"/>
    <s v="US Citizen"/>
    <s v="No"/>
    <s v="White"/>
    <d v="2013-09-30T00:00:00"/>
    <m/>
    <s v="N/A-StillEmployed"/>
    <s v="Active"/>
    <x v="0"/>
    <s v="Kelley Spirea"/>
    <x v="0"/>
    <x v="0"/>
    <n v="5"/>
    <n v="3"/>
    <n v="0"/>
    <d v="2019-07-02T00:00:00"/>
    <n v="13"/>
    <n v="40"/>
    <n v="6"/>
    <n v="18"/>
    <x v="0"/>
    <n v="1"/>
  </r>
  <r>
    <s v="Owad, Clinton"/>
    <n v="10281"/>
    <n v="0"/>
    <n v="0"/>
    <n v="1"/>
    <n v="1"/>
    <n v="5"/>
    <n v="2"/>
    <n v="0"/>
    <n v="53060"/>
    <x v="0"/>
    <n v="19"/>
    <s v="Production Technician I"/>
    <s v="MA"/>
    <n v="1760"/>
    <d v="1979-02-24T00:00:00"/>
    <x v="0"/>
    <x v="0"/>
    <s v="Single"/>
    <s v="US Citizen"/>
    <s v="No"/>
    <s v="Black or African American"/>
    <d v="2014-02-17T00:00:00"/>
    <m/>
    <s v="N/A-StillEmployed"/>
    <s v="Active"/>
    <x v="0"/>
    <s v="Michael Albert"/>
    <x v="0"/>
    <x v="2"/>
    <n v="4.25"/>
    <n v="3"/>
    <n v="0"/>
    <d v="2019-04-02T00:00:00"/>
    <n v="6"/>
    <n v="41"/>
    <n v="6"/>
    <n v="22"/>
    <x v="0"/>
    <n v="1"/>
  </r>
  <r>
    <s v="Ozark, Travis"/>
    <n v="10041"/>
    <n v="0"/>
    <n v="0"/>
    <n v="1"/>
    <n v="1"/>
    <n v="6"/>
    <n v="3"/>
    <n v="0"/>
    <n v="68829"/>
    <x v="0"/>
    <n v="3"/>
    <s v="Area Sales Manager"/>
    <s v="NC"/>
    <n v="27229"/>
    <d v="1978-08-17T00:00:00"/>
    <x v="0"/>
    <x v="0"/>
    <s v="Single"/>
    <s v="US Citizen"/>
    <s v="No"/>
    <s v="White"/>
    <d v="2015-05-01T00:00:00"/>
    <m/>
    <s v="N/A-StillEmployed"/>
    <s v="Active"/>
    <x v="4"/>
    <s v="John Smith"/>
    <x v="7"/>
    <x v="1"/>
    <n v="5"/>
    <n v="5"/>
    <n v="0"/>
    <d v="2019-01-14T00:00:00"/>
    <n v="18"/>
    <n v="41"/>
    <n v="5"/>
    <n v="17"/>
    <x v="0"/>
    <n v="1"/>
  </r>
  <r>
    <s v="Panjwani, Nina"/>
    <n v="10148"/>
    <n v="1"/>
    <n v="1"/>
    <n v="0"/>
    <n v="5"/>
    <n v="5"/>
    <n v="3"/>
    <n v="0"/>
    <n v="63515"/>
    <x v="1"/>
    <n v="19"/>
    <s v="Production Technician I"/>
    <s v="MA"/>
    <n v="2351"/>
    <d v="1979-01-05T00:00:00"/>
    <x v="0"/>
    <x v="1"/>
    <s v="Married"/>
    <s v="US Citizen"/>
    <s v="No"/>
    <s v="White"/>
    <d v="2011-07-02T00:00:00"/>
    <d v="2014-12-01T00:00:00"/>
    <s v="Another position"/>
    <s v="Voluntarily Terminated"/>
    <x v="0"/>
    <s v="Elijiah Gray"/>
    <x v="4"/>
    <x v="1"/>
    <n v="3.89"/>
    <n v="4"/>
    <n v="0"/>
    <d v="2013-04-03T00:00:00"/>
    <n v="7"/>
    <n v="36"/>
    <n v="3"/>
    <n v="16"/>
    <x v="5"/>
    <n v="1"/>
  </r>
  <r>
    <s v="Patronick, Lucas"/>
    <n v="10005"/>
    <n v="0"/>
    <n v="0"/>
    <n v="1"/>
    <n v="5"/>
    <n v="4"/>
    <n v="4"/>
    <n v="1"/>
    <n v="108987"/>
    <x v="1"/>
    <n v="24"/>
    <s v="Software Engineer"/>
    <s v="MA"/>
    <n v="1844"/>
    <d v="1979-02-20T00:00:00"/>
    <x v="0"/>
    <x v="0"/>
    <s v="Single"/>
    <s v="US Citizen"/>
    <s v="No"/>
    <s v="Black or African American"/>
    <d v="2011-07-11T00:00:00"/>
    <d v="2015-07-09T00:00:00"/>
    <s v="Another position"/>
    <s v="Voluntarily Terminated"/>
    <x v="2"/>
    <s v="Alex Sweetwater"/>
    <x v="3"/>
    <x v="0"/>
    <n v="5"/>
    <n v="5"/>
    <n v="3"/>
    <d v="2015-08-16T00:00:00"/>
    <n v="13"/>
    <n v="36"/>
    <n v="4"/>
    <n v="10"/>
    <x v="3"/>
    <n v="1"/>
  </r>
  <r>
    <s v="Pearson, Randall"/>
    <n v="10259"/>
    <n v="1"/>
    <n v="1"/>
    <n v="1"/>
    <n v="5"/>
    <n v="3"/>
    <n v="3"/>
    <n v="0"/>
    <n v="93093"/>
    <x v="1"/>
    <n v="9"/>
    <s v="Data Analyst"/>
    <s v="MA"/>
    <n v="2747"/>
    <d v="1988-03-17T00:00:00"/>
    <x v="0"/>
    <x v="0"/>
    <s v="Married"/>
    <s v="US Citizen"/>
    <s v="No"/>
    <s v="White"/>
    <d v="2014-01-12T00:00:00"/>
    <d v="2016-01-05T00:00:00"/>
    <s v="performance"/>
    <s v="Voluntarily Terminated"/>
    <x v="1"/>
    <s v="Simon Roup"/>
    <x v="5"/>
    <x v="1"/>
    <n v="4.7"/>
    <n v="4"/>
    <n v="5"/>
    <d v="2019-01-16T00:00:00"/>
    <n v="19"/>
    <n v="28"/>
    <n v="2"/>
    <n v="4"/>
    <x v="2"/>
    <n v="1"/>
  </r>
  <r>
    <s v="Smith, Martin"/>
    <n v="10286"/>
    <n v="0"/>
    <n v="0"/>
    <n v="1"/>
    <n v="5"/>
    <n v="5"/>
    <n v="2"/>
    <n v="0"/>
    <n v="53564"/>
    <x v="1"/>
    <n v="19"/>
    <s v="Production Technician I"/>
    <s v="MA"/>
    <n v="2458"/>
    <d v="1989-07-18T00:00:00"/>
    <x v="0"/>
    <x v="0"/>
    <s v="Single"/>
    <s v="US Citizen"/>
    <s v="No"/>
    <s v="Black or African American"/>
    <d v="2011-10-01T00:00:00"/>
    <d v="2017-12-28T00:00:00"/>
    <s v="career change"/>
    <s v="Voluntarily Terminated"/>
    <x v="0"/>
    <s v="Webster Butler"/>
    <x v="4"/>
    <x v="2"/>
    <n v="3.54"/>
    <n v="5"/>
    <n v="0"/>
    <d v="2017-06-04T00:00:00"/>
    <n v="15"/>
    <n v="28"/>
    <n v="6"/>
    <n v="39"/>
    <x v="1"/>
    <n v="1"/>
  </r>
  <r>
    <s v="Pelletier, Ermine"/>
    <n v="10297"/>
    <n v="1"/>
    <n v="1"/>
    <n v="0"/>
    <n v="5"/>
    <n v="5"/>
    <n v="2"/>
    <n v="0"/>
    <n v="60270"/>
    <x v="1"/>
    <n v="20"/>
    <s v="Production Technician Ii"/>
    <s v="MA"/>
    <n v="2472"/>
    <d v="1986-07-20T00:00:00"/>
    <x v="0"/>
    <x v="1"/>
    <s v="Married"/>
    <s v="US Citizen"/>
    <s v="No"/>
    <s v="Asian"/>
    <d v="2011-05-07T00:00:00"/>
    <d v="2015-09-15T00:00:00"/>
    <s v="unhappy"/>
    <s v="Voluntarily Terminated"/>
    <x v="0"/>
    <s v="Amy Dunn"/>
    <x v="6"/>
    <x v="2"/>
    <n v="2.4"/>
    <n v="5"/>
    <n v="0"/>
    <d v="2015-06-02T00:00:00"/>
    <n v="2"/>
    <n v="29"/>
    <n v="4"/>
    <n v="11"/>
    <x v="3"/>
    <n v="1"/>
  </r>
  <r>
    <s v="Perry, Shakira"/>
    <n v="10171"/>
    <n v="0"/>
    <n v="0"/>
    <n v="0"/>
    <n v="5"/>
    <n v="5"/>
    <n v="3"/>
    <n v="0"/>
    <n v="45998"/>
    <x v="1"/>
    <n v="19"/>
    <s v="Production Technician I"/>
    <s v="MA"/>
    <n v="2176"/>
    <d v="1986-08-17T00:00:00"/>
    <x v="0"/>
    <x v="1"/>
    <s v="Single"/>
    <s v="US Citizen"/>
    <s v="No"/>
    <s v="White"/>
    <d v="2011-05-16T00:00:00"/>
    <d v="2015-10-25T00:00:00"/>
    <s v="medical issues"/>
    <s v="Voluntarily Terminated"/>
    <x v="0"/>
    <s v="Amy Dunn"/>
    <x v="0"/>
    <x v="1"/>
    <n v="3.45"/>
    <n v="4"/>
    <n v="0"/>
    <d v="2014-05-13T00:00:00"/>
    <n v="5"/>
    <n v="29"/>
    <n v="4"/>
    <n v="11"/>
    <x v="3"/>
    <n v="1"/>
  </r>
  <r>
    <s v="Peters, Lauren"/>
    <n v="10032"/>
    <n v="1"/>
    <n v="1"/>
    <n v="0"/>
    <n v="5"/>
    <n v="5"/>
    <n v="4"/>
    <n v="0"/>
    <n v="57954"/>
    <x v="1"/>
    <n v="20"/>
    <s v="Production Technician Ii"/>
    <s v="MA"/>
    <n v="1886"/>
    <d v="1984-09-16T00:00:00"/>
    <x v="0"/>
    <x v="1"/>
    <s v="Married"/>
    <s v="US Citizen"/>
    <s v="No"/>
    <s v="White"/>
    <d v="2011-05-16T00:00:00"/>
    <d v="2013-04-02T00:00:00"/>
    <s v="more money"/>
    <s v="Voluntarily Terminated"/>
    <x v="0"/>
    <s v="Ketsia Liebig"/>
    <x v="2"/>
    <x v="0"/>
    <n v="4.2"/>
    <n v="5"/>
    <n v="0"/>
    <d v="2013-10-01T00:00:00"/>
    <n v="12"/>
    <n v="29"/>
    <n v="2"/>
    <n v="19"/>
    <x v="6"/>
    <n v="1"/>
  </r>
  <r>
    <s v="Peterson, Ebonee"/>
    <n v="10130"/>
    <n v="1"/>
    <n v="1"/>
    <n v="0"/>
    <n v="5"/>
    <n v="5"/>
    <n v="3"/>
    <n v="0"/>
    <n v="74669"/>
    <x v="1"/>
    <n v="18"/>
    <s v="Production Manager"/>
    <s v="MA"/>
    <n v="2030"/>
    <d v="1981-11-23T00:00:00"/>
    <x v="0"/>
    <x v="1"/>
    <s v="Married"/>
    <s v="US Citizen"/>
    <s v="No"/>
    <s v="White"/>
    <d v="2010-10-25T00:00:00"/>
    <d v="2016-08-15T00:00:00"/>
    <s v="Another position"/>
    <s v="Voluntarily Terminated"/>
    <x v="0"/>
    <s v="Janet King"/>
    <x v="2"/>
    <x v="1"/>
    <n v="4.16"/>
    <n v="5"/>
    <n v="0"/>
    <d v="2015-05-03T00:00:00"/>
    <n v="6"/>
    <n v="35"/>
    <n v="6"/>
    <n v="2"/>
    <x v="2"/>
    <n v="1"/>
  </r>
  <r>
    <s v="Petingill, Shana"/>
    <n v="10217"/>
    <n v="1"/>
    <n v="1"/>
    <n v="0"/>
    <n v="1"/>
    <n v="5"/>
    <n v="3"/>
    <n v="0"/>
    <n v="74226"/>
    <x v="0"/>
    <n v="20"/>
    <s v="Production Technician Ii"/>
    <s v="MA"/>
    <n v="2050"/>
    <d v="1988-08-29T00:00:00"/>
    <x v="0"/>
    <x v="1"/>
    <s v="Married"/>
    <s v="Eligible NonCitizen"/>
    <s v="No"/>
    <s v="Asian"/>
    <d v="2012-02-04T00:00:00"/>
    <m/>
    <s v="N/A-StillEmployed"/>
    <s v="Active"/>
    <x v="0"/>
    <s v="Brannon Miller"/>
    <x v="0"/>
    <x v="1"/>
    <n v="4.3"/>
    <n v="3"/>
    <n v="0"/>
    <d v="2019-01-14T00:00:00"/>
    <n v="14"/>
    <n v="31"/>
    <n v="8"/>
    <n v="12"/>
    <x v="0"/>
    <n v="1"/>
  </r>
  <r>
    <s v="Petrowsky, Thelma"/>
    <n v="10016"/>
    <n v="1"/>
    <n v="1"/>
    <n v="0"/>
    <n v="1"/>
    <n v="3"/>
    <n v="4"/>
    <n v="0"/>
    <n v="93554"/>
    <x v="0"/>
    <n v="9"/>
    <s v="Data Analyst"/>
    <s v="MA"/>
    <n v="1886"/>
    <d v="1984-10-15T00:00:00"/>
    <x v="0"/>
    <x v="1"/>
    <s v="Married"/>
    <s v="US Citizen"/>
    <s v="No"/>
    <s v="Black or African American"/>
    <d v="2014-10-11T00:00:00"/>
    <m/>
    <s v="N/A-StillEmployed"/>
    <s v="Active"/>
    <x v="1"/>
    <s v="Simon Roup"/>
    <x v="5"/>
    <x v="0"/>
    <n v="4.5999999999999996"/>
    <n v="5"/>
    <n v="7"/>
    <d v="2019-04-01T00:00:00"/>
    <n v="16"/>
    <n v="35"/>
    <n v="5"/>
    <n v="4"/>
    <x v="0"/>
    <n v="1"/>
  </r>
  <r>
    <s v="Pham, Hong"/>
    <n v="10050"/>
    <n v="1"/>
    <n v="1"/>
    <n v="1"/>
    <n v="5"/>
    <n v="5"/>
    <n v="3"/>
    <n v="0"/>
    <n v="64724"/>
    <x v="1"/>
    <n v="19"/>
    <s v="Production Technician I"/>
    <s v="MA"/>
    <n v="2451"/>
    <d v="1961-06-19T00:00:00"/>
    <x v="1"/>
    <x v="0"/>
    <s v="Married"/>
    <s v="US Citizen"/>
    <s v="No"/>
    <s v="Asian"/>
    <d v="2011-05-07T00:00:00"/>
    <d v="2012-11-30T00:00:00"/>
    <s v="more money"/>
    <s v="Voluntarily Terminated"/>
    <x v="0"/>
    <s v="Brannon Miller"/>
    <x v="4"/>
    <x v="1"/>
    <n v="5"/>
    <n v="3"/>
    <n v="0"/>
    <d v="2012-02-20T00:00:00"/>
    <n v="13"/>
    <n v="51"/>
    <n v="2"/>
    <n v="12"/>
    <x v="4"/>
    <n v="1"/>
  </r>
  <r>
    <s v="Pitt, Brad"/>
    <n v="10164"/>
    <n v="0"/>
    <n v="0"/>
    <n v="1"/>
    <n v="1"/>
    <n v="5"/>
    <n v="3"/>
    <n v="0"/>
    <n v="47001"/>
    <x v="0"/>
    <n v="19"/>
    <s v="Production Technician I"/>
    <s v="MA"/>
    <n v="2451"/>
    <d v="1970-09-22T00:00:00"/>
    <x v="0"/>
    <x v="0"/>
    <s v="Single"/>
    <s v="US Citizen"/>
    <s v="No"/>
    <s v="White"/>
    <d v="2007-05-11T00:00:00"/>
    <m/>
    <s v="N/A-StillEmployed"/>
    <s v="Active"/>
    <x v="0"/>
    <s v="David Stanley"/>
    <x v="4"/>
    <x v="1"/>
    <n v="3.66"/>
    <n v="3"/>
    <n v="0"/>
    <d v="2019-02-25T00:00:00"/>
    <n v="15"/>
    <n v="49"/>
    <n v="13"/>
    <n v="14"/>
    <x v="0"/>
    <n v="1"/>
  </r>
  <r>
    <s v="Potts, Xana"/>
    <n v="10124"/>
    <n v="1"/>
    <n v="1"/>
    <n v="0"/>
    <n v="1"/>
    <n v="6"/>
    <n v="3"/>
    <n v="0"/>
    <n v="61844"/>
    <x v="0"/>
    <n v="3"/>
    <s v="Area Sales Manager"/>
    <s v="KY"/>
    <n v="40220"/>
    <d v="1984-12-31T00:00:00"/>
    <x v="0"/>
    <x v="1"/>
    <s v="Married"/>
    <s v="US Citizen"/>
    <s v="No"/>
    <s v="Black or African American"/>
    <d v="2012-09-01T00:00:00"/>
    <m/>
    <s v="N/A-StillEmployed"/>
    <s v="Active"/>
    <x v="4"/>
    <s v="Lynn Daneault"/>
    <x v="7"/>
    <x v="1"/>
    <n v="4.2"/>
    <n v="5"/>
    <n v="0"/>
    <d v="2019-01-02T00:00:00"/>
    <n v="9"/>
    <n v="35"/>
    <n v="7"/>
    <n v="21"/>
    <x v="0"/>
    <n v="1"/>
  </r>
  <r>
    <s v="Power, Morissa"/>
    <n v="10187"/>
    <n v="0"/>
    <n v="2"/>
    <n v="0"/>
    <n v="5"/>
    <n v="5"/>
    <n v="3"/>
    <n v="0"/>
    <n v="46799"/>
    <x v="1"/>
    <n v="19"/>
    <s v="Production Technician I"/>
    <s v="MA"/>
    <n v="1742"/>
    <d v="1982-07-22T00:00:00"/>
    <x v="0"/>
    <x v="1"/>
    <s v="Divorced"/>
    <s v="Eligible NonCitizen"/>
    <s v="No"/>
    <s v="Asian"/>
    <d v="2011-05-16T00:00:00"/>
    <d v="2018-04-06T00:00:00"/>
    <s v="Another position"/>
    <s v="Voluntarily Terminated"/>
    <x v="0"/>
    <s v="Kissy Sullivan"/>
    <x v="4"/>
    <x v="1"/>
    <n v="3.17"/>
    <n v="4"/>
    <n v="0"/>
    <d v="2018-02-04T00:00:00"/>
    <n v="14"/>
    <n v="36"/>
    <n v="7"/>
    <n v="20"/>
    <x v="8"/>
    <n v="1"/>
  </r>
  <r>
    <s v="Punjabhi, Louis"/>
    <n v="10225"/>
    <n v="0"/>
    <n v="0"/>
    <n v="1"/>
    <n v="1"/>
    <n v="5"/>
    <n v="3"/>
    <n v="0"/>
    <n v="59472"/>
    <x v="0"/>
    <n v="19"/>
    <s v="Production Technician I"/>
    <s v="MA"/>
    <n v="2109"/>
    <d v="1985-01-28T00:00:00"/>
    <x v="0"/>
    <x v="0"/>
    <s v="Single"/>
    <s v="US Citizen"/>
    <s v="No"/>
    <s v="White"/>
    <d v="2014-06-01T00:00:00"/>
    <m/>
    <s v="N/A-StillEmployed"/>
    <s v="Active"/>
    <x v="0"/>
    <s v="Kelley Spirea"/>
    <x v="5"/>
    <x v="1"/>
    <n v="4.8"/>
    <n v="3"/>
    <n v="0"/>
    <d v="2019-07-01T00:00:00"/>
    <n v="14"/>
    <n v="35"/>
    <n v="6"/>
    <n v="18"/>
    <x v="0"/>
    <n v="1"/>
  </r>
  <r>
    <s v="Purinton, Janine"/>
    <n v="10262"/>
    <n v="0"/>
    <n v="2"/>
    <n v="0"/>
    <n v="5"/>
    <n v="5"/>
    <n v="3"/>
    <n v="0"/>
    <n v="46430"/>
    <x v="1"/>
    <n v="19"/>
    <s v="Production Technician I"/>
    <s v="MA"/>
    <n v="2474"/>
    <d v="1973-05-27T00:00:00"/>
    <x v="0"/>
    <x v="1"/>
    <s v="Divorced"/>
    <s v="US Citizen"/>
    <s v="No"/>
    <s v="White"/>
    <d v="2012-09-24T00:00:00"/>
    <d v="2013-06-18T00:00:00"/>
    <s v="unhappy"/>
    <s v="Voluntarily Terminated"/>
    <x v="0"/>
    <s v="Kissy Sullivan"/>
    <x v="2"/>
    <x v="1"/>
    <n v="4.5"/>
    <n v="5"/>
    <n v="0"/>
    <d v="2013-02-04T00:00:00"/>
    <n v="16"/>
    <n v="40"/>
    <n v="1"/>
    <n v="20"/>
    <x v="6"/>
    <n v="1"/>
  </r>
  <r>
    <s v="Quinn, Sean"/>
    <n v="10131"/>
    <n v="1"/>
    <n v="1"/>
    <n v="1"/>
    <n v="5"/>
    <n v="1"/>
    <n v="3"/>
    <n v="1"/>
    <n v="83363"/>
    <x v="1"/>
    <n v="23"/>
    <s v="Software Engineer"/>
    <s v="MA"/>
    <n v="2045"/>
    <d v="1972-11-21T00:00:00"/>
    <x v="0"/>
    <x v="0"/>
    <s v="Married"/>
    <s v="Eligible NonCitizen"/>
    <s v="No"/>
    <s v="Black or African American"/>
    <d v="2011-02-21T00:00:00"/>
    <d v="2015-08-15T00:00:00"/>
    <s v="career change"/>
    <s v="Voluntarily Terminated"/>
    <x v="2"/>
    <s v="Janet King"/>
    <x v="3"/>
    <x v="1"/>
    <n v="4.1500000000000004"/>
    <n v="4"/>
    <n v="0"/>
    <d v="2014-04-19T00:00:00"/>
    <n v="4"/>
    <n v="43"/>
    <n v="4"/>
    <n v="2"/>
    <x v="3"/>
    <n v="1"/>
  </r>
  <r>
    <s v="Rachael, Maggie"/>
    <n v="10239"/>
    <n v="1"/>
    <n v="1"/>
    <n v="0"/>
    <n v="1"/>
    <n v="3"/>
    <n v="3"/>
    <n v="0"/>
    <n v="95920"/>
    <x v="0"/>
    <n v="4"/>
    <s v="Bi Developer"/>
    <s v="MA"/>
    <n v="2110"/>
    <d v="1987-03-18T00:00:00"/>
    <x v="0"/>
    <x v="1"/>
    <s v="Married"/>
    <s v="US Citizen"/>
    <s v="No"/>
    <s v="Black or African American"/>
    <d v="2016-02-10T00:00:00"/>
    <m/>
    <s v="N/A-StillEmployed"/>
    <s v="Active"/>
    <x v="1"/>
    <s v="Brian Champaigne"/>
    <x v="2"/>
    <x v="1"/>
    <n v="4.4000000000000004"/>
    <n v="4"/>
    <n v="6"/>
    <d v="2019-06-02T00:00:00"/>
    <n v="10"/>
    <n v="33"/>
    <n v="4"/>
    <n v="13"/>
    <x v="0"/>
    <n v="1"/>
  </r>
  <r>
    <s v="Rarrick, Quinn"/>
    <n v="10152"/>
    <n v="0"/>
    <n v="2"/>
    <n v="1"/>
    <n v="5"/>
    <n v="5"/>
    <n v="3"/>
    <n v="0"/>
    <n v="61729"/>
    <x v="1"/>
    <n v="19"/>
    <s v="Production Technician I"/>
    <s v="MA"/>
    <n v="2478"/>
    <d v="1986-07-24T00:00:00"/>
    <x v="0"/>
    <x v="0"/>
    <s v="Divorced"/>
    <s v="US Citizen"/>
    <s v="No"/>
    <s v="White"/>
    <d v="2011-09-26T00:00:00"/>
    <d v="2018-07-04T00:00:00"/>
    <s v="more money"/>
    <s v="Voluntarily Terminated"/>
    <x v="0"/>
    <s v="Michael Albert"/>
    <x v="2"/>
    <x v="1"/>
    <n v="3.8"/>
    <n v="5"/>
    <n v="0"/>
    <d v="2018-04-02T00:00:00"/>
    <n v="19"/>
    <n v="32"/>
    <n v="7"/>
    <n v="22"/>
    <x v="8"/>
    <n v="1"/>
  </r>
  <r>
    <s v="Ren, Kylo"/>
    <n v="10140"/>
    <n v="1"/>
    <n v="1"/>
    <n v="1"/>
    <n v="1"/>
    <n v="6"/>
    <n v="3"/>
    <n v="0"/>
    <n v="61809"/>
    <x v="0"/>
    <n v="3"/>
    <s v="Area Sales Manager"/>
    <s v="ID"/>
    <n v="83706"/>
    <d v="1974-12-21T00:00:00"/>
    <x v="0"/>
    <x v="0"/>
    <s v="Married"/>
    <s v="US Citizen"/>
    <s v="No"/>
    <s v="White"/>
    <d v="2014-12-05T00:00:00"/>
    <m/>
    <s v="N/A-StillEmployed"/>
    <s v="Active"/>
    <x v="4"/>
    <s v="John Smith"/>
    <x v="6"/>
    <x v="1"/>
    <n v="3.98"/>
    <n v="3"/>
    <n v="0"/>
    <d v="2019-01-28T00:00:00"/>
    <n v="4"/>
    <n v="45"/>
    <n v="5"/>
    <n v="17"/>
    <x v="0"/>
    <n v="1"/>
  </r>
  <r>
    <s v="Rhoads, Thomas"/>
    <n v="10058"/>
    <n v="0"/>
    <n v="2"/>
    <n v="1"/>
    <n v="5"/>
    <n v="5"/>
    <n v="3"/>
    <n v="0"/>
    <n v="45115"/>
    <x v="1"/>
    <n v="19"/>
    <s v="Production Technician I"/>
    <s v="MA"/>
    <n v="2176"/>
    <d v="1986-04-26T00:00:00"/>
    <x v="0"/>
    <x v="0"/>
    <s v="Divorced"/>
    <s v="US Citizen"/>
    <s v="Yes"/>
    <s v="White"/>
    <d v="2011-05-16T00:00:00"/>
    <d v="2016-01-15T00:00:00"/>
    <s v="retiring"/>
    <s v="Voluntarily Terminated"/>
    <x v="0"/>
    <s v="Elijiah Gray"/>
    <x v="0"/>
    <x v="1"/>
    <n v="5"/>
    <n v="4"/>
    <n v="0"/>
    <d v="2015-03-30T00:00:00"/>
    <n v="11"/>
    <n v="30"/>
    <n v="5"/>
    <n v="16"/>
    <x v="2"/>
    <n v="1"/>
  </r>
  <r>
    <s v="Rivera, Haley"/>
    <n v="10011"/>
    <n v="1"/>
    <n v="1"/>
    <n v="0"/>
    <n v="1"/>
    <n v="5"/>
    <n v="4"/>
    <n v="0"/>
    <n v="46738"/>
    <x v="0"/>
    <n v="19"/>
    <s v="Production Technician I"/>
    <s v="MA"/>
    <n v="2171"/>
    <d v="1987-12-17T00:00:00"/>
    <x v="0"/>
    <x v="1"/>
    <s v="Married"/>
    <s v="US Citizen"/>
    <s v="No"/>
    <s v="Asian"/>
    <d v="2011-11-28T00:00:00"/>
    <m/>
    <s v="N/A-StillEmployed"/>
    <s v="Active"/>
    <x v="0"/>
    <s v="Webster Butler"/>
    <x v="4"/>
    <x v="0"/>
    <n v="4.3600000000000003"/>
    <n v="5"/>
    <n v="0"/>
    <d v="2019-11-02T00:00:00"/>
    <n v="16"/>
    <n v="32"/>
    <n v="8"/>
    <n v="39"/>
    <x v="0"/>
    <n v="1"/>
  </r>
  <r>
    <s v="Roberson, May"/>
    <n v="10230"/>
    <n v="0"/>
    <n v="2"/>
    <n v="0"/>
    <n v="5"/>
    <n v="5"/>
    <n v="3"/>
    <n v="0"/>
    <n v="64971"/>
    <x v="1"/>
    <n v="20"/>
    <s v="Production Technician Ii"/>
    <s v="MA"/>
    <n v="1902"/>
    <d v="1981-04-14T00:00:00"/>
    <x v="0"/>
    <x v="1"/>
    <s v="Divorced"/>
    <s v="Eligible NonCitizen"/>
    <s v="No"/>
    <s v="Black or African American"/>
    <d v="2011-09-26T00:00:00"/>
    <d v="2011-10-22T00:00:00"/>
    <s v="return to school"/>
    <s v="Voluntarily Terminated"/>
    <x v="0"/>
    <s v="David Stanley"/>
    <x v="4"/>
    <x v="1"/>
    <n v="4.5"/>
    <n v="4"/>
    <n v="0"/>
    <d v="2011-10-22T00:00:00"/>
    <n v="10"/>
    <n v="31"/>
    <n v="0"/>
    <n v="14"/>
    <x v="7"/>
    <n v="1"/>
  </r>
  <r>
    <s v="Robertson, Peter"/>
    <n v="10224"/>
    <n v="1"/>
    <n v="1"/>
    <n v="1"/>
    <n v="5"/>
    <n v="5"/>
    <n v="3"/>
    <n v="0"/>
    <n v="55578"/>
    <x v="1"/>
    <n v="20"/>
    <s v="Production Technician Ii"/>
    <s v="MA"/>
    <n v="2138"/>
    <d v="1985-08-24T00:00:00"/>
    <x v="0"/>
    <x v="0"/>
    <s v="Married"/>
    <s v="US Citizen"/>
    <s v="No"/>
    <s v="White"/>
    <d v="2011-05-07T00:00:00"/>
    <d v="2012-08-02T00:00:00"/>
    <s v="Another position"/>
    <s v="Voluntarily Terminated"/>
    <x v="0"/>
    <s v="Kissy Sullivan"/>
    <x v="2"/>
    <x v="1"/>
    <n v="4.2"/>
    <n v="5"/>
    <n v="0"/>
    <d v="2012-06-01T00:00:00"/>
    <n v="13"/>
    <n v="27"/>
    <n v="1"/>
    <n v="20"/>
    <x v="4"/>
    <n v="1"/>
  </r>
  <r>
    <s v="Robinson, Alain"/>
    <n v="10047"/>
    <n v="1"/>
    <n v="1"/>
    <n v="1"/>
    <n v="5"/>
    <n v="5"/>
    <n v="3"/>
    <n v="0"/>
    <n v="50428"/>
    <x v="1"/>
    <n v="19"/>
    <s v="Production Technician I"/>
    <s v="MA"/>
    <n v="1420"/>
    <d v="1988-05-19T00:00:00"/>
    <x v="0"/>
    <x v="0"/>
    <s v="Married"/>
    <s v="US Citizen"/>
    <s v="No"/>
    <s v="Black or African American"/>
    <d v="2011-10-01T00:00:00"/>
    <d v="2016-01-26T00:00:00"/>
    <s v="attendance"/>
    <s v="Voluntarily Terminated"/>
    <x v="0"/>
    <s v="Amy Dunn"/>
    <x v="2"/>
    <x v="1"/>
    <n v="5"/>
    <n v="3"/>
    <n v="0"/>
    <d v="2015-10-01T00:00:00"/>
    <n v="11"/>
    <n v="28"/>
    <n v="4"/>
    <n v="11"/>
    <x v="2"/>
    <n v="1"/>
  </r>
  <r>
    <s v="Robinson, Cherly"/>
    <n v="10285"/>
    <n v="1"/>
    <n v="1"/>
    <n v="0"/>
    <n v="4"/>
    <n v="5"/>
    <n v="2"/>
    <n v="0"/>
    <n v="61422"/>
    <x v="1"/>
    <n v="19"/>
    <s v="Production Technician I"/>
    <s v="MA"/>
    <n v="1460"/>
    <d v="1987-11-25T00:00:00"/>
    <x v="0"/>
    <x v="1"/>
    <s v="Married"/>
    <s v="US Citizen"/>
    <s v="No"/>
    <s v="White"/>
    <d v="2011-10-01T00:00:00"/>
    <d v="2016-05-17T00:00:00"/>
    <s v="attendance"/>
    <s v="Terminated for Cause"/>
    <x v="0"/>
    <s v="Ketsia Liebig"/>
    <x v="2"/>
    <x v="2"/>
    <n v="3.6"/>
    <n v="3"/>
    <n v="0"/>
    <d v="2016-05-04T00:00:00"/>
    <n v="16"/>
    <n v="28"/>
    <n v="5"/>
    <n v="19"/>
    <x v="2"/>
    <n v="1"/>
  </r>
  <r>
    <s v="Robinson, Elias"/>
    <n v="10020"/>
    <n v="0"/>
    <n v="4"/>
    <n v="1"/>
    <n v="1"/>
    <n v="5"/>
    <n v="4"/>
    <n v="0"/>
    <n v="63353"/>
    <x v="0"/>
    <n v="19"/>
    <s v="Production Technician I"/>
    <s v="MA"/>
    <n v="1730"/>
    <d v="1963-10-30T00:00:00"/>
    <x v="1"/>
    <x v="0"/>
    <s v="Widowed"/>
    <s v="US Citizen"/>
    <s v="No"/>
    <s v="White"/>
    <d v="2013-08-07T00:00:00"/>
    <m/>
    <s v="N/A-StillEmployed"/>
    <s v="Active"/>
    <x v="0"/>
    <s v="Brannon Miller"/>
    <x v="5"/>
    <x v="0"/>
    <n v="3.6"/>
    <n v="5"/>
    <n v="0"/>
    <d v="2019-11-02T00:00:00"/>
    <n v="4"/>
    <n v="56"/>
    <n v="6"/>
    <n v="12"/>
    <x v="0"/>
    <n v="1"/>
  </r>
  <r>
    <s v="Roby, Lori"/>
    <n v="10162"/>
    <n v="1"/>
    <n v="1"/>
    <n v="0"/>
    <n v="1"/>
    <n v="3"/>
    <n v="3"/>
    <n v="0"/>
    <n v="89883"/>
    <x v="0"/>
    <n v="9"/>
    <s v="Data Analyst"/>
    <s v="MA"/>
    <n v="1886"/>
    <d v="1984-08-16T00:00:00"/>
    <x v="0"/>
    <x v="1"/>
    <s v="Married"/>
    <s v="US Citizen"/>
    <s v="No"/>
    <s v="White"/>
    <d v="2015-02-16T00:00:00"/>
    <m/>
    <s v="N/A-StillEmployed"/>
    <s v="Active"/>
    <x v="1"/>
    <s v="Simon Roup"/>
    <x v="5"/>
    <x v="1"/>
    <n v="3.69"/>
    <n v="5"/>
    <n v="6"/>
    <d v="2019-02-14T00:00:00"/>
    <n v="15"/>
    <n v="35"/>
    <n v="5"/>
    <n v="4"/>
    <x v="0"/>
    <n v="1"/>
  </r>
  <r>
    <s v="Roehrich, Bianca"/>
    <n v="10149"/>
    <n v="0"/>
    <n v="0"/>
    <n v="0"/>
    <n v="5"/>
    <n v="3"/>
    <n v="3"/>
    <n v="0"/>
    <n v="120000"/>
    <x v="1"/>
    <n v="29"/>
    <s v="Principal Data Architect"/>
    <s v="MA"/>
    <n v="2703"/>
    <d v="1987-06-14T00:00:00"/>
    <x v="0"/>
    <x v="1"/>
    <s v="Single"/>
    <s v="US Citizen"/>
    <s v="Yes"/>
    <s v="White"/>
    <d v="2015-05-01T00:00:00"/>
    <d v="2018-10-11T00:00:00"/>
    <s v="Another position"/>
    <s v="Voluntarily Terminated"/>
    <x v="1"/>
    <s v="Simon Roup"/>
    <x v="0"/>
    <x v="1"/>
    <n v="3.88"/>
    <n v="3"/>
    <n v="7"/>
    <d v="2018-02-13T00:00:00"/>
    <n v="12"/>
    <n v="31"/>
    <n v="3"/>
    <n v="4"/>
    <x v="8"/>
    <n v="1"/>
  </r>
  <r>
    <s v="Roper, Katie"/>
    <n v="10086"/>
    <n v="0"/>
    <n v="0"/>
    <n v="0"/>
    <n v="1"/>
    <n v="3"/>
    <n v="3"/>
    <n v="0"/>
    <n v="150290"/>
    <x v="0"/>
    <n v="7"/>
    <s v="Data Architect"/>
    <s v="MA"/>
    <n v="2056"/>
    <d v="1968-07-20T00:00:00"/>
    <x v="0"/>
    <x v="1"/>
    <s v="Single"/>
    <s v="US Citizen"/>
    <s v="No"/>
    <s v="Black or African American"/>
    <d v="2017-07-01T00:00:00"/>
    <m/>
    <s v="N/A-StillEmployed"/>
    <s v="Active"/>
    <x v="1"/>
    <s v="Brian Champaigne"/>
    <x v="2"/>
    <x v="1"/>
    <n v="4.9400000000000004"/>
    <n v="3"/>
    <n v="5"/>
    <d v="2019-06-02T00:00:00"/>
    <n v="17"/>
    <n v="51"/>
    <n v="2"/>
    <n v="13"/>
    <x v="0"/>
    <n v="1"/>
  </r>
  <r>
    <s v="Rose, Ashley"/>
    <n v="10054"/>
    <n v="0"/>
    <n v="3"/>
    <n v="0"/>
    <n v="1"/>
    <n v="5"/>
    <n v="3"/>
    <n v="0"/>
    <n v="60627"/>
    <x v="0"/>
    <n v="19"/>
    <s v="Production Technician I"/>
    <s v="MA"/>
    <n v="1886"/>
    <d v="1975-09-30T00:00:00"/>
    <x v="0"/>
    <x v="1"/>
    <s v="Separated"/>
    <s v="US Citizen"/>
    <s v="No"/>
    <s v="White"/>
    <d v="2014-06-01T00:00:00"/>
    <m/>
    <s v="N/A-StillEmployed"/>
    <s v="Active"/>
    <x v="0"/>
    <s v="David Stanley"/>
    <x v="7"/>
    <x v="1"/>
    <n v="5"/>
    <n v="4"/>
    <n v="0"/>
    <d v="2019-01-31T00:00:00"/>
    <n v="8"/>
    <n v="44"/>
    <n v="6"/>
    <n v="14"/>
    <x v="0"/>
    <n v="1"/>
  </r>
  <r>
    <s v="Rossetti, Bruno"/>
    <n v="10065"/>
    <n v="0"/>
    <n v="0"/>
    <n v="1"/>
    <n v="5"/>
    <n v="5"/>
    <n v="3"/>
    <n v="0"/>
    <n v="53180"/>
    <x v="1"/>
    <n v="19"/>
    <s v="Production Technician I"/>
    <s v="MA"/>
    <n v="2155"/>
    <d v="1973-03-26T00:00:00"/>
    <x v="0"/>
    <x v="0"/>
    <s v="Single"/>
    <s v="US Citizen"/>
    <s v="No"/>
    <s v="White"/>
    <d v="2011-04-04T00:00:00"/>
    <d v="2018-08-13T00:00:00"/>
    <s v="Another position"/>
    <s v="Voluntarily Terminated"/>
    <x v="0"/>
    <s v="Kissy Sullivan"/>
    <x v="4"/>
    <x v="1"/>
    <n v="5"/>
    <n v="5"/>
    <n v="0"/>
    <d v="2018-02-07T00:00:00"/>
    <n v="4"/>
    <n v="45"/>
    <n v="7"/>
    <n v="20"/>
    <x v="8"/>
    <n v="1"/>
  </r>
  <r>
    <s v="Roup,Simon"/>
    <n v="10198"/>
    <n v="0"/>
    <n v="0"/>
    <n v="1"/>
    <n v="1"/>
    <n v="3"/>
    <n v="3"/>
    <n v="0"/>
    <n v="140920"/>
    <x v="0"/>
    <n v="13"/>
    <s v="It Manager - Db"/>
    <s v="MA"/>
    <n v="2481"/>
    <d v="1982-08-25T00:00:00"/>
    <x v="0"/>
    <x v="0"/>
    <s v="Single"/>
    <s v="US Citizen"/>
    <s v="No"/>
    <s v="White"/>
    <d v="2013-01-20T00:00:00"/>
    <m/>
    <s v="N/A-StillEmployed"/>
    <s v="Active"/>
    <x v="1"/>
    <s v="Jennifer Zamora"/>
    <x v="2"/>
    <x v="1"/>
    <n v="3.6"/>
    <n v="5"/>
    <n v="7"/>
    <d v="2019-02-18T00:00:00"/>
    <n v="13"/>
    <n v="37"/>
    <n v="7"/>
    <n v="5"/>
    <x v="0"/>
    <n v="1"/>
  </r>
  <r>
    <s v="Ruiz, Ricardo"/>
    <n v="10222"/>
    <n v="0"/>
    <n v="2"/>
    <n v="1"/>
    <n v="5"/>
    <n v="3"/>
    <n v="3"/>
    <n v="1"/>
    <n v="148999"/>
    <x v="1"/>
    <n v="13"/>
    <s v="It Manager - Db"/>
    <s v="MA"/>
    <n v="1915"/>
    <d v="1985-03-14T00:00:00"/>
    <x v="0"/>
    <x v="0"/>
    <s v="Divorced"/>
    <s v="US Citizen"/>
    <s v="No"/>
    <s v="Black or African American"/>
    <d v="2012-09-01T00:00:00"/>
    <d v="2015-04-11T00:00:00"/>
    <s v="hours"/>
    <s v="Voluntarily Terminated"/>
    <x v="1"/>
    <s v="Jennifer Zamora"/>
    <x v="3"/>
    <x v="1"/>
    <n v="4.3"/>
    <n v="4"/>
    <n v="6"/>
    <d v="2015-04-01T00:00:00"/>
    <n v="8"/>
    <n v="30"/>
    <n v="3"/>
    <n v="5"/>
    <x v="3"/>
    <n v="1"/>
  </r>
  <r>
    <s v="Saada, Adell"/>
    <n v="10126"/>
    <n v="1"/>
    <n v="1"/>
    <n v="0"/>
    <n v="1"/>
    <n v="4"/>
    <n v="3"/>
    <n v="0"/>
    <n v="86214"/>
    <x v="0"/>
    <n v="24"/>
    <s v="Software Engineer"/>
    <s v="MA"/>
    <n v="2132"/>
    <d v="1978-03-28T00:00:00"/>
    <x v="0"/>
    <x v="1"/>
    <s v="Married"/>
    <s v="US Citizen"/>
    <s v="No"/>
    <s v="White"/>
    <d v="2012-05-11T00:00:00"/>
    <m/>
    <s v="N/A-StillEmployed"/>
    <s v="Active"/>
    <x v="2"/>
    <s v="Alex Sweetwater"/>
    <x v="2"/>
    <x v="1"/>
    <n v="4.2"/>
    <n v="3"/>
    <n v="6"/>
    <d v="2019-02-13T00:00:00"/>
    <n v="2"/>
    <n v="42"/>
    <n v="8"/>
    <n v="10"/>
    <x v="0"/>
    <n v="1"/>
  </r>
  <r>
    <s v="Saar-Beckles, Melinda"/>
    <n v="10295"/>
    <n v="0"/>
    <n v="0"/>
    <n v="0"/>
    <n v="2"/>
    <n v="5"/>
    <n v="2"/>
    <n v="1"/>
    <n v="47750"/>
    <x v="0"/>
    <n v="19"/>
    <s v="Production Technician I"/>
    <s v="MA"/>
    <n v="1801"/>
    <d v="1968-08-15T00:00:00"/>
    <x v="0"/>
    <x v="1"/>
    <s v="Single"/>
    <s v="US Citizen"/>
    <s v="No"/>
    <s v="Black or African American"/>
    <d v="2016-04-07T00:00:00"/>
    <m/>
    <s v="N/A-StillEmployed"/>
    <s v="Active"/>
    <x v="0"/>
    <s v="Kelley Spirea"/>
    <x v="3"/>
    <x v="2"/>
    <n v="2.6"/>
    <n v="4"/>
    <n v="0"/>
    <d v="2019-02-18T00:00:00"/>
    <n v="4"/>
    <n v="51"/>
    <n v="4"/>
    <n v="18"/>
    <x v="0"/>
    <n v="1"/>
  </r>
  <r>
    <s v="Sadki, Nore"/>
    <n v="10260"/>
    <n v="0"/>
    <n v="0"/>
    <n v="1"/>
    <n v="5"/>
    <n v="5"/>
    <n v="3"/>
    <n v="0"/>
    <n v="46428"/>
    <x v="1"/>
    <n v="19"/>
    <s v="Production Technician I"/>
    <s v="MA"/>
    <n v="2148"/>
    <d v="1987-10-24T00:00:00"/>
    <x v="0"/>
    <x v="0"/>
    <s v="Single"/>
    <s v="US Citizen"/>
    <s v="No"/>
    <s v="White"/>
    <d v="2009-05-01T00:00:00"/>
    <d v="2018-07-30T00:00:00"/>
    <s v="relocation out of area"/>
    <s v="Voluntarily Terminated"/>
    <x v="0"/>
    <s v="Michael Albert"/>
    <x v="4"/>
    <x v="1"/>
    <n v="4.5999999999999996"/>
    <n v="5"/>
    <n v="0"/>
    <d v="2018-05-02T00:00:00"/>
    <n v="7"/>
    <n v="31"/>
    <n v="9"/>
    <n v="22"/>
    <x v="8"/>
    <n v="1"/>
  </r>
  <r>
    <s v="Sahoo, Adil"/>
    <n v="10233"/>
    <n v="1"/>
    <n v="1"/>
    <n v="1"/>
    <n v="1"/>
    <n v="5"/>
    <n v="3"/>
    <n v="0"/>
    <n v="57975"/>
    <x v="0"/>
    <n v="20"/>
    <s v="Production Technician Ii"/>
    <s v="MA"/>
    <n v="2062"/>
    <d v="1953-05-24T00:00:00"/>
    <x v="1"/>
    <x v="0"/>
    <s v="Married"/>
    <s v="US Citizen"/>
    <s v="No"/>
    <s v="White"/>
    <d v="2010-08-30T00:00:00"/>
    <m/>
    <s v="N/A-StillEmployed"/>
    <s v="Active"/>
    <x v="0"/>
    <s v="Kelley Spirea"/>
    <x v="6"/>
    <x v="1"/>
    <n v="4.0999999999999996"/>
    <n v="3"/>
    <n v="0"/>
    <d v="2019-10-01T00:00:00"/>
    <n v="13"/>
    <n v="67"/>
    <n v="9"/>
    <n v="18"/>
    <x v="0"/>
    <n v="1"/>
  </r>
  <r>
    <s v="Salter, Jason"/>
    <n v="10229"/>
    <n v="0"/>
    <n v="2"/>
    <n v="1"/>
    <n v="5"/>
    <n v="3"/>
    <n v="3"/>
    <n v="0"/>
    <n v="88527"/>
    <x v="1"/>
    <n v="9"/>
    <s v="Data Analyst"/>
    <s v="MA"/>
    <n v="2452"/>
    <d v="1975-09-16T00:00:00"/>
    <x v="0"/>
    <x v="0"/>
    <s v="Divorced"/>
    <s v="US Citizen"/>
    <s v="No"/>
    <s v="Black or African American"/>
    <d v="2015-05-01T00:00:00"/>
    <d v="2015-10-31T00:00:00"/>
    <s v="hours"/>
    <s v="Voluntarily Terminated"/>
    <x v="1"/>
    <s v="Simon Roup"/>
    <x v="0"/>
    <x v="1"/>
    <n v="4.2"/>
    <n v="3"/>
    <n v="5"/>
    <d v="2015-04-20T00:00:00"/>
    <n v="2"/>
    <n v="40"/>
    <n v="1"/>
    <n v="4"/>
    <x v="3"/>
    <n v="1"/>
  </r>
  <r>
    <s v="Sander, Kamrin"/>
    <n v="10169"/>
    <n v="1"/>
    <n v="1"/>
    <n v="0"/>
    <n v="1"/>
    <n v="5"/>
    <n v="3"/>
    <n v="0"/>
    <n v="56147"/>
    <x v="0"/>
    <n v="19"/>
    <s v="Production Technician I"/>
    <s v="MA"/>
    <n v="2154"/>
    <d v="1968-01-14T00:00:00"/>
    <x v="0"/>
    <x v="1"/>
    <s v="Married"/>
    <s v="US Citizen"/>
    <s v="No"/>
    <s v="Black or African American"/>
    <d v="2013-09-30T00:00:00"/>
    <m/>
    <s v="N/A-StillEmployed"/>
    <s v="Active"/>
    <x v="0"/>
    <s v="Elijiah Gray"/>
    <x v="0"/>
    <x v="1"/>
    <n v="3.51"/>
    <n v="3"/>
    <n v="0"/>
    <d v="2019-02-18T00:00:00"/>
    <n v="2"/>
    <n v="52"/>
    <n v="6"/>
    <n v="16"/>
    <x v="0"/>
    <n v="1"/>
  </r>
  <r>
    <s v="Sewkumar, Nori"/>
    <n v="10071"/>
    <n v="0"/>
    <n v="0"/>
    <n v="0"/>
    <n v="3"/>
    <n v="5"/>
    <n v="3"/>
    <n v="0"/>
    <n v="50923"/>
    <x v="0"/>
    <n v="19"/>
    <s v="Production Technician I"/>
    <s v="MA"/>
    <n v="2191"/>
    <d v="1983-05-16T00:00:00"/>
    <x v="0"/>
    <x v="1"/>
    <s v="Single"/>
    <s v="US Citizen"/>
    <s v="No"/>
    <s v="Asian"/>
    <d v="2013-09-30T00:00:00"/>
    <m/>
    <s v="N/A-StillEmployed"/>
    <s v="Active"/>
    <x v="0"/>
    <s v="Webster Butler"/>
    <x v="4"/>
    <x v="1"/>
    <n v="5"/>
    <n v="5"/>
    <n v="0"/>
    <d v="2019-06-02T00:00:00"/>
    <n v="14"/>
    <n v="37"/>
    <n v="6"/>
    <n v="39"/>
    <x v="0"/>
    <n v="1"/>
  </r>
  <r>
    <s v="Shepard, Anita"/>
    <n v="10179"/>
    <n v="1"/>
    <n v="1"/>
    <n v="0"/>
    <n v="1"/>
    <n v="3"/>
    <n v="3"/>
    <n v="0"/>
    <n v="50750"/>
    <x v="0"/>
    <n v="15"/>
    <s v="Network Engineer"/>
    <s v="MA"/>
    <n v="1773"/>
    <d v="1983-06-14T00:00:00"/>
    <x v="0"/>
    <x v="1"/>
    <s v="Married"/>
    <s v="US Citizen"/>
    <s v="No"/>
    <s v="White"/>
    <d v="2013-09-30T00:00:00"/>
    <m/>
    <s v="N/A-StillEmployed"/>
    <s v="Active"/>
    <x v="1"/>
    <s v="Peter Monroe"/>
    <x v="0"/>
    <x v="1"/>
    <n v="3.31"/>
    <n v="3"/>
    <n v="6"/>
    <d v="2019-07-01T00:00:00"/>
    <n v="7"/>
    <n v="37"/>
    <n v="6"/>
    <n v="7"/>
    <x v="0"/>
    <n v="1"/>
  </r>
  <r>
    <s v="Shields, Seffi"/>
    <n v="10091"/>
    <n v="1"/>
    <n v="1"/>
    <n v="0"/>
    <n v="1"/>
    <n v="5"/>
    <n v="3"/>
    <n v="0"/>
    <n v="52087"/>
    <x v="0"/>
    <n v="19"/>
    <s v="Production Technician I"/>
    <s v="MA"/>
    <n v="2149"/>
    <d v="1985-03-15T00:00:00"/>
    <x v="0"/>
    <x v="1"/>
    <s v="Married"/>
    <s v="US Citizen"/>
    <s v="No"/>
    <s v="White"/>
    <d v="2013-08-19T00:00:00"/>
    <m/>
    <s v="N/A-StillEmployed"/>
    <s v="Active"/>
    <x v="0"/>
    <s v="Amy Dunn"/>
    <x v="0"/>
    <x v="1"/>
    <n v="4.8099999999999996"/>
    <n v="4"/>
    <n v="0"/>
    <d v="2019-02-15T00:00:00"/>
    <n v="15"/>
    <n v="35"/>
    <n v="6"/>
    <n v="11"/>
    <x v="0"/>
    <n v="1"/>
  </r>
  <r>
    <s v="Simard, Kramer"/>
    <n v="10178"/>
    <n v="1"/>
    <n v="1"/>
    <n v="1"/>
    <n v="1"/>
    <n v="3"/>
    <n v="3"/>
    <n v="0"/>
    <n v="87826"/>
    <x v="0"/>
    <n v="9"/>
    <s v="Data Analyst"/>
    <s v="MA"/>
    <n v="2110"/>
    <d v="1969-03-31T00:00:00"/>
    <x v="0"/>
    <x v="0"/>
    <s v="Married"/>
    <s v="US Citizen"/>
    <s v="Yes"/>
    <s v="White"/>
    <d v="2015-05-01T00:00:00"/>
    <m/>
    <s v="N/A-StillEmployed"/>
    <s v="Active"/>
    <x v="1"/>
    <s v="Simon Roup"/>
    <x v="5"/>
    <x v="1"/>
    <n v="3.32"/>
    <n v="3"/>
    <n v="7"/>
    <d v="2019-01-14T00:00:00"/>
    <n v="16"/>
    <n v="51"/>
    <n v="5"/>
    <n v="4"/>
    <x v="0"/>
    <n v="1"/>
  </r>
  <r>
    <s v="Singh, Nan"/>
    <n v="10039"/>
    <n v="0"/>
    <n v="0"/>
    <n v="0"/>
    <n v="1"/>
    <n v="1"/>
    <n v="3"/>
    <n v="0"/>
    <n v="51920"/>
    <x v="0"/>
    <n v="2"/>
    <s v="Administrative Assistant"/>
    <s v="MA"/>
    <n v="2330"/>
    <d v="1991-05-23T00:00:00"/>
    <x v="0"/>
    <x v="1"/>
    <s v="Single"/>
    <s v="US Citizen"/>
    <s v="No"/>
    <s v="White"/>
    <d v="2015-01-05T00:00:00"/>
    <m/>
    <s v="N/A-StillEmployed"/>
    <s v="Active"/>
    <x v="3"/>
    <s v="Brandon R. Leblanc"/>
    <x v="7"/>
    <x v="1"/>
    <n v="5"/>
    <n v="3"/>
    <n v="5"/>
    <d v="2019-01-15T00:00:00"/>
    <n v="2"/>
    <n v="29"/>
    <n v="5"/>
    <n v="1"/>
    <x v="0"/>
    <n v="1"/>
  </r>
  <r>
    <s v="Sloan, Constance"/>
    <n v="10095"/>
    <n v="0"/>
    <n v="0"/>
    <n v="0"/>
    <n v="5"/>
    <n v="5"/>
    <n v="3"/>
    <n v="0"/>
    <n v="63878"/>
    <x v="1"/>
    <n v="20"/>
    <s v="Production Technician Ii"/>
    <s v="MA"/>
    <n v="1851"/>
    <d v="1987-01-31T00:00:00"/>
    <x v="0"/>
    <x v="1"/>
    <s v="Single"/>
    <s v="US Citizen"/>
    <s v="No"/>
    <s v="White"/>
    <d v="2009-10-26T00:00:00"/>
    <d v="2015-08-04T00:00:00"/>
    <s v="maternity leave - did not return"/>
    <s v="Voluntarily Terminated"/>
    <x v="0"/>
    <s v="Michael Albert"/>
    <x v="6"/>
    <x v="1"/>
    <n v="4.68"/>
    <n v="4"/>
    <n v="0"/>
    <d v="2015-02-04T00:00:00"/>
    <n v="20"/>
    <n v="29"/>
    <n v="6"/>
    <n v="22"/>
    <x v="3"/>
    <n v="1"/>
  </r>
  <r>
    <s v="Smith, Joe"/>
    <n v="10027"/>
    <n v="0"/>
    <n v="0"/>
    <n v="1"/>
    <n v="1"/>
    <n v="5"/>
    <n v="4"/>
    <n v="0"/>
    <n v="60656"/>
    <x v="0"/>
    <n v="20"/>
    <s v="Production Technician Ii"/>
    <s v="MA"/>
    <n v="2045"/>
    <d v="1955-11-14T00:00:00"/>
    <x v="1"/>
    <x v="0"/>
    <s v="Single"/>
    <s v="US Citizen"/>
    <s v="No"/>
    <s v="White"/>
    <d v="2014-09-29T00:00:00"/>
    <m/>
    <s v="N/A-StillEmployed"/>
    <s v="Active"/>
    <x v="0"/>
    <s v="Elijiah Gray"/>
    <x v="2"/>
    <x v="0"/>
    <n v="4.3"/>
    <n v="3"/>
    <n v="0"/>
    <d v="2019-01-28T00:00:00"/>
    <n v="4"/>
    <n v="64"/>
    <n v="5"/>
    <n v="16"/>
    <x v="0"/>
    <n v="1"/>
  </r>
  <r>
    <s v="Smith, John"/>
    <n v="10291"/>
    <n v="0"/>
    <n v="2"/>
    <n v="1"/>
    <n v="1"/>
    <n v="6"/>
    <n v="2"/>
    <n v="1"/>
    <n v="72992"/>
    <x v="0"/>
    <n v="21"/>
    <s v="Sales Manager"/>
    <s v="MA"/>
    <n v="1886"/>
    <d v="1987-05-24T00:00:00"/>
    <x v="0"/>
    <x v="0"/>
    <s v="Divorced"/>
    <s v="US Citizen"/>
    <s v="No"/>
    <s v="Black or African American"/>
    <d v="2014-05-18T00:00:00"/>
    <m/>
    <s v="N/A-StillEmployed"/>
    <s v="Active"/>
    <x v="4"/>
    <s v="Debra Houlihan"/>
    <x v="3"/>
    <x v="2"/>
    <n v="2.4"/>
    <n v="4"/>
    <n v="0"/>
    <d v="2019-01-16T00:00:00"/>
    <n v="16"/>
    <n v="33"/>
    <n v="6"/>
    <n v="15"/>
    <x v="0"/>
    <n v="1"/>
  </r>
  <r>
    <s v="Smith, Leigh Ann"/>
    <n v="10153"/>
    <n v="1"/>
    <n v="1"/>
    <n v="0"/>
    <n v="5"/>
    <n v="1"/>
    <n v="3"/>
    <n v="1"/>
    <n v="55000"/>
    <x v="1"/>
    <n v="2"/>
    <s v="Administrative Assistant"/>
    <s v="MA"/>
    <n v="1844"/>
    <d v="1983-07-30T00:00:00"/>
    <x v="0"/>
    <x v="1"/>
    <s v="Married"/>
    <s v="US Citizen"/>
    <s v="No"/>
    <s v="Black or African American"/>
    <d v="2011-09-26T00:00:00"/>
    <d v="2013-09-25T00:00:00"/>
    <s v="career change"/>
    <s v="Voluntarily Terminated"/>
    <x v="3"/>
    <s v="Brandon R. Leblanc"/>
    <x v="3"/>
    <x v="1"/>
    <n v="3.8"/>
    <n v="4"/>
    <n v="4"/>
    <d v="2013-08-15T00:00:00"/>
    <n v="17"/>
    <n v="30"/>
    <n v="2"/>
    <n v="1"/>
    <x v="6"/>
    <n v="1"/>
  </r>
  <r>
    <s v="Smith, Sade"/>
    <n v="10157"/>
    <n v="0"/>
    <n v="0"/>
    <n v="0"/>
    <n v="1"/>
    <n v="5"/>
    <n v="3"/>
    <n v="0"/>
    <n v="58939"/>
    <x v="0"/>
    <n v="19"/>
    <s v="Production Technician I"/>
    <s v="MA"/>
    <n v="2130"/>
    <d v="1985-04-20T00:00:00"/>
    <x v="0"/>
    <x v="1"/>
    <s v="Single"/>
    <s v="US Citizen"/>
    <s v="No"/>
    <s v="White"/>
    <d v="2013-11-11T00:00:00"/>
    <m/>
    <s v="N/A-StillEmployed"/>
    <s v="Active"/>
    <x v="0"/>
    <s v="Ketsia Liebig"/>
    <x v="5"/>
    <x v="1"/>
    <n v="3.73"/>
    <n v="3"/>
    <n v="0"/>
    <d v="2019-01-24T00:00:00"/>
    <n v="16"/>
    <n v="35"/>
    <n v="6"/>
    <n v="19"/>
    <x v="0"/>
    <n v="1"/>
  </r>
  <r>
    <s v="Soto, Julia"/>
    <n v="10119"/>
    <n v="1"/>
    <n v="1"/>
    <n v="0"/>
    <n v="1"/>
    <n v="3"/>
    <n v="3"/>
    <n v="0"/>
    <n v="66593"/>
    <x v="0"/>
    <n v="14"/>
    <s v="It Support"/>
    <s v="MA"/>
    <n v="2360"/>
    <d v="1969-03-31T00:00:00"/>
    <x v="0"/>
    <x v="1"/>
    <s v="Married"/>
    <s v="US Citizen"/>
    <s v="No"/>
    <s v="Black or African American"/>
    <d v="2011-10-06T00:00:00"/>
    <m/>
    <s v="N/A-StillEmployed"/>
    <s v="Active"/>
    <x v="1"/>
    <s v="Eric Dougall"/>
    <x v="0"/>
    <x v="1"/>
    <n v="4.3"/>
    <n v="3"/>
    <n v="5"/>
    <d v="2019-08-02T00:00:00"/>
    <n v="19"/>
    <n v="51"/>
    <n v="8"/>
    <n v="6"/>
    <x v="0"/>
    <n v="1"/>
  </r>
  <r>
    <s v="Soze, Keyser"/>
    <n v="10180"/>
    <n v="1"/>
    <n v="1"/>
    <n v="1"/>
    <n v="2"/>
    <n v="3"/>
    <n v="3"/>
    <n v="0"/>
    <n v="87565"/>
    <x v="0"/>
    <n v="28"/>
    <s v="Sr. Network Engineer"/>
    <s v="MA"/>
    <n v="1545"/>
    <d v="1979-02-24T00:00:00"/>
    <x v="0"/>
    <x v="0"/>
    <s v="Married"/>
    <s v="US Citizen"/>
    <s v="No"/>
    <s v="Asian"/>
    <d v="2016-06-30T00:00:00"/>
    <m/>
    <s v="N/A-StillEmployed"/>
    <s v="Active"/>
    <x v="1"/>
    <s v="Peter Monroe"/>
    <x v="0"/>
    <x v="1"/>
    <n v="3.27"/>
    <n v="4"/>
    <n v="5"/>
    <d v="2019-01-14T00:00:00"/>
    <n v="13"/>
    <n v="41"/>
    <n v="4"/>
    <n v="7"/>
    <x v="0"/>
    <n v="1"/>
  </r>
  <r>
    <s v="Sparks, Taylor"/>
    <n v="10302"/>
    <n v="1"/>
    <n v="1"/>
    <n v="0"/>
    <n v="1"/>
    <n v="5"/>
    <n v="1"/>
    <n v="0"/>
    <n v="64021"/>
    <x v="0"/>
    <n v="19"/>
    <s v="Production Technician I"/>
    <s v="MA"/>
    <n v="2093"/>
    <d v="1978-08-17T00:00:00"/>
    <x v="0"/>
    <x v="1"/>
    <s v="Married"/>
    <s v="US Citizen"/>
    <s v="No"/>
    <s v="White"/>
    <d v="2012-02-20T00:00:00"/>
    <m/>
    <s v="N/A-StillEmployed"/>
    <s v="Active"/>
    <x v="0"/>
    <s v="Brannon Miller"/>
    <x v="2"/>
    <x v="3"/>
    <n v="2.4"/>
    <n v="2"/>
    <n v="1"/>
    <d v="2019-02-25T00:00:00"/>
    <n v="20"/>
    <n v="41"/>
    <n v="8"/>
    <n v="12"/>
    <x v="0"/>
    <n v="1"/>
  </r>
  <r>
    <s v="Spirea, Kelley"/>
    <n v="10090"/>
    <n v="1"/>
    <n v="1"/>
    <n v="0"/>
    <n v="1"/>
    <n v="5"/>
    <n v="3"/>
    <n v="0"/>
    <n v="65714"/>
    <x v="0"/>
    <n v="18"/>
    <s v="Production Manager"/>
    <s v="MA"/>
    <n v="2451"/>
    <d v="1975-09-30T00:00:00"/>
    <x v="0"/>
    <x v="1"/>
    <s v="Married"/>
    <s v="US Citizen"/>
    <s v="No"/>
    <s v="White"/>
    <d v="2012-02-10T00:00:00"/>
    <m/>
    <s v="N/A-StillEmployed"/>
    <s v="Active"/>
    <x v="0"/>
    <s v="Janet King"/>
    <x v="0"/>
    <x v="1"/>
    <n v="4.83"/>
    <n v="5"/>
    <n v="0"/>
    <d v="2019-02-14T00:00:00"/>
    <n v="15"/>
    <n v="44"/>
    <n v="8"/>
    <n v="2"/>
    <x v="0"/>
    <n v="1"/>
  </r>
  <r>
    <s v="Squatrito, Kristen"/>
    <n v="10030"/>
    <n v="0"/>
    <n v="2"/>
    <n v="0"/>
    <n v="5"/>
    <n v="5"/>
    <n v="4"/>
    <n v="0"/>
    <n v="62425"/>
    <x v="1"/>
    <n v="19"/>
    <s v="Production Technician I"/>
    <s v="MA"/>
    <n v="2359"/>
    <d v="1973-03-26T00:00:00"/>
    <x v="0"/>
    <x v="1"/>
    <s v="Divorced"/>
    <s v="US Citizen"/>
    <s v="No"/>
    <s v="White"/>
    <d v="2011-05-13T00:00:00"/>
    <d v="2015-06-29T00:00:00"/>
    <s v="unhappy"/>
    <s v="Voluntarily Terminated"/>
    <x v="0"/>
    <s v="David Stanley"/>
    <x v="0"/>
    <x v="0"/>
    <n v="4.0999999999999996"/>
    <n v="4"/>
    <n v="0"/>
    <d v="2015-02-03T00:00:00"/>
    <n v="16"/>
    <n v="42"/>
    <n v="4"/>
    <n v="14"/>
    <x v="3"/>
    <n v="1"/>
  </r>
  <r>
    <s v="Stanford,Barbara  M"/>
    <n v="10278"/>
    <n v="0"/>
    <n v="2"/>
    <n v="0"/>
    <n v="1"/>
    <n v="5"/>
    <n v="3"/>
    <n v="0"/>
    <n v="47961"/>
    <x v="0"/>
    <n v="19"/>
    <s v="Production Technician I"/>
    <s v="MA"/>
    <n v="2050"/>
    <d v="1982-08-25T00:00:00"/>
    <x v="0"/>
    <x v="1"/>
    <s v="Divorced"/>
    <s v="US Citizen"/>
    <s v="No"/>
    <s v="Two or more races"/>
    <d v="2011-10-01T00:00:00"/>
    <m/>
    <s v="N/A-StillEmployed"/>
    <s v="Active"/>
    <x v="0"/>
    <s v="Kissy Sullivan"/>
    <x v="4"/>
    <x v="1"/>
    <n v="4.0999999999999996"/>
    <n v="4"/>
    <n v="0"/>
    <d v="2019-07-02T00:00:00"/>
    <n v="9"/>
    <n v="37"/>
    <n v="8"/>
    <n v="20"/>
    <x v="0"/>
    <n v="1"/>
  </r>
  <r>
    <s v="Stansfield, Norman"/>
    <n v="10307"/>
    <n v="1"/>
    <n v="1"/>
    <n v="1"/>
    <n v="1"/>
    <n v="6"/>
    <n v="1"/>
    <n v="0"/>
    <n v="58273"/>
    <x v="0"/>
    <n v="3"/>
    <s v="Area Sales Manager"/>
    <s v="NV"/>
    <n v="89139"/>
    <d v="1985-03-14T00:00:00"/>
    <x v="0"/>
    <x v="0"/>
    <s v="Married"/>
    <s v="US Citizen"/>
    <s v="No"/>
    <s v="White"/>
    <d v="2014-12-05T00:00:00"/>
    <m/>
    <s v="N/A-StillEmployed"/>
    <s v="Active"/>
    <x v="4"/>
    <s v="Lynn Daneault"/>
    <x v="7"/>
    <x v="3"/>
    <n v="1.81"/>
    <n v="2"/>
    <n v="0"/>
    <d v="2019-01-17T00:00:00"/>
    <n v="5"/>
    <n v="35"/>
    <n v="5"/>
    <n v="21"/>
    <x v="0"/>
    <n v="1"/>
  </r>
  <r>
    <s v="Steans, Tyrone"/>
    <n v="10147"/>
    <n v="0"/>
    <n v="0"/>
    <n v="1"/>
    <n v="1"/>
    <n v="1"/>
    <n v="3"/>
    <n v="0"/>
    <n v="63003"/>
    <x v="0"/>
    <n v="1"/>
    <s v="Accountant I"/>
    <s v="MA"/>
    <n v="2703"/>
    <d v="1978-03-28T00:00:00"/>
    <x v="0"/>
    <x v="0"/>
    <s v="Single"/>
    <s v="US Citizen"/>
    <s v="No"/>
    <s v="White"/>
    <d v="2014-09-29T00:00:00"/>
    <m/>
    <s v="N/A-StillEmployed"/>
    <s v="Active"/>
    <x v="3"/>
    <s v="Brandon R. Leblanc"/>
    <x v="2"/>
    <x v="1"/>
    <n v="3.9"/>
    <n v="5"/>
    <n v="5"/>
    <d v="2019-01-18T00:00:00"/>
    <n v="9"/>
    <n v="42"/>
    <n v="5"/>
    <n v="1"/>
    <x v="0"/>
    <n v="1"/>
  </r>
  <r>
    <s v="Stoica, Rick"/>
    <n v="10266"/>
    <n v="1"/>
    <n v="1"/>
    <n v="1"/>
    <n v="1"/>
    <n v="5"/>
    <n v="3"/>
    <n v="0"/>
    <n v="61355"/>
    <x v="0"/>
    <n v="19"/>
    <s v="Production Technician I"/>
    <s v="MA"/>
    <n v="2301"/>
    <d v="1968-08-15T00:00:00"/>
    <x v="0"/>
    <x v="0"/>
    <s v="Married"/>
    <s v="US Citizen"/>
    <s v="No"/>
    <s v="Asian"/>
    <d v="2014-02-17T00:00:00"/>
    <m/>
    <s v="N/A-StillEmployed"/>
    <s v="Active"/>
    <x v="0"/>
    <s v="Kelley Spirea"/>
    <x v="0"/>
    <x v="1"/>
    <n v="4.7"/>
    <n v="3"/>
    <n v="0"/>
    <d v="2019-11-01T00:00:00"/>
    <n v="4"/>
    <n v="51"/>
    <n v="6"/>
    <n v="18"/>
    <x v="0"/>
    <n v="1"/>
  </r>
  <r>
    <s v="Strong, Caitrin"/>
    <n v="10241"/>
    <n v="1"/>
    <n v="1"/>
    <n v="0"/>
    <n v="1"/>
    <n v="6"/>
    <n v="3"/>
    <n v="0"/>
    <n v="60120"/>
    <x v="0"/>
    <n v="3"/>
    <s v="Area Sales Manager"/>
    <s v="MT"/>
    <n v="59102"/>
    <d v="1987-10-24T00:00:00"/>
    <x v="0"/>
    <x v="1"/>
    <s v="Married"/>
    <s v="US Citizen"/>
    <s v="No"/>
    <s v="Black or African American"/>
    <d v="2010-09-27T00:00:00"/>
    <m/>
    <s v="N/A-StillEmployed"/>
    <s v="Active"/>
    <x v="4"/>
    <s v="John Smith"/>
    <x v="2"/>
    <x v="1"/>
    <n v="4.0999999999999996"/>
    <n v="4"/>
    <n v="0"/>
    <d v="2019-01-31T00:00:00"/>
    <n v="18"/>
    <n v="32"/>
    <n v="9"/>
    <n v="17"/>
    <x v="0"/>
    <n v="1"/>
  </r>
  <r>
    <s v="Sullivan, Kissy"/>
    <n v="10158"/>
    <n v="1"/>
    <n v="1"/>
    <n v="0"/>
    <n v="1"/>
    <n v="5"/>
    <n v="3"/>
    <n v="0"/>
    <n v="63682"/>
    <x v="0"/>
    <n v="18"/>
    <s v="Production Manager"/>
    <s v="MA"/>
    <n v="1776"/>
    <d v="1953-05-24T00:00:00"/>
    <x v="1"/>
    <x v="1"/>
    <s v="Married"/>
    <s v="US Citizen"/>
    <s v="No"/>
    <s v="Black or African American"/>
    <d v="2009-08-01T00:00:00"/>
    <m/>
    <s v="N/A-StillEmployed"/>
    <s v="Active"/>
    <x v="0"/>
    <s v="Janet King"/>
    <x v="2"/>
    <x v="1"/>
    <n v="3.73"/>
    <n v="4"/>
    <n v="0"/>
    <d v="2019-01-24T00:00:00"/>
    <n v="12"/>
    <n v="67"/>
    <n v="10"/>
    <n v="2"/>
    <x v="0"/>
    <n v="1"/>
  </r>
  <r>
    <s v="Sullivan, Timothy"/>
    <n v="10117"/>
    <n v="1"/>
    <n v="1"/>
    <n v="1"/>
    <n v="1"/>
    <n v="5"/>
    <n v="3"/>
    <n v="0"/>
    <n v="63025"/>
    <x v="0"/>
    <n v="19"/>
    <s v="Production Technician I"/>
    <s v="MA"/>
    <n v="2747"/>
    <d v="1975-09-16T00:00:00"/>
    <x v="0"/>
    <x v="0"/>
    <s v="Married"/>
    <s v="US Citizen"/>
    <s v="Yes"/>
    <s v="White"/>
    <d v="2015-05-01T00:00:00"/>
    <m/>
    <s v="N/A-StillEmployed"/>
    <s v="Active"/>
    <x v="0"/>
    <s v="Michael Albert"/>
    <x v="4"/>
    <x v="1"/>
    <n v="4.3600000000000003"/>
    <n v="5"/>
    <n v="0"/>
    <d v="2019-01-24T00:00:00"/>
    <n v="10"/>
    <n v="44"/>
    <n v="5"/>
    <n v="22"/>
    <x v="0"/>
    <n v="1"/>
  </r>
  <r>
    <s v="Sutwell, Barbara"/>
    <n v="10209"/>
    <n v="0"/>
    <n v="0"/>
    <n v="0"/>
    <n v="1"/>
    <n v="5"/>
    <n v="3"/>
    <n v="0"/>
    <n v="59238"/>
    <x v="0"/>
    <n v="19"/>
    <s v="Production Technician I"/>
    <s v="MA"/>
    <n v="2718"/>
    <d v="1968-01-15T00:00:00"/>
    <x v="0"/>
    <x v="1"/>
    <s v="Single"/>
    <s v="Eligible NonCitizen"/>
    <s v="No"/>
    <s v="Asian"/>
    <d v="2011-05-14T00:00:00"/>
    <m/>
    <s v="N/A-StillEmployed"/>
    <s v="Active"/>
    <x v="0"/>
    <s v="Elijiah Gray"/>
    <x v="2"/>
    <x v="1"/>
    <n v="3.4"/>
    <n v="5"/>
    <n v="0"/>
    <d v="2019-01-31T00:00:00"/>
    <n v="13"/>
    <n v="52"/>
    <n v="9"/>
    <n v="16"/>
    <x v="0"/>
    <n v="1"/>
  </r>
  <r>
    <s v="Szabo, Andrew"/>
    <n v="10024"/>
    <n v="0"/>
    <n v="0"/>
    <n v="1"/>
    <n v="1"/>
    <n v="4"/>
    <n v="4"/>
    <n v="0"/>
    <n v="92989"/>
    <x v="0"/>
    <n v="24"/>
    <s v="Software Engineer"/>
    <s v="MA"/>
    <n v="2140"/>
    <d v="1983-05-16T00:00:00"/>
    <x v="0"/>
    <x v="0"/>
    <s v="Single"/>
    <s v="US Citizen"/>
    <s v="No"/>
    <s v="White"/>
    <d v="2014-07-07T00:00:00"/>
    <m/>
    <s v="N/A-StillEmployed"/>
    <s v="Active"/>
    <x v="2"/>
    <s v="Alex Sweetwater"/>
    <x v="0"/>
    <x v="0"/>
    <n v="4.5"/>
    <n v="5"/>
    <n v="5"/>
    <d v="2019-02-18T00:00:00"/>
    <n v="1"/>
    <n v="37"/>
    <n v="5"/>
    <n v="10"/>
    <x v="0"/>
    <n v="1"/>
  </r>
  <r>
    <s v="Tannen, Biff"/>
    <n v="10173"/>
    <n v="1"/>
    <n v="1"/>
    <n v="1"/>
    <n v="1"/>
    <n v="3"/>
    <n v="3"/>
    <n v="0"/>
    <n v="90100"/>
    <x v="0"/>
    <n v="4"/>
    <s v="Bi Developer"/>
    <s v="MA"/>
    <n v="2134"/>
    <d v="1983-06-14T00:00:00"/>
    <x v="0"/>
    <x v="0"/>
    <s v="Married"/>
    <s v="US Citizen"/>
    <s v="No"/>
    <s v="White"/>
    <d v="2017-04-20T00:00:00"/>
    <m/>
    <s v="N/A-StillEmployed"/>
    <s v="Active"/>
    <x v="1"/>
    <s v="Brian Champaigne"/>
    <x v="2"/>
    <x v="1"/>
    <n v="3.4"/>
    <n v="3"/>
    <n v="6"/>
    <d v="2019-02-01T00:00:00"/>
    <n v="14"/>
    <n v="37"/>
    <n v="3"/>
    <n v="13"/>
    <x v="0"/>
    <n v="1"/>
  </r>
  <r>
    <s v="Tavares, Desiree"/>
    <n v="10221"/>
    <n v="1"/>
    <n v="1"/>
    <n v="0"/>
    <n v="5"/>
    <n v="5"/>
    <n v="3"/>
    <n v="1"/>
    <n v="60754"/>
    <x v="1"/>
    <n v="19"/>
    <s v="Production Technician I"/>
    <s v="MA"/>
    <n v="1801"/>
    <d v="1985-03-15T00:00:00"/>
    <x v="0"/>
    <x v="1"/>
    <s v="Married"/>
    <s v="Non-Citizen"/>
    <s v="No"/>
    <s v="Black or African American"/>
    <d v="2009-04-27T00:00:00"/>
    <d v="2013-01-04T00:00:00"/>
    <s v="Another position"/>
    <s v="Voluntarily Terminated"/>
    <x v="0"/>
    <s v="Webster Butler"/>
    <x v="3"/>
    <x v="1"/>
    <n v="4.5"/>
    <n v="5"/>
    <n v="0"/>
    <d v="2012-02-15T00:00:00"/>
    <n v="11"/>
    <n v="28"/>
    <n v="4"/>
    <n v="39"/>
    <x v="6"/>
    <n v="1"/>
  </r>
  <r>
    <s v="Tejeda, Lenora"/>
    <n v="10146"/>
    <n v="1"/>
    <n v="1"/>
    <n v="0"/>
    <n v="5"/>
    <n v="5"/>
    <n v="3"/>
    <n v="0"/>
    <n v="72202"/>
    <x v="1"/>
    <n v="20"/>
    <s v="Production Technician Ii"/>
    <s v="MA"/>
    <n v="2129"/>
    <d v="1969-03-31T00:00:00"/>
    <x v="0"/>
    <x v="1"/>
    <s v="Married"/>
    <s v="US Citizen"/>
    <s v="No"/>
    <s v="White"/>
    <d v="2011-05-16T00:00:00"/>
    <d v="2017-08-07T00:00:00"/>
    <s v="Another position"/>
    <s v="Voluntarily Terminated"/>
    <x v="0"/>
    <s v="Elijiah Gray"/>
    <x v="4"/>
    <x v="1"/>
    <n v="3.93"/>
    <n v="3"/>
    <n v="0"/>
    <d v="2017-04-18T00:00:00"/>
    <n v="3"/>
    <n v="48"/>
    <n v="6"/>
    <n v="16"/>
    <x v="1"/>
    <n v="1"/>
  </r>
  <r>
    <s v="Terry, Sharlene"/>
    <n v="10161"/>
    <n v="0"/>
    <n v="0"/>
    <n v="0"/>
    <n v="1"/>
    <n v="6"/>
    <n v="3"/>
    <n v="0"/>
    <n v="58370"/>
    <x v="0"/>
    <n v="3"/>
    <s v="Area Sales Manager"/>
    <s v="OR"/>
    <n v="97756"/>
    <d v="1991-05-23T00:00:00"/>
    <x v="0"/>
    <x v="1"/>
    <s v="Single"/>
    <s v="US Citizen"/>
    <s v="No"/>
    <s v="Black or African American"/>
    <d v="2014-09-29T00:00:00"/>
    <m/>
    <s v="N/A-StillEmployed"/>
    <s v="Active"/>
    <x v="4"/>
    <s v="Lynn Daneault"/>
    <x v="2"/>
    <x v="1"/>
    <n v="3.69"/>
    <n v="3"/>
    <n v="0"/>
    <d v="2019-01-28T00:00:00"/>
    <n v="18"/>
    <n v="29"/>
    <n v="5"/>
    <n v="21"/>
    <x v="0"/>
    <n v="1"/>
  </r>
  <r>
    <s v="Theamstern, Sophia"/>
    <n v="10141"/>
    <n v="0"/>
    <n v="0"/>
    <n v="0"/>
    <n v="5"/>
    <n v="5"/>
    <n v="3"/>
    <n v="0"/>
    <n v="48413"/>
    <x v="1"/>
    <n v="19"/>
    <s v="Production Technician I"/>
    <s v="MA"/>
    <n v="2066"/>
    <d v="1987-01-31T00:00:00"/>
    <x v="0"/>
    <x v="1"/>
    <s v="Single"/>
    <s v="US Citizen"/>
    <s v="No"/>
    <s v="White"/>
    <d v="2011-05-07T00:00:00"/>
    <d v="2016-05-09T00:00:00"/>
    <s v="return to school"/>
    <s v="Voluntarily Terminated"/>
    <x v="0"/>
    <s v="Amy Dunn"/>
    <x v="2"/>
    <x v="1"/>
    <n v="3.98"/>
    <n v="4"/>
    <n v="0"/>
    <d v="2016-02-03T00:00:00"/>
    <n v="1"/>
    <n v="29"/>
    <n v="5"/>
    <n v="11"/>
    <x v="2"/>
    <n v="1"/>
  </r>
  <r>
    <s v="Thibaud, Kenneth"/>
    <n v="10268"/>
    <n v="0"/>
    <n v="4"/>
    <n v="1"/>
    <n v="5"/>
    <n v="5"/>
    <n v="3"/>
    <n v="0"/>
    <n v="67176"/>
    <x v="1"/>
    <n v="20"/>
    <s v="Production Technician Ii"/>
    <s v="MA"/>
    <n v="2472"/>
    <d v="1955-11-14T00:00:00"/>
    <x v="1"/>
    <x v="0"/>
    <s v="Widowed"/>
    <s v="US Citizen"/>
    <s v="No"/>
    <s v="White"/>
    <d v="2007-06-25T00:00:00"/>
    <d v="2010-08-30T00:00:00"/>
    <s v="military"/>
    <s v="Voluntarily Terminated"/>
    <x v="0"/>
    <s v="Webster Butler"/>
    <x v="8"/>
    <x v="1"/>
    <n v="4.0999999999999996"/>
    <n v="4"/>
    <n v="0"/>
    <d v="2010-07-14T00:00:00"/>
    <n v="15"/>
    <n v="55"/>
    <n v="3"/>
    <n v="39"/>
    <x v="9"/>
    <n v="1"/>
  </r>
  <r>
    <s v="Tippett, Jeanette"/>
    <n v="10123"/>
    <n v="0"/>
    <n v="2"/>
    <n v="0"/>
    <n v="1"/>
    <n v="5"/>
    <n v="3"/>
    <n v="0"/>
    <n v="56339"/>
    <x v="0"/>
    <n v="19"/>
    <s v="Production Technician I"/>
    <s v="MA"/>
    <n v="2093"/>
    <d v="1987-05-24T00:00:00"/>
    <x v="0"/>
    <x v="1"/>
    <s v="Divorced"/>
    <s v="US Citizen"/>
    <s v="No"/>
    <s v="Black or African American"/>
    <d v="2013-02-18T00:00:00"/>
    <m/>
    <s v="N/A-StillEmployed"/>
    <s v="Active"/>
    <x v="0"/>
    <s v="Brannon Miller"/>
    <x v="2"/>
    <x v="1"/>
    <n v="4.21"/>
    <n v="5"/>
    <n v="0"/>
    <d v="2019-01-14T00:00:00"/>
    <n v="4"/>
    <n v="33"/>
    <n v="7"/>
    <n v="12"/>
    <x v="0"/>
    <n v="1"/>
  </r>
  <r>
    <s v="Torrence, Jack"/>
    <n v="10013"/>
    <n v="0"/>
    <n v="3"/>
    <n v="1"/>
    <n v="1"/>
    <n v="6"/>
    <n v="4"/>
    <n v="0"/>
    <n v="64397"/>
    <x v="0"/>
    <n v="3"/>
    <s v="Area Sales Manager"/>
    <s v="ND"/>
    <n v="58782"/>
    <d v="1983-07-30T00:00:00"/>
    <x v="0"/>
    <x v="0"/>
    <s v="Separated"/>
    <s v="US Citizen"/>
    <s v="No"/>
    <s v="White"/>
    <d v="2006-09-01T00:00:00"/>
    <m/>
    <s v="N/A-StillEmployed"/>
    <s v="Active"/>
    <x v="4"/>
    <s v="Lynn Daneault"/>
    <x v="2"/>
    <x v="0"/>
    <n v="4.0999999999999996"/>
    <n v="3"/>
    <n v="0"/>
    <d v="2019-04-01T00:00:00"/>
    <n v="6"/>
    <n v="36"/>
    <n v="13"/>
    <n v="21"/>
    <x v="0"/>
    <n v="1"/>
  </r>
  <r>
    <s v="Trang, Mei"/>
    <n v="10287"/>
    <n v="0"/>
    <n v="0"/>
    <n v="0"/>
    <n v="1"/>
    <n v="5"/>
    <n v="2"/>
    <n v="0"/>
    <n v="63025"/>
    <x v="0"/>
    <n v="19"/>
    <s v="Production Technician I"/>
    <s v="MA"/>
    <n v="2021"/>
    <d v="1985-04-20T00:00:00"/>
    <x v="0"/>
    <x v="1"/>
    <s v="Single"/>
    <s v="US Citizen"/>
    <s v="No"/>
    <s v="White"/>
    <d v="2014-02-17T00:00:00"/>
    <m/>
    <s v="N/A-StillEmployed"/>
    <s v="Active"/>
    <x v="0"/>
    <s v="David Stanley"/>
    <x v="0"/>
    <x v="2"/>
    <n v="2.44"/>
    <n v="5"/>
    <n v="0"/>
    <d v="2019-11-02T00:00:00"/>
    <n v="18"/>
    <n v="35"/>
    <n v="6"/>
    <n v="14"/>
    <x v="0"/>
    <n v="1"/>
  </r>
  <r>
    <s v="Tredinnick, Neville"/>
    <n v="10044"/>
    <n v="1"/>
    <n v="1"/>
    <n v="1"/>
    <n v="5"/>
    <n v="3"/>
    <n v="3"/>
    <n v="0"/>
    <n v="75281"/>
    <x v="1"/>
    <n v="15"/>
    <s v="Network Engineer"/>
    <s v="MA"/>
    <n v="1420"/>
    <d v="1979-08-30T00:00:00"/>
    <x v="0"/>
    <x v="0"/>
    <s v="Married"/>
    <s v="US Citizen"/>
    <s v="No"/>
    <s v="White"/>
    <d v="2015-05-01T00:00:00"/>
    <d v="2016-12-02T00:00:00"/>
    <s v="medical issues"/>
    <s v="Voluntarily Terminated"/>
    <x v="1"/>
    <s v="Peter Monroe"/>
    <x v="6"/>
    <x v="1"/>
    <n v="5"/>
    <n v="3"/>
    <n v="5"/>
    <d v="2015-04-15T00:00:00"/>
    <n v="11"/>
    <n v="37"/>
    <n v="2"/>
    <n v="7"/>
    <x v="2"/>
    <n v="1"/>
  </r>
  <r>
    <s v="True, Edward"/>
    <n v="10102"/>
    <n v="0"/>
    <n v="0"/>
    <n v="1"/>
    <n v="5"/>
    <n v="4"/>
    <n v="3"/>
    <n v="1"/>
    <n v="100416"/>
    <x v="1"/>
    <n v="24"/>
    <s v="Software Engineer"/>
    <s v="MA"/>
    <n v="2451"/>
    <d v="1979-02-24T00:00:00"/>
    <x v="0"/>
    <x v="0"/>
    <s v="Single"/>
    <s v="Non-Citizen"/>
    <s v="No"/>
    <s v="Black or African American"/>
    <d v="2013-02-18T00:00:00"/>
    <d v="2018-04-15T00:00:00"/>
    <s v="medical issues"/>
    <s v="Voluntarily Terminated"/>
    <x v="2"/>
    <s v="Alex Sweetwater"/>
    <x v="3"/>
    <x v="1"/>
    <n v="4.5999999999999996"/>
    <n v="3"/>
    <n v="4"/>
    <d v="2017-12-02T00:00:00"/>
    <n v="9"/>
    <n v="39"/>
    <n v="5"/>
    <n v="10"/>
    <x v="8"/>
    <n v="1"/>
  </r>
  <r>
    <s v="Trzeciak, Cybil"/>
    <n v="10270"/>
    <n v="0"/>
    <n v="0"/>
    <n v="0"/>
    <n v="5"/>
    <n v="5"/>
    <n v="3"/>
    <n v="0"/>
    <n v="74813"/>
    <x v="1"/>
    <n v="20"/>
    <s v="Production Technician Ii"/>
    <s v="MA"/>
    <n v="1778"/>
    <d v="1978-08-17T00:00:00"/>
    <x v="0"/>
    <x v="1"/>
    <s v="Single"/>
    <s v="US Citizen"/>
    <s v="No"/>
    <s v="White"/>
    <d v="2011-10-01T00:00:00"/>
    <d v="2014-02-07T00:00:00"/>
    <s v="unhappy"/>
    <s v="Voluntarily Terminated"/>
    <x v="0"/>
    <s v="Amy Dunn"/>
    <x v="0"/>
    <x v="1"/>
    <n v="4.4000000000000004"/>
    <n v="3"/>
    <n v="0"/>
    <d v="2014-05-01T00:00:00"/>
    <n v="5"/>
    <n v="35"/>
    <n v="2"/>
    <n v="11"/>
    <x v="5"/>
    <n v="1"/>
  </r>
  <r>
    <s v="Turpin, Jumil"/>
    <n v="10045"/>
    <n v="1"/>
    <n v="1"/>
    <n v="1"/>
    <n v="1"/>
    <n v="3"/>
    <n v="3"/>
    <n v="0"/>
    <n v="76029"/>
    <x v="0"/>
    <n v="15"/>
    <s v="Network Engineer"/>
    <s v="MA"/>
    <n v="2343"/>
    <d v="1969-03-31T00:00:00"/>
    <x v="0"/>
    <x v="0"/>
    <s v="Married"/>
    <s v="Eligible NonCitizen"/>
    <s v="No"/>
    <s v="White"/>
    <d v="2015-03-30T00:00:00"/>
    <m/>
    <s v="N/A-StillEmployed"/>
    <s v="Active"/>
    <x v="1"/>
    <s v="Peter Monroe"/>
    <x v="5"/>
    <x v="1"/>
    <n v="5"/>
    <n v="4"/>
    <n v="7"/>
    <d v="2019-01-14T00:00:00"/>
    <n v="8"/>
    <n v="51"/>
    <n v="5"/>
    <n v="7"/>
    <x v="0"/>
    <n v="1"/>
  </r>
  <r>
    <s v="Valentin,Jackie"/>
    <n v="10205"/>
    <n v="1"/>
    <n v="1"/>
    <n v="0"/>
    <n v="1"/>
    <n v="6"/>
    <n v="3"/>
    <n v="0"/>
    <n v="57859"/>
    <x v="0"/>
    <n v="3"/>
    <s v="Area Sales Manager"/>
    <s v="AZ"/>
    <n v="85006"/>
    <d v="1991-05-23T00:00:00"/>
    <x v="0"/>
    <x v="1"/>
    <s v="Married"/>
    <s v="US Citizen"/>
    <s v="No"/>
    <s v="Two or more races"/>
    <d v="2011-05-07T00:00:00"/>
    <m/>
    <s v="N/A-StillEmployed"/>
    <s v="Active"/>
    <x v="4"/>
    <s v="John Smith"/>
    <x v="2"/>
    <x v="1"/>
    <n v="2.81"/>
    <n v="3"/>
    <n v="0"/>
    <d v="2019-01-17T00:00:00"/>
    <n v="16"/>
    <n v="29"/>
    <n v="9"/>
    <n v="17"/>
    <x v="0"/>
    <n v="1"/>
  </r>
  <r>
    <s v="Veera, Abdellah"/>
    <n v="10014"/>
    <n v="0"/>
    <n v="2"/>
    <n v="1"/>
    <n v="5"/>
    <n v="5"/>
    <n v="4"/>
    <n v="0"/>
    <n v="58523"/>
    <x v="1"/>
    <n v="19"/>
    <s v="Production Technician I"/>
    <s v="MA"/>
    <n v="2171"/>
    <d v="1987-01-31T00:00:00"/>
    <x v="0"/>
    <x v="0"/>
    <s v="Divorced"/>
    <s v="US Citizen"/>
    <s v="No"/>
    <s v="White"/>
    <d v="2012-08-13T00:00:00"/>
    <d v="2016-05-02T00:00:00"/>
    <s v="maternity leave - did not return"/>
    <s v="Voluntarily Terminated"/>
    <x v="0"/>
    <s v="Kissy Sullivan"/>
    <x v="0"/>
    <x v="0"/>
    <n v="4.5"/>
    <n v="5"/>
    <n v="0"/>
    <d v="2016-01-02T00:00:00"/>
    <n v="15"/>
    <n v="29"/>
    <n v="4"/>
    <n v="20"/>
    <x v="2"/>
    <n v="1"/>
  </r>
  <r>
    <s v="Vega, Vincent"/>
    <n v="10144"/>
    <n v="0"/>
    <n v="2"/>
    <n v="1"/>
    <n v="1"/>
    <n v="5"/>
    <n v="3"/>
    <n v="0"/>
    <n v="88976"/>
    <x v="0"/>
    <n v="17"/>
    <s v="Production Manager"/>
    <s v="MA"/>
    <n v="2169"/>
    <d v="1968-10-10T00:00:00"/>
    <x v="0"/>
    <x v="0"/>
    <s v="Divorced"/>
    <s v="US Citizen"/>
    <s v="No"/>
    <s v="White"/>
    <d v="2011-01-08T00:00:00"/>
    <m/>
    <s v="N/A-StillEmployed"/>
    <s v="Active"/>
    <x v="0"/>
    <s v="Janet King"/>
    <x v="5"/>
    <x v="1"/>
    <n v="3.93"/>
    <n v="3"/>
    <n v="0"/>
    <d v="2019-02-27T00:00:00"/>
    <n v="19"/>
    <n v="51"/>
    <n v="9"/>
    <n v="2"/>
    <x v="0"/>
    <n v="1"/>
  </r>
  <r>
    <s v="Villanueva, Noah"/>
    <n v="10253"/>
    <n v="0"/>
    <n v="0"/>
    <n v="1"/>
    <n v="1"/>
    <n v="6"/>
    <n v="3"/>
    <n v="0"/>
    <n v="55875"/>
    <x v="0"/>
    <n v="3"/>
    <s v="Area Sales Manager"/>
    <s v="ME"/>
    <n v="4063"/>
    <d v="1989-11-07T00:00:00"/>
    <x v="0"/>
    <x v="0"/>
    <s v="Single"/>
    <s v="US Citizen"/>
    <s v="No"/>
    <s v="Asian"/>
    <d v="2012-05-03T00:00:00"/>
    <m/>
    <s v="N/A-StillEmployed"/>
    <s v="Active"/>
    <x v="4"/>
    <s v="John Smith"/>
    <x v="7"/>
    <x v="1"/>
    <n v="4.5"/>
    <n v="4"/>
    <n v="0"/>
    <d v="2019-01-18T00:00:00"/>
    <n v="11"/>
    <n v="30"/>
    <n v="8"/>
    <n v="17"/>
    <x v="0"/>
    <n v="1"/>
  </r>
  <r>
    <s v="Voldemort, Lord"/>
    <n v="10118"/>
    <n v="1"/>
    <n v="1"/>
    <n v="1"/>
    <n v="4"/>
    <n v="3"/>
    <n v="3"/>
    <n v="0"/>
    <n v="113999"/>
    <x v="1"/>
    <n v="8"/>
    <s v="Database Administrator"/>
    <s v="MA"/>
    <n v="1960"/>
    <d v="1986-07-08T00:00:00"/>
    <x v="0"/>
    <x v="0"/>
    <s v="Married"/>
    <s v="US Citizen"/>
    <s v="No"/>
    <s v="Black or African American"/>
    <d v="2015-02-16T00:00:00"/>
    <d v="2017-02-22T00:00:00"/>
    <s v="no-call, no-show"/>
    <s v="Terminated for Cause"/>
    <x v="1"/>
    <s v="Simon Roup"/>
    <x v="5"/>
    <x v="1"/>
    <n v="4.33"/>
    <n v="3"/>
    <n v="7"/>
    <d v="2017-02-15T00:00:00"/>
    <n v="9"/>
    <n v="31"/>
    <n v="2"/>
    <n v="4"/>
    <x v="1"/>
    <n v="1"/>
  </r>
  <r>
    <s v="Volk, Colleen"/>
    <n v="10022"/>
    <n v="1"/>
    <n v="1"/>
    <n v="0"/>
    <n v="4"/>
    <n v="5"/>
    <n v="4"/>
    <n v="0"/>
    <n v="49773"/>
    <x v="1"/>
    <n v="19"/>
    <s v="Production Technician I"/>
    <s v="MA"/>
    <n v="2747"/>
    <d v="1986-03-06T00:00:00"/>
    <x v="0"/>
    <x v="1"/>
    <s v="Married"/>
    <s v="US Citizen"/>
    <s v="No"/>
    <s v="White"/>
    <d v="2011-09-26T00:00:00"/>
    <d v="2016-08-02T00:00:00"/>
    <s v="gross misconduct"/>
    <s v="Terminated for Cause"/>
    <x v="0"/>
    <s v="Kelley Spirea"/>
    <x v="4"/>
    <x v="0"/>
    <n v="4.3"/>
    <n v="5"/>
    <n v="0"/>
    <d v="2015-01-02T00:00:00"/>
    <n v="18"/>
    <n v="30"/>
    <n v="5"/>
    <n v="18"/>
    <x v="2"/>
    <n v="1"/>
  </r>
  <r>
    <s v="Von Massenbach, Anna"/>
    <n v="10183"/>
    <n v="0"/>
    <n v="0"/>
    <n v="0"/>
    <n v="2"/>
    <n v="5"/>
    <n v="3"/>
    <n v="0"/>
    <n v="62068"/>
    <x v="0"/>
    <n v="19"/>
    <s v="Production Technician I"/>
    <s v="MA"/>
    <n v="2124"/>
    <d v="1985-06-04T00:00:00"/>
    <x v="0"/>
    <x v="1"/>
    <s v="Single"/>
    <s v="US Citizen"/>
    <s v="No"/>
    <s v="White"/>
    <d v="2015-05-07T00:00:00"/>
    <m/>
    <s v="N/A-StillEmployed"/>
    <s v="Active"/>
    <x v="0"/>
    <s v="Michael Albert"/>
    <x v="0"/>
    <x v="1"/>
    <n v="3.21"/>
    <n v="3"/>
    <n v="0"/>
    <d v="2019-01-29T00:00:00"/>
    <n v="7"/>
    <n v="35"/>
    <n v="5"/>
    <n v="22"/>
    <x v="0"/>
    <n v="1"/>
  </r>
  <r>
    <s v="Walker, Roger"/>
    <n v="10190"/>
    <n v="0"/>
    <n v="0"/>
    <n v="1"/>
    <n v="1"/>
    <n v="5"/>
    <n v="3"/>
    <n v="0"/>
    <n v="66541"/>
    <x v="0"/>
    <n v="20"/>
    <s v="Production Technician Ii"/>
    <s v="MA"/>
    <n v="2459"/>
    <d v="1976-10-02T00:00:00"/>
    <x v="0"/>
    <x v="0"/>
    <s v="Single"/>
    <s v="US Citizen"/>
    <s v="No"/>
    <s v="Black or African American"/>
    <d v="2014-08-18T00:00:00"/>
    <m/>
    <s v="N/A-StillEmployed"/>
    <s v="Active"/>
    <x v="0"/>
    <s v="Ketsia Liebig"/>
    <x v="5"/>
    <x v="1"/>
    <n v="3.11"/>
    <n v="5"/>
    <n v="0"/>
    <d v="2019-12-02T00:00:00"/>
    <n v="4"/>
    <n v="43"/>
    <n v="5"/>
    <n v="19"/>
    <x v="0"/>
    <n v="1"/>
  </r>
  <r>
    <s v="Wallace, Courtney  E"/>
    <n v="10274"/>
    <n v="1"/>
    <n v="1"/>
    <n v="0"/>
    <n v="5"/>
    <n v="5"/>
    <n v="3"/>
    <n v="1"/>
    <n v="80512"/>
    <x v="1"/>
    <n v="18"/>
    <s v="Production Manager"/>
    <s v="MA"/>
    <n v="2478"/>
    <d v="1955-11-14T00:00:00"/>
    <x v="1"/>
    <x v="1"/>
    <s v="Married"/>
    <s v="US Citizen"/>
    <s v="No"/>
    <s v="Black or African American"/>
    <d v="2011-09-26T00:00:00"/>
    <d v="2012-02-01T00:00:00"/>
    <s v="Another position"/>
    <s v="Voluntarily Terminated"/>
    <x v="0"/>
    <s v="Janet King"/>
    <x v="3"/>
    <x v="1"/>
    <n v="4.5"/>
    <n v="3"/>
    <n v="0"/>
    <d v="2012-02-01T00:00:00"/>
    <n v="5"/>
    <n v="56"/>
    <n v="0"/>
    <n v="2"/>
    <x v="4"/>
    <n v="1"/>
  </r>
  <r>
    <s v="Wallace, Theresa"/>
    <n v="10293"/>
    <n v="0"/>
    <n v="0"/>
    <n v="0"/>
    <n v="5"/>
    <n v="5"/>
    <n v="2"/>
    <n v="0"/>
    <n v="50274"/>
    <x v="1"/>
    <n v="19"/>
    <s v="Production Technician I"/>
    <s v="MA"/>
    <n v="1887"/>
    <d v="1980-02-08T00:00:00"/>
    <x v="0"/>
    <x v="1"/>
    <s v="Single"/>
    <s v="US Citizen"/>
    <s v="No"/>
    <s v="White"/>
    <d v="2012-08-13T00:00:00"/>
    <d v="2015-01-09T00:00:00"/>
    <s v="career change"/>
    <s v="Voluntarily Terminated"/>
    <x v="0"/>
    <s v="Elijiah Gray"/>
    <x v="6"/>
    <x v="2"/>
    <n v="2.5"/>
    <n v="3"/>
    <n v="0"/>
    <d v="2014-05-09T00:00:00"/>
    <n v="13"/>
    <n v="35"/>
    <n v="2"/>
    <n v="16"/>
    <x v="3"/>
    <n v="1"/>
  </r>
  <r>
    <s v="Wang, Charlie"/>
    <n v="10172"/>
    <n v="0"/>
    <n v="0"/>
    <n v="1"/>
    <n v="1"/>
    <n v="3"/>
    <n v="3"/>
    <n v="0"/>
    <n v="84903"/>
    <x v="0"/>
    <n v="22"/>
    <s v="Senior Bi Developer"/>
    <s v="MA"/>
    <n v="1887"/>
    <d v="1981-08-07T00:00:00"/>
    <x v="0"/>
    <x v="0"/>
    <s v="Single"/>
    <s v="US Citizen"/>
    <s v="No"/>
    <s v="Asian"/>
    <d v="2017-02-25T00:00:00"/>
    <m/>
    <s v="N/A-StillEmployed"/>
    <s v="Active"/>
    <x v="1"/>
    <s v="Brian Champaigne"/>
    <x v="2"/>
    <x v="1"/>
    <n v="3.42"/>
    <n v="4"/>
    <n v="7"/>
    <d v="2019-04-01T00:00:00"/>
    <n v="17"/>
    <n v="38"/>
    <n v="3"/>
    <n v="13"/>
    <x v="0"/>
    <n v="1"/>
  </r>
  <r>
    <s v="Warfield, Sarah"/>
    <n v="10127"/>
    <n v="0"/>
    <n v="4"/>
    <n v="0"/>
    <n v="1"/>
    <n v="3"/>
    <n v="3"/>
    <n v="0"/>
    <n v="107226"/>
    <x v="0"/>
    <n v="28"/>
    <s v="Sr. Network Engineer"/>
    <s v="MA"/>
    <n v="2453"/>
    <d v="1978-02-05T00:00:00"/>
    <x v="0"/>
    <x v="1"/>
    <s v="Widowed"/>
    <s v="US Citizen"/>
    <s v="No"/>
    <s v="Asian"/>
    <d v="2015-03-30T00:00:00"/>
    <m/>
    <s v="N/A-StillEmployed"/>
    <s v="Active"/>
    <x v="1"/>
    <s v="Peter Monroe"/>
    <x v="5"/>
    <x v="1"/>
    <n v="4.2"/>
    <n v="4"/>
    <n v="8"/>
    <d v="2019-05-02T00:00:00"/>
    <n v="7"/>
    <n v="42"/>
    <n v="5"/>
    <n v="7"/>
    <x v="0"/>
    <n v="1"/>
  </r>
  <r>
    <s v="Whittier, Scott"/>
    <n v="10072"/>
    <n v="0"/>
    <n v="0"/>
    <n v="1"/>
    <n v="5"/>
    <n v="5"/>
    <n v="3"/>
    <n v="0"/>
    <n v="58371"/>
    <x v="1"/>
    <n v="19"/>
    <s v="Production Technician I"/>
    <s v="MA"/>
    <n v="2030"/>
    <d v="1987-05-24T00:00:00"/>
    <x v="0"/>
    <x v="0"/>
    <s v="Single"/>
    <s v="US Citizen"/>
    <s v="Yes"/>
    <s v="White"/>
    <d v="2011-10-01T00:00:00"/>
    <d v="2014-05-15T00:00:00"/>
    <s v="hours"/>
    <s v="Voluntarily Terminated"/>
    <x v="0"/>
    <s v="Webster Butler"/>
    <x v="0"/>
    <x v="1"/>
    <n v="5"/>
    <n v="5"/>
    <n v="0"/>
    <d v="2014-05-15T00:00:00"/>
    <n v="11"/>
    <n v="27"/>
    <n v="3"/>
    <n v="39"/>
    <x v="5"/>
    <n v="1"/>
  </r>
  <r>
    <s v="Wilber, Barry"/>
    <n v="10048"/>
    <n v="1"/>
    <n v="1"/>
    <n v="1"/>
    <n v="5"/>
    <n v="5"/>
    <n v="3"/>
    <n v="0"/>
    <n v="55140"/>
    <x v="1"/>
    <n v="19"/>
    <s v="Production Technician I"/>
    <s v="MA"/>
    <n v="2324"/>
    <d v="1965-09-09T00:00:00"/>
    <x v="0"/>
    <x v="0"/>
    <s v="Married"/>
    <s v="Eligible NonCitizen"/>
    <s v="No"/>
    <s v="White"/>
    <d v="2011-05-16T00:00:00"/>
    <d v="2015-07-09T00:00:00"/>
    <s v="unhappy"/>
    <s v="Voluntarily Terminated"/>
    <x v="0"/>
    <s v="Amy Dunn"/>
    <x v="7"/>
    <x v="1"/>
    <n v="5"/>
    <n v="3"/>
    <n v="0"/>
    <d v="2015-02-15T00:00:00"/>
    <n v="7"/>
    <n v="50"/>
    <n v="4"/>
    <n v="11"/>
    <x v="3"/>
    <n v="1"/>
  </r>
  <r>
    <s v="Wilkes, Annie"/>
    <n v="10204"/>
    <n v="0"/>
    <n v="2"/>
    <n v="0"/>
    <n v="5"/>
    <n v="5"/>
    <n v="3"/>
    <n v="0"/>
    <n v="58062"/>
    <x v="1"/>
    <n v="19"/>
    <s v="Production Technician I"/>
    <s v="MA"/>
    <n v="1876"/>
    <d v="1983-07-30T00:00:00"/>
    <x v="0"/>
    <x v="1"/>
    <s v="Divorced"/>
    <s v="US Citizen"/>
    <s v="No"/>
    <s v="White"/>
    <d v="2011-10-01T00:00:00"/>
    <d v="2012-05-14T00:00:00"/>
    <s v="Another position"/>
    <s v="Voluntarily Terminated"/>
    <x v="0"/>
    <s v="Ketsia Liebig"/>
    <x v="4"/>
    <x v="1"/>
    <n v="3.6"/>
    <n v="5"/>
    <n v="0"/>
    <d v="2011-06-02T00:00:00"/>
    <n v="9"/>
    <n v="29"/>
    <n v="1"/>
    <n v="19"/>
    <x v="4"/>
    <n v="1"/>
  </r>
  <r>
    <s v="Williams, Jacquelyn"/>
    <n v="10264"/>
    <n v="0"/>
    <n v="0"/>
    <n v="0"/>
    <n v="5"/>
    <n v="5"/>
    <n v="3"/>
    <n v="1"/>
    <n v="59728"/>
    <x v="1"/>
    <n v="19"/>
    <s v="Production Technician I"/>
    <s v="MA"/>
    <n v="2109"/>
    <d v="1969-02-10T00:00:00"/>
    <x v="0"/>
    <x v="1"/>
    <s v="Single"/>
    <s v="US Citizen"/>
    <s v="Yes"/>
    <s v="Black or African American"/>
    <d v="2012-09-01T00:00:00"/>
    <d v="2015-06-27T00:00:00"/>
    <s v="relocation out of area"/>
    <s v="Voluntarily Terminated"/>
    <x v="0"/>
    <s v="Ketsia Liebig"/>
    <x v="3"/>
    <x v="1"/>
    <n v="4.3"/>
    <n v="4"/>
    <n v="0"/>
    <d v="2014-02-06T00:00:00"/>
    <n v="16"/>
    <n v="46"/>
    <n v="3"/>
    <n v="19"/>
    <x v="3"/>
    <n v="1"/>
  </r>
  <r>
    <s v="Winthrop, Jordan"/>
    <n v="10033"/>
    <n v="0"/>
    <n v="0"/>
    <n v="1"/>
    <n v="5"/>
    <n v="5"/>
    <n v="4"/>
    <n v="0"/>
    <n v="70507"/>
    <x v="1"/>
    <n v="20"/>
    <s v="Production Technician Ii"/>
    <s v="MA"/>
    <n v="2045"/>
    <d v="1958-07-11T00:00:00"/>
    <x v="1"/>
    <x v="0"/>
    <s v="Single"/>
    <s v="US Citizen"/>
    <s v="No"/>
    <s v="White"/>
    <d v="2013-07-01T00:00:00"/>
    <d v="2016-02-21T00:00:00"/>
    <s v="retiring"/>
    <s v="Voluntarily Terminated"/>
    <x v="0"/>
    <s v="Brannon Miller"/>
    <x v="0"/>
    <x v="0"/>
    <n v="5"/>
    <n v="3"/>
    <n v="0"/>
    <d v="2019-01-19T00:00:00"/>
    <n v="7"/>
    <n v="58"/>
    <n v="3"/>
    <n v="12"/>
    <x v="2"/>
    <n v="1"/>
  </r>
  <r>
    <s v="Wolk, Hang  T"/>
    <n v="10174"/>
    <n v="0"/>
    <n v="0"/>
    <n v="0"/>
    <n v="1"/>
    <n v="5"/>
    <n v="3"/>
    <n v="0"/>
    <n v="60446"/>
    <x v="0"/>
    <n v="20"/>
    <s v="Production Technician Ii"/>
    <s v="MA"/>
    <n v="2302"/>
    <d v="1985-04-20T00:00:00"/>
    <x v="0"/>
    <x v="1"/>
    <s v="Single"/>
    <s v="US Citizen"/>
    <s v="No"/>
    <s v="White"/>
    <d v="2014-09-29T00:00:00"/>
    <m/>
    <s v="N/A-StillEmployed"/>
    <s v="Active"/>
    <x v="0"/>
    <s v="David Stanley"/>
    <x v="0"/>
    <x v="1"/>
    <n v="3.4"/>
    <n v="4"/>
    <n v="0"/>
    <d v="2019-02-21T00:00:00"/>
    <n v="14"/>
    <n v="35"/>
    <n v="5"/>
    <n v="14"/>
    <x v="0"/>
    <n v="1"/>
  </r>
  <r>
    <s v="Woodson, Jason"/>
    <n v="10135"/>
    <n v="0"/>
    <n v="0"/>
    <n v="1"/>
    <n v="1"/>
    <n v="5"/>
    <n v="3"/>
    <n v="0"/>
    <n v="65893"/>
    <x v="0"/>
    <n v="20"/>
    <s v="Production Technician Ii"/>
    <s v="MA"/>
    <n v="1810"/>
    <d v="1985-11-05T00:00:00"/>
    <x v="0"/>
    <x v="0"/>
    <s v="Single"/>
    <s v="US Citizen"/>
    <s v="No"/>
    <s v="White"/>
    <d v="2014-07-07T00:00:00"/>
    <m/>
    <s v="N/A-StillEmployed"/>
    <s v="Active"/>
    <x v="0"/>
    <s v="Kissy Sullivan"/>
    <x v="0"/>
    <x v="1"/>
    <n v="4.07"/>
    <n v="4"/>
    <n v="0"/>
    <d v="2019-02-28T00:00:00"/>
    <n v="13"/>
    <n v="34"/>
    <n v="5"/>
    <n v="20"/>
    <x v="0"/>
    <n v="1"/>
  </r>
  <r>
    <s v="Ybarra, Catherine"/>
    <n v="10301"/>
    <n v="0"/>
    <n v="0"/>
    <n v="0"/>
    <n v="5"/>
    <n v="5"/>
    <n v="1"/>
    <n v="0"/>
    <n v="48513"/>
    <x v="1"/>
    <n v="19"/>
    <s v="Production Technician I"/>
    <s v="MA"/>
    <n v="2458"/>
    <d v="1982-04-05T00:00:00"/>
    <x v="0"/>
    <x v="1"/>
    <s v="Single"/>
    <s v="US Citizen"/>
    <s v="No"/>
    <s v="Asian"/>
    <d v="2008-02-09T00:00:00"/>
    <d v="2015-09-29T00:00:00"/>
    <s v="Another position"/>
    <s v="Voluntarily Terminated"/>
    <x v="0"/>
    <s v="Brannon Miller"/>
    <x v="4"/>
    <x v="3"/>
    <n v="3.2"/>
    <n v="2"/>
    <n v="0"/>
    <d v="2015-02-09T00:00:00"/>
    <n v="4"/>
    <n v="33"/>
    <n v="8"/>
    <n v="12"/>
    <x v="3"/>
    <n v="1"/>
  </r>
  <r>
    <s v="Zamora, Jennifer"/>
    <n v="10010"/>
    <n v="0"/>
    <n v="0"/>
    <n v="0"/>
    <n v="1"/>
    <n v="3"/>
    <n v="4"/>
    <n v="0"/>
    <n v="220450"/>
    <x v="0"/>
    <n v="6"/>
    <s v="Cio"/>
    <s v="MA"/>
    <n v="2067"/>
    <d v="1979-08-30T00:00:00"/>
    <x v="0"/>
    <x v="1"/>
    <s v="Single"/>
    <s v="US Citizen"/>
    <s v="No"/>
    <s v="White"/>
    <d v="2010-10-04T00:00:00"/>
    <m/>
    <s v="N/A-StillEmployed"/>
    <s v="Active"/>
    <x v="1"/>
    <s v="Janet King"/>
    <x v="5"/>
    <x v="0"/>
    <n v="4.5999999999999996"/>
    <n v="5"/>
    <n v="6"/>
    <d v="2019-02-21T00:00:00"/>
    <n v="16"/>
    <n v="40"/>
    <n v="9"/>
    <n v="2"/>
    <x v="0"/>
    <n v="1"/>
  </r>
  <r>
    <s v="Zhou, Julia"/>
    <n v="10043"/>
    <n v="0"/>
    <n v="0"/>
    <n v="0"/>
    <n v="1"/>
    <n v="3"/>
    <n v="3"/>
    <n v="0"/>
    <n v="89292"/>
    <x v="0"/>
    <n v="9"/>
    <s v="Data Analyst"/>
    <s v="MA"/>
    <n v="2148"/>
    <d v="1979-02-24T00:00:00"/>
    <x v="0"/>
    <x v="1"/>
    <s v="Single"/>
    <s v="US Citizen"/>
    <s v="No"/>
    <s v="White"/>
    <d v="2015-03-30T00:00:00"/>
    <m/>
    <s v="N/A-StillEmployed"/>
    <s v="Active"/>
    <x v="1"/>
    <s v="Simon Roup"/>
    <x v="5"/>
    <x v="1"/>
    <n v="5"/>
    <n v="3"/>
    <n v="5"/>
    <d v="2019-01-02T00:00:00"/>
    <n v="11"/>
    <n v="41"/>
    <n v="5"/>
    <n v="4"/>
    <x v="0"/>
    <n v="1"/>
  </r>
  <r>
    <s v="Zima, Colleen"/>
    <n v="10271"/>
    <n v="0"/>
    <n v="4"/>
    <n v="0"/>
    <n v="1"/>
    <n v="5"/>
    <n v="3"/>
    <n v="0"/>
    <n v="45046"/>
    <x v="0"/>
    <n v="19"/>
    <s v="Production Technician I"/>
    <s v="MA"/>
    <n v="1730"/>
    <d v="1978-08-17T00:00:00"/>
    <x v="0"/>
    <x v="1"/>
    <s v="Widowed"/>
    <s v="US Citizen"/>
    <s v="No"/>
    <s v="Asian"/>
    <d v="2014-09-29T00:00:00"/>
    <m/>
    <s v="N/A-StillEmployed"/>
    <s v="Active"/>
    <x v="0"/>
    <s v="David Stanley"/>
    <x v="0"/>
    <x v="1"/>
    <n v="4.5"/>
    <n v="5"/>
    <n v="0"/>
    <d v="2019-01-30T00:00:00"/>
    <n v="2"/>
    <n v="41"/>
    <n v="5"/>
    <n v="14"/>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EFD5FB-A898-4500-93BC-6D8759F75C84}" name="PivotTable7" cacheId="1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4" firstHeaderRow="0" firstDataRow="1" firstDataCol="0"/>
  <pivotFields count="43">
    <pivotField showAll="0"/>
    <pivotField dataField="1"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numFmtId="14" showAll="0"/>
    <pivotField showAll="0"/>
    <pivotField showAll="0"/>
    <pivotField showAll="0"/>
    <pivotField showAll="0"/>
    <pivotField showAll="0"/>
    <pivotField showAll="0"/>
    <pivotField numFmtId="14" showAll="0"/>
    <pivotField showAll="0"/>
    <pivotField showAll="0"/>
    <pivotField showAll="0"/>
    <pivotField showAll="0">
      <items count="7">
        <item x="3"/>
        <item x="5"/>
        <item x="1"/>
        <item x="0"/>
        <item x="4"/>
        <item x="2"/>
        <item t="default"/>
      </items>
    </pivotField>
    <pivotField showAll="0"/>
    <pivotField showAll="0"/>
    <pivotField showAll="0"/>
    <pivotField dataField="1" showAll="0"/>
    <pivotField showAll="0"/>
    <pivotField showAll="0"/>
    <pivotField numFmtId="14" showAll="0"/>
    <pivotField showAll="0"/>
    <pivotField dataField="1" showAll="0"/>
    <pivotField dataField="1" showAll="0"/>
    <pivotField showAll="0"/>
    <pivotField showAll="0"/>
    <pivotField showAll="0"/>
    <pivotField dragToRow="0" dragToCol="0" dragToPage="0" showAll="0" defaultSubtotal="0"/>
    <pivotField dataField="1" dragToRow="0" dragToCol="0" dragToPage="0" showAll="0" defaultSubtotal="0"/>
    <pivotField dataField="1" dragToRow="0" dragToCol="0" dragToPage="0" showAll="0" defaultSubtotal="0"/>
  </pivotFields>
  <rowItems count="1">
    <i/>
  </rowItems>
  <colFields count="1">
    <field x="-2"/>
  </colFields>
  <colItems count="8">
    <i>
      <x/>
    </i>
    <i i="1">
      <x v="1"/>
    </i>
    <i i="2">
      <x v="2"/>
    </i>
    <i i="3">
      <x v="3"/>
    </i>
    <i i="4">
      <x v="4"/>
    </i>
    <i i="5">
      <x v="5"/>
    </i>
    <i i="6">
      <x v="6"/>
    </i>
    <i i="7">
      <x v="7"/>
    </i>
  </colItems>
  <dataFields count="8">
    <dataField name="Count of EmpID" fld="1" subtotal="count" baseField="0" baseItem="1"/>
    <dataField name="Sum of Termd" fld="10" baseField="0" baseItem="0"/>
    <dataField name="Average of Age" fld="35" subtotal="average" baseField="0" baseItem="1" numFmtId="164"/>
    <dataField name="Average of Tenure_Years" fld="36" subtotal="average" baseField="0" baseItem="1" numFmtId="164"/>
    <dataField name="Average of Salary" fld="9" subtotal="average" baseField="0" baseItem="1" numFmtId="165"/>
    <dataField name="Average of EngagementSurvey" fld="30" subtotal="average" baseField="0" baseItem="1"/>
    <dataField name="Sum of ActiveEmployees" fld="41" baseField="0" baseItem="0"/>
    <dataField name="Sum of Turnover Rate" fld="42" baseField="0" baseItem="0" numFmtId="9"/>
  </dataFields>
  <formats count="4">
    <format dxfId="11">
      <pivotArea outline="0" collapsedLevelsAreSubtotals="1" fieldPosition="0">
        <references count="1">
          <reference field="4294967294" count="1" selected="0">
            <x v="7"/>
          </reference>
        </references>
      </pivotArea>
    </format>
    <format dxfId="10">
      <pivotArea outline="0" collapsedLevelsAreSubtotals="1" fieldPosition="0">
        <references count="1">
          <reference field="4294967294" count="1" selected="0">
            <x v="2"/>
          </reference>
        </references>
      </pivotArea>
    </format>
    <format dxfId="9">
      <pivotArea outline="0" collapsedLevelsAreSubtotals="1" fieldPosition="0">
        <references count="1">
          <reference field="4294967294" count="1" selected="0">
            <x v="3"/>
          </reference>
        </references>
      </pivotArea>
    </format>
    <format dxfId="8">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DD3C3A-7C24-473D-9552-0204337AE358}" name="PivotTable2" cacheId="1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3:B10" firstHeaderRow="1" firstDataRow="1" firstDataCol="1"/>
  <pivotFields count="4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items count="3">
        <item x="1"/>
        <item x="0"/>
        <item t="default"/>
      </items>
    </pivotField>
    <pivotField showAll="0"/>
    <pivotField showAll="0"/>
    <pivotField showAll="0"/>
    <pivotField showAll="0"/>
    <pivotField numFmtId="14" showAll="0"/>
    <pivotField showAll="0"/>
    <pivotField showAll="0"/>
    <pivotField showAll="0"/>
    <pivotField axis="axisRow" showAll="0" sortType="descending">
      <items count="7">
        <item x="3"/>
        <item x="5"/>
        <item x="1"/>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1"/>
        <item x="2"/>
        <item x="3"/>
        <item t="default"/>
      </items>
    </pivotField>
    <pivotField showAll="0"/>
    <pivotField showAll="0"/>
    <pivotField showAll="0"/>
    <pivotField numFmtId="14"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s>
  <rowFields count="1">
    <field x="26"/>
  </rowFields>
  <rowItems count="7">
    <i>
      <x v="3"/>
    </i>
    <i>
      <x v="5"/>
    </i>
    <i>
      <x/>
    </i>
    <i>
      <x v="2"/>
    </i>
    <i>
      <x v="4"/>
    </i>
    <i>
      <x v="1"/>
    </i>
    <i t="grand">
      <x/>
    </i>
  </rowItems>
  <colItems count="1">
    <i/>
  </colItems>
  <dataFields count="1">
    <dataField name="Sum of PctTerminated" fld="40" baseField="0" baseItem="0" numFmtId="174"/>
  </dataFields>
  <chartFormats count="1">
    <chartFormat chart="5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B0F2B2-CEF3-48F4-BF5F-5B42F734900E}" name="PivotTable3" cacheId="1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13" firstHeaderRow="1" firstDataRow="1" firstDataCol="1"/>
  <pivotFields count="43">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items count="3">
        <item x="1"/>
        <item x="0"/>
        <item t="default"/>
      </items>
    </pivotField>
    <pivotField showAll="0"/>
    <pivotField showAll="0"/>
    <pivotField showAll="0"/>
    <pivotField showAll="0"/>
    <pivotField numFmtId="14" showAll="0"/>
    <pivotField showAll="0"/>
    <pivotField showAll="0"/>
    <pivotField showAll="0"/>
    <pivotField showAll="0">
      <items count="7">
        <item x="3"/>
        <item x="5"/>
        <item x="1"/>
        <item x="0"/>
        <item x="4"/>
        <item x="2"/>
        <item t="default"/>
      </items>
    </pivotField>
    <pivotField showAll="0"/>
    <pivotField showAll="0"/>
    <pivotField showAll="0">
      <items count="5">
        <item x="0"/>
        <item x="1"/>
        <item x="2"/>
        <item x="3"/>
        <item t="default"/>
      </items>
    </pivotField>
    <pivotField showAll="0"/>
    <pivotField showAll="0"/>
    <pivotField showAll="0"/>
    <pivotField numFmtId="14" showAll="0"/>
    <pivotField showAll="0"/>
    <pivotField showAll="0"/>
    <pivotField showAll="0"/>
    <pivotField showAll="0"/>
    <pivotField axis="axisRow" showAll="0">
      <items count="11">
        <item x="9"/>
        <item x="7"/>
        <item x="4"/>
        <item x="6"/>
        <item x="5"/>
        <item x="3"/>
        <item x="2"/>
        <item x="1"/>
        <item x="8"/>
        <item h="1" x="0"/>
        <item t="default"/>
      </items>
    </pivotField>
    <pivotField showAll="0"/>
    <pivotField dragToRow="0" dragToCol="0" dragToPage="0" showAll="0" defaultSubtotal="0"/>
    <pivotField dragToRow="0" dragToCol="0" dragToPage="0" showAll="0" defaultSubtotal="0"/>
    <pivotField dragToRow="0" dragToCol="0" dragToPage="0" showAll="0" defaultSubtotal="0"/>
  </pivotFields>
  <rowFields count="1">
    <field x="38"/>
  </rowFields>
  <rowItems count="10">
    <i>
      <x/>
    </i>
    <i>
      <x v="1"/>
    </i>
    <i>
      <x v="2"/>
    </i>
    <i>
      <x v="3"/>
    </i>
    <i>
      <x v="4"/>
    </i>
    <i>
      <x v="5"/>
    </i>
    <i>
      <x v="6"/>
    </i>
    <i>
      <x v="7"/>
    </i>
    <i>
      <x v="8"/>
    </i>
    <i t="grand">
      <x/>
    </i>
  </rowItems>
  <colItems count="1">
    <i/>
  </colItems>
  <dataFields count="1">
    <dataField name="Count of EmpID" fld="1" subtotal="count" baseField="38" baseItem="0"/>
  </dataFields>
  <chartFormats count="2">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3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13558C-65B9-41E4-9AA5-7017633D5217}" name="PivotTable4" cacheId="1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4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items count="3">
        <item x="1"/>
        <item x="0"/>
        <item t="default"/>
      </items>
    </pivotField>
    <pivotField showAll="0"/>
    <pivotField showAll="0"/>
    <pivotField showAll="0"/>
    <pivotField showAll="0"/>
    <pivotField numFmtId="14" showAll="0"/>
    <pivotField showAll="0"/>
    <pivotField showAll="0"/>
    <pivotField showAll="0"/>
    <pivotField showAll="0">
      <items count="7">
        <item x="3"/>
        <item x="5"/>
        <item x="1"/>
        <item x="0"/>
        <item x="4"/>
        <item x="2"/>
        <item t="default"/>
      </items>
    </pivotField>
    <pivotField showAll="0"/>
    <pivotField showAll="0"/>
    <pivotField axis="axisRow" showAll="0">
      <items count="5">
        <item x="0"/>
        <item x="1"/>
        <item x="2"/>
        <item x="3"/>
        <item t="default"/>
      </items>
    </pivotField>
    <pivotField showAll="0"/>
    <pivotField showAll="0"/>
    <pivotField showAll="0"/>
    <pivotField numFmtId="14" showAll="0"/>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9"/>
  </rowFields>
  <rowItems count="5">
    <i>
      <x/>
    </i>
    <i>
      <x v="1"/>
    </i>
    <i>
      <x v="2"/>
    </i>
    <i>
      <x v="3"/>
    </i>
    <i t="grand">
      <x/>
    </i>
  </rowItems>
  <colItems count="1">
    <i/>
  </colItems>
  <dataFields count="1">
    <dataField name="Average of Tenure_Years" fld="36" subtotal="average" baseField="29" baseItem="0" numFmtId="164"/>
  </dataFields>
  <formats count="1">
    <format dxfId="7">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5349CD-E05B-4335-853C-D0EAD74DF5C2}" name="PivotTable5" cacheId="1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F14" firstHeaderRow="1" firstDataRow="2" firstDataCol="1"/>
  <pivotFields count="43">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items count="3">
        <item x="1"/>
        <item x="0"/>
        <item t="default"/>
      </items>
    </pivotField>
    <pivotField showAll="0"/>
    <pivotField showAll="0"/>
    <pivotField showAll="0"/>
    <pivotField showAll="0"/>
    <pivotField numFmtId="14" showAll="0"/>
    <pivotField showAll="0"/>
    <pivotField showAll="0"/>
    <pivotField showAll="0"/>
    <pivotField showAll="0">
      <items count="7">
        <item x="3"/>
        <item x="5"/>
        <item x="1"/>
        <item x="0"/>
        <item x="4"/>
        <item x="2"/>
        <item t="default"/>
      </items>
    </pivotField>
    <pivotField showAll="0"/>
    <pivotField axis="axisRow" showAll="0" sortType="descending">
      <items count="13">
        <item x="6"/>
        <item m="1" x="9"/>
        <item m="1" x="10"/>
        <item x="4"/>
        <item x="2"/>
        <item x="0"/>
        <item m="1" x="11"/>
        <item x="8"/>
        <item x="7"/>
        <item x="1"/>
        <item x="3"/>
        <item x="5"/>
        <item t="default"/>
      </items>
      <autoSortScope>
        <pivotArea dataOnly="0" outline="0" fieldPosition="0">
          <references count="1">
            <reference field="4294967294" count="1" selected="0">
              <x v="0"/>
            </reference>
          </references>
        </pivotArea>
      </autoSortScope>
    </pivotField>
    <pivotField axis="axisCol" showAll="0">
      <items count="5">
        <item x="0"/>
        <item x="1"/>
        <item x="2"/>
        <item x="3"/>
        <item t="default"/>
      </items>
    </pivotField>
    <pivotField showAll="0"/>
    <pivotField showAll="0"/>
    <pivotField showAll="0"/>
    <pivotField numFmtId="14"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8"/>
  </rowFields>
  <rowItems count="10">
    <i>
      <x v="4"/>
    </i>
    <i>
      <x v="5"/>
    </i>
    <i>
      <x v="3"/>
    </i>
    <i>
      <x v="11"/>
    </i>
    <i>
      <x v="10"/>
    </i>
    <i>
      <x/>
    </i>
    <i>
      <x v="8"/>
    </i>
    <i>
      <x v="7"/>
    </i>
    <i>
      <x v="9"/>
    </i>
    <i t="grand">
      <x/>
    </i>
  </rowItems>
  <colFields count="1">
    <field x="29"/>
  </colFields>
  <colItems count="5">
    <i>
      <x/>
    </i>
    <i>
      <x v="1"/>
    </i>
    <i>
      <x v="2"/>
    </i>
    <i>
      <x v="3"/>
    </i>
    <i t="grand">
      <x/>
    </i>
  </colItems>
  <dataFields count="1">
    <dataField name="Count of EmpID" fld="1" subtotal="count" baseField="28" baseItem="0"/>
  </dataFields>
  <chartFormats count="8">
    <chartFormat chart="0" format="0" series="1">
      <pivotArea type="data" outline="0" fieldPosition="0">
        <references count="2">
          <reference field="4294967294" count="1" selected="0">
            <x v="0"/>
          </reference>
          <reference field="29" count="1" selected="0">
            <x v="0"/>
          </reference>
        </references>
      </pivotArea>
    </chartFormat>
    <chartFormat chart="0" format="1" series="1">
      <pivotArea type="data" outline="0" fieldPosition="0">
        <references count="2">
          <reference field="4294967294" count="1" selected="0">
            <x v="0"/>
          </reference>
          <reference field="29" count="1" selected="0">
            <x v="1"/>
          </reference>
        </references>
      </pivotArea>
    </chartFormat>
    <chartFormat chart="0" format="2" series="1">
      <pivotArea type="data" outline="0" fieldPosition="0">
        <references count="2">
          <reference field="4294967294" count="1" selected="0">
            <x v="0"/>
          </reference>
          <reference field="29" count="1" selected="0">
            <x v="2"/>
          </reference>
        </references>
      </pivotArea>
    </chartFormat>
    <chartFormat chart="0" format="3" series="1">
      <pivotArea type="data" outline="0" fieldPosition="0">
        <references count="2">
          <reference field="4294967294" count="1" selected="0">
            <x v="0"/>
          </reference>
          <reference field="29" count="1" selected="0">
            <x v="3"/>
          </reference>
        </references>
      </pivotArea>
    </chartFormat>
    <chartFormat chart="27" format="8" series="1">
      <pivotArea type="data" outline="0" fieldPosition="0">
        <references count="2">
          <reference field="4294967294" count="1" selected="0">
            <x v="0"/>
          </reference>
          <reference field="29" count="1" selected="0">
            <x v="0"/>
          </reference>
        </references>
      </pivotArea>
    </chartFormat>
    <chartFormat chart="27" format="9" series="1">
      <pivotArea type="data" outline="0" fieldPosition="0">
        <references count="2">
          <reference field="4294967294" count="1" selected="0">
            <x v="0"/>
          </reference>
          <reference field="29" count="1" selected="0">
            <x v="1"/>
          </reference>
        </references>
      </pivotArea>
    </chartFormat>
    <chartFormat chart="27" format="10" series="1">
      <pivotArea type="data" outline="0" fieldPosition="0">
        <references count="2">
          <reference field="4294967294" count="1" selected="0">
            <x v="0"/>
          </reference>
          <reference field="29" count="1" selected="0">
            <x v="2"/>
          </reference>
        </references>
      </pivotArea>
    </chartFormat>
    <chartFormat chart="27" format="11" series="1">
      <pivotArea type="data" outline="0" fieldPosition="0">
        <references count="2">
          <reference field="4294967294" count="1" selected="0">
            <x v="0"/>
          </reference>
          <reference field="2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FA2CF3-B25D-48D5-BE40-52207CA35075}" name="PivotTable6" cacheId="1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6" firstHeaderRow="1" firstDataRow="1" firstDataCol="1"/>
  <pivotFields count="43">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pivotField axis="axisRow" showAll="0">
      <items count="3">
        <item x="1"/>
        <item x="0"/>
        <item t="default"/>
      </items>
    </pivotField>
    <pivotField showAll="0"/>
    <pivotField showAll="0"/>
    <pivotField showAll="0"/>
    <pivotField showAll="0"/>
    <pivotField numFmtId="14" showAll="0"/>
    <pivotField showAll="0"/>
    <pivotField showAll="0"/>
    <pivotField showAll="0"/>
    <pivotField showAll="0">
      <items count="7">
        <item x="3"/>
        <item x="5"/>
        <item x="1"/>
        <item x="0"/>
        <item x="4"/>
        <item x="2"/>
        <item t="default"/>
      </items>
    </pivotField>
    <pivotField showAll="0"/>
    <pivotField showAll="0"/>
    <pivotField showAll="0">
      <items count="5">
        <item x="0"/>
        <item x="1"/>
        <item x="2"/>
        <item x="3"/>
        <item t="default"/>
      </items>
    </pivotField>
    <pivotField showAll="0"/>
    <pivotField showAll="0"/>
    <pivotField showAll="0"/>
    <pivotField numFmtId="14"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7"/>
  </rowFields>
  <rowItems count="3">
    <i>
      <x/>
    </i>
    <i>
      <x v="1"/>
    </i>
    <i t="grand">
      <x/>
    </i>
  </rowItems>
  <colItems count="1">
    <i/>
  </colItems>
  <dataFields count="1">
    <dataField name="Average of Salary" fld="9" subtotal="average" baseField="17" baseItem="0"/>
  </dataFields>
  <formats count="2">
    <format dxfId="5">
      <pivotArea collapsedLevelsAreSubtotals="1" fieldPosition="0">
        <references count="1">
          <reference field="17" count="0"/>
        </references>
      </pivotArea>
    </format>
    <format dxfId="6">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7" count="1" selected="0">
            <x v="0"/>
          </reference>
        </references>
      </pivotArea>
    </chartFormat>
    <chartFormat chart="13" format="6">
      <pivotArea type="data" outline="0" fieldPosition="0">
        <references count="2">
          <reference field="4294967294" count="1" selected="0">
            <x v="0"/>
          </reference>
          <reference field="17" count="1" selected="0">
            <x v="1"/>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04A91B-5DD9-4898-921D-AFF0587720D6}" name="PivotTable9" cacheId="1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18:F24" firstHeaderRow="1" firstDataRow="1" firstDataCol="1" rowPageCount="1" colPageCount="1"/>
  <pivotFields count="43">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showAll="0"/>
    <pivotField numFmtId="14" showAll="0"/>
    <pivotField showAll="0">
      <items count="3">
        <item x="0"/>
        <item x="1"/>
        <item t="default"/>
      </items>
    </pivotField>
    <pivotField showAll="0">
      <items count="3">
        <item x="1"/>
        <item x="0"/>
        <item t="default"/>
      </items>
    </pivotField>
    <pivotField showAll="0"/>
    <pivotField showAll="0"/>
    <pivotField showAll="0"/>
    <pivotField showAll="0"/>
    <pivotField numFmtId="14" showAll="0"/>
    <pivotField showAll="0"/>
    <pivotField showAll="0"/>
    <pivotField showAll="0"/>
    <pivotField axis="axisRow" showAll="0" sortType="descending">
      <items count="7">
        <item x="3"/>
        <item x="5"/>
        <item x="1"/>
        <item x="0"/>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1"/>
        <item x="2"/>
        <item x="3"/>
        <item t="default"/>
      </items>
    </pivotField>
    <pivotField showAll="0"/>
    <pivotField showAll="0"/>
    <pivotField showAll="0"/>
    <pivotField numFmtId="14" showAll="0"/>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6"/>
  </rowFields>
  <rowItems count="6">
    <i>
      <x v="5"/>
    </i>
    <i>
      <x v="3"/>
    </i>
    <i>
      <x v="4"/>
    </i>
    <i>
      <x v="2"/>
    </i>
    <i>
      <x/>
    </i>
    <i t="grand">
      <x/>
    </i>
  </rowItems>
  <colItems count="1">
    <i/>
  </colItems>
  <pageFields count="1">
    <pageField fld="10" item="1" hier="-1"/>
  </pageFields>
  <dataFields count="1">
    <dataField name="Average of Tenure_Years" fld="36" subtotal="average" baseField="26" baseItem="0" numFmtId="164"/>
  </dataFields>
  <formats count="1">
    <format dxfId="0">
      <pivotArea outline="0" collapsedLevelsAreSubtotals="1" fieldPosition="0"/>
    </format>
  </formats>
  <chartFormats count="1">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581745-A2B9-4603-B81B-08F53A3E2262}" name="PivotTable8" cacheId="1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8:C25" firstHeaderRow="0" firstDataRow="1" firstDataCol="1"/>
  <pivotFields count="4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showAll="0">
      <items count="3">
        <item x="1"/>
        <item x="0"/>
        <item t="default"/>
      </items>
    </pivotField>
    <pivotField showAll="0"/>
    <pivotField showAll="0"/>
    <pivotField showAll="0"/>
    <pivotField showAll="0"/>
    <pivotField numFmtId="14" showAll="0"/>
    <pivotField showAll="0"/>
    <pivotField showAll="0"/>
    <pivotField showAll="0"/>
    <pivotField axis="axisRow" showAll="0">
      <items count="7">
        <item x="3"/>
        <item x="5"/>
        <item x="1"/>
        <item x="0"/>
        <item x="4"/>
        <item x="2"/>
        <item t="default"/>
      </items>
    </pivotField>
    <pivotField showAll="0"/>
    <pivotField showAll="0"/>
    <pivotField showAll="0">
      <items count="5">
        <item x="0"/>
        <item x="1"/>
        <item x="2"/>
        <item x="3"/>
        <item t="default"/>
      </items>
    </pivotField>
    <pivotField dataField="1" showAll="0"/>
    <pivotField dataField="1" showAll="0"/>
    <pivotField showAll="0"/>
    <pivotField numFmtId="14"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6"/>
  </rowFields>
  <rowItems count="7">
    <i>
      <x/>
    </i>
    <i>
      <x v="1"/>
    </i>
    <i>
      <x v="2"/>
    </i>
    <i>
      <x v="3"/>
    </i>
    <i>
      <x v="4"/>
    </i>
    <i>
      <x v="5"/>
    </i>
    <i t="grand">
      <x/>
    </i>
  </rowItems>
  <colFields count="1">
    <field x="-2"/>
  </colFields>
  <colItems count="2">
    <i>
      <x/>
    </i>
    <i i="1">
      <x v="1"/>
    </i>
  </colItems>
  <dataFields count="2">
    <dataField name="Average of EngagementSurvey" fld="30" subtotal="average" baseField="26" baseItem="0"/>
    <dataField name="Average of EmpSatisfaction" fld="31" subtotal="average" baseField="26" baseItem="0" numFmtId="164"/>
  </dataFields>
  <formats count="2">
    <format dxfId="2">
      <pivotArea collapsedLevelsAreSubtotals="1" fieldPosition="0">
        <references count="2">
          <reference field="4294967294" count="1" selected="0">
            <x v="0"/>
          </reference>
          <reference field="26" count="0"/>
        </references>
      </pivotArea>
    </format>
    <format dxfId="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5A44D4-32D3-4C8D-B461-1EDA6681C5D8}" name="PivotTable1" cacheId="1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5" firstHeaderRow="1" firstDataRow="1" firstDataCol="1"/>
  <pivotFields count="4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axis="axisRow" showAll="0">
      <items count="3">
        <item x="0"/>
        <item x="1"/>
        <item t="default"/>
      </items>
    </pivotField>
    <pivotField showAll="0">
      <items count="3">
        <item x="1"/>
        <item x="0"/>
        <item t="default"/>
      </items>
    </pivotField>
    <pivotField showAll="0"/>
    <pivotField showAll="0"/>
    <pivotField showAll="0"/>
    <pivotField showAll="0"/>
    <pivotField numFmtId="14" showAll="0"/>
    <pivotField showAll="0"/>
    <pivotField showAll="0"/>
    <pivotField showAll="0"/>
    <pivotField axis="axisRow" showAll="0">
      <items count="7">
        <item x="3"/>
        <item x="5"/>
        <item x="1"/>
        <item x="0"/>
        <item x="4"/>
        <item x="2"/>
        <item t="default"/>
      </items>
    </pivotField>
    <pivotField showAll="0"/>
    <pivotField showAll="0"/>
    <pivotField showAll="0">
      <items count="5">
        <item x="0"/>
        <item x="1"/>
        <item x="2"/>
        <item x="3"/>
        <item t="default"/>
      </items>
    </pivotField>
    <pivotField showAll="0"/>
    <pivotField showAll="0"/>
    <pivotField showAll="0"/>
    <pivotField numFmtId="14"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s>
  <rowFields count="2">
    <field x="16"/>
    <field x="26"/>
  </rowFields>
  <rowItems count="12">
    <i>
      <x/>
    </i>
    <i r="1">
      <x/>
    </i>
    <i r="1">
      <x v="1"/>
    </i>
    <i r="1">
      <x v="2"/>
    </i>
    <i r="1">
      <x v="3"/>
    </i>
    <i r="1">
      <x v="4"/>
    </i>
    <i r="1">
      <x v="5"/>
    </i>
    <i>
      <x v="1"/>
    </i>
    <i r="1">
      <x v="2"/>
    </i>
    <i r="1">
      <x v="3"/>
    </i>
    <i r="1">
      <x v="4"/>
    </i>
    <i t="grand">
      <x/>
    </i>
  </rowItems>
  <colItems count="1">
    <i/>
  </colItems>
  <dataFields count="1">
    <dataField name="Sum of PctTerminated" fld="40" baseField="0" baseItem="0" numFmtId="174"/>
  </dataField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F63FD0-4BD4-4166-9002-8768F686073D}" autoFormatId="16" applyNumberFormats="0" applyBorderFormats="0" applyFontFormats="0" applyPatternFormats="0" applyAlignmentFormats="0" applyWidthHeightFormats="0">
  <queryTableRefresh nextId="41" unboundColumnsRight="2">
    <queryTableFields count="40">
      <queryTableField id="1" name="Employee_Name" tableColumnId="1"/>
      <queryTableField id="2" name="EmpID" tableColumnId="2"/>
      <queryTableField id="3" name="MarriedID" tableColumnId="3"/>
      <queryTableField id="4" name="MaritalStatusID" tableColumnId="4"/>
      <queryTableField id="5" name="GenderID" tableColumnId="5"/>
      <queryTableField id="6" name="EmpStatusID" tableColumnId="6"/>
      <queryTableField id="7" name="DeptID" tableColumnId="7"/>
      <queryTableField id="8" name="PerfScoreID" tableColumnId="8"/>
      <queryTableField id="9" name="FromDiversityJobFairID" tableColumnId="9"/>
      <queryTableField id="10" name="Salary" tableColumnId="10"/>
      <queryTableField id="11" name="Termd" tableColumnId="11"/>
      <queryTableField id="12" name="PositionID" tableColumnId="12"/>
      <queryTableField id="13" name="Position" tableColumnId="13"/>
      <queryTableField id="14" name="State" tableColumnId="14"/>
      <queryTableField id="15" name="Zip" tableColumnId="15"/>
      <queryTableField id="16" name="DOB" tableColumnId="16"/>
      <queryTableField id="17" name="Age Group" tableColumnId="17"/>
      <queryTableField id="18" name="Sex" tableColumnId="18"/>
      <queryTableField id="19" name="MaritalDesc" tableColumnId="19"/>
      <queryTableField id="20" name="CitizenDesc" tableColumnId="20"/>
      <queryTableField id="21" name="HispanicLatino" tableColumnId="21"/>
      <queryTableField id="22" name="RaceDesc" tableColumnId="22"/>
      <queryTableField id="23" name="DateofHire" tableColumnId="23"/>
      <queryTableField id="24" name="DateofTermination" tableColumnId="24"/>
      <queryTableField id="25" name="TermReason" tableColumnId="25"/>
      <queryTableField id="26" name="EmploymentStatus" tableColumnId="26"/>
      <queryTableField id="27" name="Department" tableColumnId="27"/>
      <queryTableField id="28" name="ManagerName" tableColumnId="28"/>
      <queryTableField id="29" name="RecruitmentSource" tableColumnId="29"/>
      <queryTableField id="30" name="PerformanceScore" tableColumnId="30"/>
      <queryTableField id="31" name="EngagementSurvey" tableColumnId="31"/>
      <queryTableField id="32" name="EmpSatisfaction" tableColumnId="32"/>
      <queryTableField id="33" name="SpecialProjectsCount" tableColumnId="33"/>
      <queryTableField id="34" name="LastPerformanceReview_Date" tableColumnId="34"/>
      <queryTableField id="35" name="Absences" tableColumnId="35"/>
      <queryTableField id="36" name="Age" tableColumnId="36"/>
      <queryTableField id="37" name="Tenure_Years" tableColumnId="37"/>
      <queryTableField id="38" name="ManagerID" tableColumnId="38"/>
      <queryTableField id="39" dataBound="0" tableColumnId="39"/>
      <queryTableField id="40" dataBound="0" tableColumnId="40"/>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9CC9679-06F9-43AE-9267-785580977E63}" sourceName="Department">
  <pivotTables>
    <pivotTable tabId="11" name="PivotTable2"/>
    <pivotTable tabId="10" name="PivotTable1"/>
    <pivotTable tabId="14" name="PivotTable5"/>
    <pivotTable tabId="12" name="PivotTable3"/>
    <pivotTable tabId="13" name="PivotTable4"/>
    <pivotTable tabId="15" name="PivotTable6"/>
    <pivotTable tabId="16" name="PivotTable7"/>
    <pivotTable tabId="10" name="PivotTable8"/>
    <pivotTable tabId="10" name="PivotTable9"/>
  </pivotTables>
  <data>
    <tabular pivotCacheId="1175715913">
      <items count="6">
        <i x="3" s="1"/>
        <i x="5" s="1"/>
        <i x="1"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EFDDD93E-252D-474F-8293-3E3A5058C6C7}" sourceName="Sex">
  <pivotTables>
    <pivotTable tabId="11" name="PivotTable2"/>
    <pivotTable tabId="14" name="PivotTable5"/>
    <pivotTable tabId="12" name="PivotTable3"/>
    <pivotTable tabId="13" name="PivotTable4"/>
    <pivotTable tabId="15" name="PivotTable6"/>
    <pivotTable tabId="10" name="PivotTable1"/>
    <pivotTable tabId="10" name="PivotTable8"/>
    <pivotTable tabId="10" name="PivotTable9"/>
  </pivotTables>
  <data>
    <tabular pivotCacheId="117571591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Score" xr10:uid="{9CF35388-47DE-4309-AB7D-B8BEE059E122}" sourceName="PerformanceScore">
  <pivotTables>
    <pivotTable tabId="11" name="PivotTable2"/>
    <pivotTable tabId="14" name="PivotTable5"/>
    <pivotTable tabId="12" name="PivotTable3"/>
    <pivotTable tabId="13" name="PivotTable4"/>
    <pivotTable tabId="15" name="PivotTable6"/>
    <pivotTable tabId="10" name="PivotTable1"/>
    <pivotTable tabId="10" name="PivotTable8"/>
    <pivotTable tabId="10" name="PivotTable9"/>
  </pivotTables>
  <data>
    <tabular pivotCacheId="117571591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4" xr10:uid="{81EF1124-A283-4C6E-8593-253340B884DC}" cache="Slicer_Department" caption="Department" style="Slicer Style 2" rowHeight="251883"/>
  <slicer name="Sex 1" xr10:uid="{0BE6A486-C959-4CF0-B263-C6A86439277C}" cache="Slicer_Sex" caption="Sex" style="Slicer Style 2" rowHeight="251883"/>
  <slicer name="PerformanceScore 1" xr10:uid="{B2C12EB7-FCA8-4B01-9F4F-42227ED84DAD}" cache="Slicer_PerformanceScore" caption="PerformanceScore" style="Slicer Style 2"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4CC73B-662E-4174-AEC9-89DE8D9C6742}" name="hrdata" displayName="hrdata" ref="A1:AL312" totalsRowShown="0" headerRowDxfId="73" dataDxfId="71" headerRowBorderDxfId="72" tableBorderDxfId="70" totalsRowBorderDxfId="69">
  <autoFilter ref="A1:AL312" xr:uid="{B74CC73B-662E-4174-AEC9-89DE8D9C6742}"/>
  <tableColumns count="38">
    <tableColumn id="1" xr3:uid="{AEAFA013-8D6F-4DD7-9F6F-8FB118B26181}" name="Employee_Name" dataDxfId="68"/>
    <tableColumn id="2" xr3:uid="{0EC27DA3-76C0-47D1-994F-A677CA3F9EB9}" name="EmpID" dataDxfId="67"/>
    <tableColumn id="3" xr3:uid="{C41B7F6D-D44D-482F-A769-BE281C4469F4}" name="MarriedID" dataDxfId="66"/>
    <tableColumn id="4" xr3:uid="{5EBBBE7B-148A-4E54-881F-0829D2382FE0}" name="MaritalStatusID" dataDxfId="65"/>
    <tableColumn id="5" xr3:uid="{BBA8C739-2B34-4E27-A42B-82468BB1AEF5}" name="GenderID" dataDxfId="64"/>
    <tableColumn id="6" xr3:uid="{2FFC9874-5846-41A8-A6D2-E34C4BC30A78}" name="EmpStatusID" dataDxfId="63"/>
    <tableColumn id="7" xr3:uid="{FEB5F91C-9AB5-4E07-BD18-2E08240E1ACB}" name="DeptID" dataDxfId="62"/>
    <tableColumn id="8" xr3:uid="{87F5E18E-0A71-4740-A4F2-5E02711DAE7E}" name="PerfScoreID" dataDxfId="61"/>
    <tableColumn id="9" xr3:uid="{AF6AF541-EA0E-4921-95B6-C5304E90E498}" name="FromDiversityJobFairID" dataDxfId="60"/>
    <tableColumn id="10" xr3:uid="{1DBDFA01-CA10-455B-9BB5-BCB60C1731E2}" name="Salary" dataDxfId="59"/>
    <tableColumn id="11" xr3:uid="{12634FCB-4037-411F-B3D5-D1826F491873}" name="Termd" dataDxfId="58"/>
    <tableColumn id="12" xr3:uid="{01BC49A3-A6D5-4669-A48E-A3916B2F061B}" name="PositionID" dataDxfId="57"/>
    <tableColumn id="13" xr3:uid="{2FD6F8A3-D302-4E77-8A94-D3D69C70F4F2}" name="Position" dataDxfId="56"/>
    <tableColumn id="14" xr3:uid="{9AC90F05-F3C4-42EA-A267-0EB9FEA695F4}" name="State" dataDxfId="55"/>
    <tableColumn id="15" xr3:uid="{490F44DC-3BF9-4C13-98AC-3D1BDECE27E6}" name="Zip" dataDxfId="54"/>
    <tableColumn id="16" xr3:uid="{87FBFC7E-E577-4A65-8E7B-3C280A5CD000}" name="DOB" dataDxfId="53"/>
    <tableColumn id="17" xr3:uid="{D1C28820-B7E7-4688-9A11-9BF1D9250CEA}" name="Age" dataDxfId="52"/>
    <tableColumn id="18" xr3:uid="{E30648C6-D157-4952-81AC-551A8DAE37E1}" name="Age Group" dataDxfId="51"/>
    <tableColumn id="19" xr3:uid="{9956303D-AEFD-4C1B-803A-1F13D40ED7EA}" name="Sex" dataDxfId="50"/>
    <tableColumn id="20" xr3:uid="{D05C8805-B7A7-4D0E-A3FC-C7766EAA810B}" name="MaritalDesc" dataDxfId="49"/>
    <tableColumn id="21" xr3:uid="{B0F07C6B-F407-4251-BCAD-140FF328E57B}" name="CitizenDesc" dataDxfId="48"/>
    <tableColumn id="22" xr3:uid="{8946B380-9EEE-4917-967F-A040DBE68EBE}" name="HispanicLatino" dataDxfId="47"/>
    <tableColumn id="23" xr3:uid="{FB514B1E-DC68-49FB-8335-DFEAD509CB47}" name="RaceDesc" dataDxfId="46"/>
    <tableColumn id="24" xr3:uid="{1088F05F-2217-4AD5-BFCA-E9FF0EB31590}" name="DateofHire" dataDxfId="45"/>
    <tableColumn id="25" xr3:uid="{D039277B-E3C0-4F4C-81CE-0C92983D1B42}" name="Year" dataDxfId="44">
      <calculatedColumnFormula>INT(YEARFRAC(X2,TODAY()))</calculatedColumnFormula>
    </tableColumn>
    <tableColumn id="26" xr3:uid="{97687FD0-6447-4E90-A190-4D107DF7DD8D}" name="DateofTermination" dataDxfId="43"/>
    <tableColumn id="27" xr3:uid="{5B154EBD-BEC4-4AD2-8AA9-6AA8D3BD64ED}" name="TermReason" dataDxfId="42"/>
    <tableColumn id="28" xr3:uid="{3FA750D9-3F4C-4010-B518-908B43E28179}" name="EmploymentStatus" dataDxfId="41"/>
    <tableColumn id="29" xr3:uid="{7CAD0F8E-1CD1-4CC8-B77A-640B68E52018}" name="Department" dataDxfId="40"/>
    <tableColumn id="30" xr3:uid="{35EEB570-5694-4B4A-8A98-6826F5E5BE30}" name="ManagerName" dataDxfId="39"/>
    <tableColumn id="31" xr3:uid="{5CE58F3C-EB4F-4029-863B-B421AF076359}" name="ManagerID" dataDxfId="38"/>
    <tableColumn id="32" xr3:uid="{09062090-2EA5-4EFD-833C-4509DC78C88E}" name="RecruitmentSource" dataDxfId="37"/>
    <tableColumn id="33" xr3:uid="{32B0E689-1C9F-408D-AC4C-63553ACB8B47}" name="PerformanceScore" dataDxfId="36"/>
    <tableColumn id="34" xr3:uid="{4FA4B5F0-624E-481B-B43C-C542B6FD900A}" name="EngagementSurvey" dataDxfId="35"/>
    <tableColumn id="35" xr3:uid="{5C8DC3A9-1622-4CCE-98A7-511DE68A274D}" name="EmpSatisfaction" dataDxfId="34"/>
    <tableColumn id="36" xr3:uid="{89AE270A-C610-465B-A8BF-E3500778FE8F}" name="SpecialProjectsCount" dataDxfId="33"/>
    <tableColumn id="37" xr3:uid="{6C3A20C7-AE7C-4131-882A-C09ECBE7DC74}" name="LastPerformanceReview_Date" dataDxfId="32"/>
    <tableColumn id="38" xr3:uid="{ADE8A02D-8569-4CFE-B001-616466899541}" name="Absences" dataDxfId="31"/>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F15D53-2F7D-4AB9-ACA9-1A1FBC8ED861}" name="Cleaned_Data" displayName="Cleaned_Data" ref="A1:AN312" tableType="queryTable" totalsRowShown="0">
  <autoFilter ref="A1:AN312" xr:uid="{E2F15D53-2F7D-4AB9-ACA9-1A1FBC8ED861}"/>
  <tableColumns count="40">
    <tableColumn id="1" xr3:uid="{3E843686-548C-42C7-93D2-8B4BDCE32DFD}" uniqueName="1" name="Employee_Name" queryTableFieldId="1" dataDxfId="30"/>
    <tableColumn id="2" xr3:uid="{BB780C65-5721-45A5-8EDF-FDC121F5EEE3}" uniqueName="2" name="EmpID" queryTableFieldId="2"/>
    <tableColumn id="3" xr3:uid="{0CAAADBD-632E-4A7E-AF03-516C6C4C85D6}" uniqueName="3" name="MarriedID" queryTableFieldId="3"/>
    <tableColumn id="4" xr3:uid="{7552120C-F2F7-44F0-BFD7-CF9349A4F740}" uniqueName="4" name="MaritalStatusID" queryTableFieldId="4"/>
    <tableColumn id="5" xr3:uid="{8FAEE5CD-7AEA-442C-9439-F20BBE4473B4}" uniqueName="5" name="GenderID" queryTableFieldId="5"/>
    <tableColumn id="6" xr3:uid="{A56E09A4-44F1-4DD2-BE78-4DB8BE51E4AE}" uniqueName="6" name="EmpStatusID" queryTableFieldId="6"/>
    <tableColumn id="7" xr3:uid="{7F6AF86B-C5C4-4F2B-AAAC-52758C111B1B}" uniqueName="7" name="DeptID" queryTableFieldId="7"/>
    <tableColumn id="8" xr3:uid="{7DFD5EF7-7C67-4F69-AA99-8B89B0A7A585}" uniqueName="8" name="PerfScoreID" queryTableFieldId="8"/>
    <tableColumn id="9" xr3:uid="{3A7C7344-4E18-45E1-9F74-E2C9CE7B04AE}" uniqueName="9" name="FromDiversityJobFairID" queryTableFieldId="9"/>
    <tableColumn id="10" xr3:uid="{074F75FD-17E0-4591-B09D-B5407C21C0AC}" uniqueName="10" name="Salary" queryTableFieldId="10"/>
    <tableColumn id="11" xr3:uid="{D1F3002C-F4D1-4E5F-A1AC-9484BB02BB03}" uniqueName="11" name="Termd" queryTableFieldId="11"/>
    <tableColumn id="12" xr3:uid="{5DDC492A-2BEB-4440-960E-C1F4CE56A993}" uniqueName="12" name="PositionID" queryTableFieldId="12"/>
    <tableColumn id="13" xr3:uid="{DD13CEC0-DF17-4955-BC11-6381C37D79AD}" uniqueName="13" name="Position" queryTableFieldId="13" dataDxfId="29"/>
    <tableColumn id="14" xr3:uid="{57E396EC-5A5E-479E-9928-282E456E0B6B}" uniqueName="14" name="State" queryTableFieldId="14" dataDxfId="28"/>
    <tableColumn id="15" xr3:uid="{8B1C6055-6060-4A9E-B6A2-F70AF1ED2461}" uniqueName="15" name="Zip" queryTableFieldId="15"/>
    <tableColumn id="16" xr3:uid="{E287AC3F-E9A6-4CF0-9FFD-8F977C67699B}" uniqueName="16" name="DOB" queryTableFieldId="16" dataDxfId="15"/>
    <tableColumn id="17" xr3:uid="{8E7755BD-7DF8-444A-9D1F-88A13F195E86}" uniqueName="17" name="Age Group" queryTableFieldId="17"/>
    <tableColumn id="18" xr3:uid="{6EE45A2A-3755-4DF2-B845-5E0B89DDFC94}" uniqueName="18" name="Sex" queryTableFieldId="18" dataDxfId="27"/>
    <tableColumn id="19" xr3:uid="{FD914A7F-DF9C-4BFD-8FD4-E996521FD278}" uniqueName="19" name="MaritalDesc" queryTableFieldId="19" dataDxfId="26"/>
    <tableColumn id="20" xr3:uid="{E3A92E87-7B79-461B-9813-FBFF08A8936B}" uniqueName="20" name="CitizenDesc" queryTableFieldId="20" dataDxfId="25"/>
    <tableColumn id="21" xr3:uid="{CF9E1445-60E5-4CCC-B75A-85029859606F}" uniqueName="21" name="HispanicLatino" queryTableFieldId="21" dataDxfId="24"/>
    <tableColumn id="22" xr3:uid="{6C733130-B1CC-4EAB-B2DA-7720FA01A5F4}" uniqueName="22" name="RaceDesc" queryTableFieldId="22" dataDxfId="23"/>
    <tableColumn id="23" xr3:uid="{35E9A998-9734-4F37-B32F-91D8D2ABA7DD}" uniqueName="23" name="DateofHire" queryTableFieldId="23" dataDxfId="14"/>
    <tableColumn id="24" xr3:uid="{0DC0A763-4EC2-4F89-90A6-351AA4BFA60E}" uniqueName="24" name="DateofTermination" queryTableFieldId="24" dataDxfId="13"/>
    <tableColumn id="25" xr3:uid="{2A1CB8DB-E4B6-45EE-B685-B1F34BFB73EA}" uniqueName="25" name="TermReason" queryTableFieldId="25" dataDxfId="22"/>
    <tableColumn id="26" xr3:uid="{212C3EEF-EF06-48D4-AA14-8632E1F06252}" uniqueName="26" name="EmploymentStatus" queryTableFieldId="26" dataDxfId="21"/>
    <tableColumn id="27" xr3:uid="{1E3462CF-6642-4F2D-8048-80CE4E6BC37A}" uniqueName="27" name="Department" queryTableFieldId="27" dataDxfId="20"/>
    <tableColumn id="28" xr3:uid="{B09C494A-1D4E-467F-8C3C-4F3B9858DF22}" uniqueName="28" name="ManagerName" queryTableFieldId="28" dataDxfId="19"/>
    <tableColumn id="29" xr3:uid="{DE751BD7-BCED-4C37-9FDA-4B6B65336B90}" uniqueName="29" name="RecruitmentSource" queryTableFieldId="29" dataDxfId="18"/>
    <tableColumn id="30" xr3:uid="{66E92910-81F1-4FBE-A3C1-A023BB0E6922}" uniqueName="30" name="PerformanceScore" queryTableFieldId="30" dataDxfId="17"/>
    <tableColumn id="31" xr3:uid="{28F7D55F-3F6C-4F66-A888-39FF4220437D}" uniqueName="31" name="EngagementSurvey" queryTableFieldId="31"/>
    <tableColumn id="32" xr3:uid="{5064FDF4-B0FC-42B0-945B-A10B67F5CF05}" uniqueName="32" name="EmpSatisfaction" queryTableFieldId="32"/>
    <tableColumn id="33" xr3:uid="{F29E3375-355B-4CB4-A533-715A2E3B9F9E}" uniqueName="33" name="SpecialProjectsCount" queryTableFieldId="33"/>
    <tableColumn id="34" xr3:uid="{25CC4768-3886-43CD-8857-A0DEC3E51B11}" uniqueName="34" name="LastPerformanceReview_Date" queryTableFieldId="34" dataDxfId="12"/>
    <tableColumn id="35" xr3:uid="{1506CD1C-0ED1-4BD0-9866-C44F2BA5644A}" uniqueName="35" name="Absences" queryTableFieldId="35"/>
    <tableColumn id="36" xr3:uid="{78823BC3-24D6-41C5-93AD-6C3AB2DB8233}" uniqueName="36" name="Age" queryTableFieldId="36"/>
    <tableColumn id="37" xr3:uid="{81D13B60-3E2D-4452-B75D-080961D633F5}" uniqueName="37" name="Tenure_Years" queryTableFieldId="37"/>
    <tableColumn id="38" xr3:uid="{8492C1C5-CC92-4B5F-847B-3CB123F54CEF}" uniqueName="38" name="ManagerID" queryTableFieldId="38"/>
    <tableColumn id="39" xr3:uid="{FAE8EFDF-183A-4813-B1CF-A0E25D6C2AF3}" uniqueName="39" name="Term_Year" queryTableFieldId="39" dataDxfId="16">
      <calculatedColumnFormula>IF(Cleaned_Data[[#This Row],[DateofTermination]]="","",YEAR(Cleaned_Data[[#This Row],[DateofTermination]]))</calculatedColumnFormula>
    </tableColumn>
    <tableColumn id="40" xr3:uid="{EC629855-AE2C-45AA-B938-870E349C35EA}" uniqueName="40" name="Head_Count" queryTableFieldId="4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9D458-A547-41D0-99BB-8C01D3EC9C65}">
  <sheetPr>
    <tabColor rgb="FF002060"/>
  </sheetPr>
  <dimension ref="A1:AL312"/>
  <sheetViews>
    <sheetView showRowColHeaders="0" workbookViewId="0">
      <selection activeCell="B17" sqref="B17"/>
    </sheetView>
  </sheetViews>
  <sheetFormatPr defaultColWidth="30.7265625" defaultRowHeight="14.5" x14ac:dyDescent="0.35"/>
  <sheetData>
    <row r="1" spans="1:38"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4" t="s">
        <v>16</v>
      </c>
      <c r="R1" s="4" t="s">
        <v>17</v>
      </c>
      <c r="S1" s="2" t="s">
        <v>18</v>
      </c>
      <c r="T1" s="2" t="s">
        <v>19</v>
      </c>
      <c r="U1" s="2" t="s">
        <v>20</v>
      </c>
      <c r="V1" s="2" t="s">
        <v>21</v>
      </c>
      <c r="W1" s="2" t="s">
        <v>22</v>
      </c>
      <c r="X1" s="3" t="s">
        <v>23</v>
      </c>
      <c r="Y1" s="4" t="s">
        <v>24</v>
      </c>
      <c r="Z1" s="3" t="s">
        <v>25</v>
      </c>
      <c r="AA1" s="2" t="s">
        <v>26</v>
      </c>
      <c r="AB1" s="2" t="s">
        <v>27</v>
      </c>
      <c r="AC1" s="2" t="s">
        <v>28</v>
      </c>
      <c r="AD1" s="2" t="s">
        <v>29</v>
      </c>
      <c r="AE1" s="2" t="s">
        <v>30</v>
      </c>
      <c r="AF1" s="2" t="s">
        <v>31</v>
      </c>
      <c r="AG1" s="2" t="s">
        <v>32</v>
      </c>
      <c r="AH1" s="2" t="s">
        <v>33</v>
      </c>
      <c r="AI1" s="2" t="s">
        <v>34</v>
      </c>
      <c r="AJ1" s="2" t="s">
        <v>35</v>
      </c>
      <c r="AK1" s="3" t="s">
        <v>36</v>
      </c>
      <c r="AL1" s="5" t="s">
        <v>37</v>
      </c>
    </row>
    <row r="2" spans="1:38" x14ac:dyDescent="0.35">
      <c r="A2" s="6" t="s">
        <v>38</v>
      </c>
      <c r="B2" s="6">
        <v>10026</v>
      </c>
      <c r="C2" s="6">
        <v>0</v>
      </c>
      <c r="D2" s="6">
        <v>0</v>
      </c>
      <c r="E2" s="6">
        <v>1</v>
      </c>
      <c r="F2" s="6">
        <v>1</v>
      </c>
      <c r="G2" s="6">
        <v>5</v>
      </c>
      <c r="H2" s="6">
        <v>4</v>
      </c>
      <c r="I2" s="6">
        <v>0</v>
      </c>
      <c r="J2" s="6">
        <v>62506</v>
      </c>
      <c r="K2" s="6">
        <v>0</v>
      </c>
      <c r="L2" s="6">
        <v>19</v>
      </c>
      <c r="M2" s="6" t="s">
        <v>39</v>
      </c>
      <c r="N2" s="6" t="s">
        <v>40</v>
      </c>
      <c r="O2" s="6">
        <v>1960</v>
      </c>
      <c r="P2" s="7">
        <v>30596</v>
      </c>
      <c r="Q2" s="8">
        <v>41</v>
      </c>
      <c r="R2" s="8" t="s">
        <v>41</v>
      </c>
      <c r="S2" s="6" t="s">
        <v>42</v>
      </c>
      <c r="T2" s="6" t="s">
        <v>43</v>
      </c>
      <c r="U2" s="6" t="s">
        <v>44</v>
      </c>
      <c r="V2" s="6" t="s">
        <v>45</v>
      </c>
      <c r="W2" s="6" t="s">
        <v>46</v>
      </c>
      <c r="X2" s="7">
        <v>40670</v>
      </c>
      <c r="Y2" s="8">
        <f ca="1">INT(YEARFRAC(X2,TODAY()))</f>
        <v>15</v>
      </c>
      <c r="Z2" s="7"/>
      <c r="AA2" s="6" t="s">
        <v>47</v>
      </c>
      <c r="AB2" s="6" t="s">
        <v>48</v>
      </c>
      <c r="AC2" s="6" t="s">
        <v>49</v>
      </c>
      <c r="AD2" s="6" t="s">
        <v>50</v>
      </c>
      <c r="AE2" s="6">
        <v>22</v>
      </c>
      <c r="AF2" s="6" t="s">
        <v>51</v>
      </c>
      <c r="AG2" s="6" t="s">
        <v>52</v>
      </c>
      <c r="AH2" s="6">
        <v>4.5999999999999996</v>
      </c>
      <c r="AI2" s="6">
        <v>5</v>
      </c>
      <c r="AJ2" s="6">
        <v>0</v>
      </c>
      <c r="AK2" s="7">
        <v>43482</v>
      </c>
      <c r="AL2" s="6">
        <v>1</v>
      </c>
    </row>
    <row r="3" spans="1:38" x14ac:dyDescent="0.35">
      <c r="A3" s="6" t="s">
        <v>53</v>
      </c>
      <c r="B3" s="6">
        <v>10084</v>
      </c>
      <c r="C3" s="6">
        <v>1</v>
      </c>
      <c r="D3" s="6">
        <v>1</v>
      </c>
      <c r="E3" s="6">
        <v>1</v>
      </c>
      <c r="F3" s="6">
        <v>5</v>
      </c>
      <c r="G3" s="6">
        <v>3</v>
      </c>
      <c r="H3" s="6">
        <v>3</v>
      </c>
      <c r="I3" s="6">
        <v>0</v>
      </c>
      <c r="J3" s="6">
        <v>104437</v>
      </c>
      <c r="K3" s="6">
        <v>1</v>
      </c>
      <c r="L3" s="6">
        <v>27</v>
      </c>
      <c r="M3" s="6" t="s">
        <v>54</v>
      </c>
      <c r="N3" s="6" t="s">
        <v>40</v>
      </c>
      <c r="O3" s="6">
        <v>2148</v>
      </c>
      <c r="P3" s="7">
        <v>27519</v>
      </c>
      <c r="Q3" s="8">
        <v>50</v>
      </c>
      <c r="R3" s="8" t="s">
        <v>41</v>
      </c>
      <c r="S3" s="6" t="s">
        <v>42</v>
      </c>
      <c r="T3" s="6" t="s">
        <v>55</v>
      </c>
      <c r="U3" s="6" t="s">
        <v>44</v>
      </c>
      <c r="V3" s="6" t="s">
        <v>45</v>
      </c>
      <c r="W3" s="6" t="s">
        <v>46</v>
      </c>
      <c r="X3" s="7">
        <v>42093</v>
      </c>
      <c r="Y3" s="8">
        <f t="shared" ref="Y3:Y66" ca="1" si="0">INT(YEARFRAC(X3,TODAY()))</f>
        <v>11</v>
      </c>
      <c r="Z3" s="7">
        <v>42537</v>
      </c>
      <c r="AA3" s="6" t="s">
        <v>56</v>
      </c>
      <c r="AB3" s="6" t="s">
        <v>57</v>
      </c>
      <c r="AC3" s="6" t="s">
        <v>58</v>
      </c>
      <c r="AD3" s="6" t="s">
        <v>59</v>
      </c>
      <c r="AE3" s="6">
        <v>4</v>
      </c>
      <c r="AF3" s="6" t="s">
        <v>60</v>
      </c>
      <c r="AG3" s="6" t="s">
        <v>61</v>
      </c>
      <c r="AH3" s="6">
        <v>4.96</v>
      </c>
      <c r="AI3" s="6">
        <v>3</v>
      </c>
      <c r="AJ3" s="6">
        <v>6</v>
      </c>
      <c r="AK3" s="7">
        <v>42424</v>
      </c>
      <c r="AL3" s="6">
        <v>17</v>
      </c>
    </row>
    <row r="4" spans="1:38" x14ac:dyDescent="0.35">
      <c r="A4" s="6" t="s">
        <v>62</v>
      </c>
      <c r="B4" s="6">
        <v>10196</v>
      </c>
      <c r="C4" s="6">
        <v>1</v>
      </c>
      <c r="D4" s="6">
        <v>1</v>
      </c>
      <c r="E4" s="6">
        <v>0</v>
      </c>
      <c r="F4" s="6">
        <v>5</v>
      </c>
      <c r="G4" s="6">
        <v>5</v>
      </c>
      <c r="H4" s="6">
        <v>3</v>
      </c>
      <c r="I4" s="6">
        <v>0</v>
      </c>
      <c r="J4" s="6">
        <v>64955</v>
      </c>
      <c r="K4" s="6">
        <v>1</v>
      </c>
      <c r="L4" s="6">
        <v>20</v>
      </c>
      <c r="M4" s="6" t="s">
        <v>63</v>
      </c>
      <c r="N4" s="6" t="s">
        <v>40</v>
      </c>
      <c r="O4" s="6">
        <v>1810</v>
      </c>
      <c r="P4" s="7">
        <v>36057</v>
      </c>
      <c r="Q4" s="8">
        <v>26</v>
      </c>
      <c r="R4" s="8" t="s">
        <v>41</v>
      </c>
      <c r="S4" s="6" t="s">
        <v>64</v>
      </c>
      <c r="T4" s="6" t="s">
        <v>55</v>
      </c>
      <c r="U4" s="6" t="s">
        <v>44</v>
      </c>
      <c r="V4" s="6" t="s">
        <v>45</v>
      </c>
      <c r="W4" s="6" t="s">
        <v>46</v>
      </c>
      <c r="X4" s="7">
        <v>40670</v>
      </c>
      <c r="Y4" s="8">
        <f t="shared" ca="1" si="0"/>
        <v>15</v>
      </c>
      <c r="Z4" s="7">
        <v>41176</v>
      </c>
      <c r="AA4" s="6" t="s">
        <v>65</v>
      </c>
      <c r="AB4" s="6" t="s">
        <v>57</v>
      </c>
      <c r="AC4" s="6" t="s">
        <v>49</v>
      </c>
      <c r="AD4" s="6" t="s">
        <v>66</v>
      </c>
      <c r="AE4" s="6">
        <v>20</v>
      </c>
      <c r="AF4" s="6" t="s">
        <v>51</v>
      </c>
      <c r="AG4" s="6" t="s">
        <v>61</v>
      </c>
      <c r="AH4" s="6">
        <v>3.02</v>
      </c>
      <c r="AI4" s="6">
        <v>3</v>
      </c>
      <c r="AJ4" s="6">
        <v>0</v>
      </c>
      <c r="AK4" s="7">
        <v>41044</v>
      </c>
      <c r="AL4" s="6">
        <v>3</v>
      </c>
    </row>
    <row r="5" spans="1:38" x14ac:dyDescent="0.35">
      <c r="A5" s="6" t="s">
        <v>67</v>
      </c>
      <c r="B5" s="6">
        <v>10088</v>
      </c>
      <c r="C5" s="6">
        <v>1</v>
      </c>
      <c r="D5" s="6">
        <v>1</v>
      </c>
      <c r="E5" s="6">
        <v>0</v>
      </c>
      <c r="F5" s="6">
        <v>1</v>
      </c>
      <c r="G5" s="6">
        <v>5</v>
      </c>
      <c r="H5" s="6">
        <v>3</v>
      </c>
      <c r="I5" s="6">
        <v>0</v>
      </c>
      <c r="J5" s="6">
        <v>64991</v>
      </c>
      <c r="K5" s="6">
        <v>0</v>
      </c>
      <c r="L5" s="6">
        <v>19</v>
      </c>
      <c r="M5" s="6" t="s">
        <v>39</v>
      </c>
      <c r="N5" s="6" t="s">
        <v>40</v>
      </c>
      <c r="O5" s="6">
        <v>1886</v>
      </c>
      <c r="P5" s="7">
        <v>32413</v>
      </c>
      <c r="Q5" s="8">
        <v>36</v>
      </c>
      <c r="R5" s="8" t="s">
        <v>41</v>
      </c>
      <c r="S5" s="6" t="s">
        <v>64</v>
      </c>
      <c r="T5" s="6" t="s">
        <v>55</v>
      </c>
      <c r="U5" s="6" t="s">
        <v>44</v>
      </c>
      <c r="V5" s="6" t="s">
        <v>45</v>
      </c>
      <c r="W5" s="6" t="s">
        <v>46</v>
      </c>
      <c r="X5" s="7">
        <v>39630</v>
      </c>
      <c r="Y5" s="8">
        <f t="shared" ca="1" si="0"/>
        <v>18</v>
      </c>
      <c r="Z5" s="7"/>
      <c r="AA5" s="6" t="s">
        <v>47</v>
      </c>
      <c r="AB5" s="6" t="s">
        <v>48</v>
      </c>
      <c r="AC5" s="6" t="s">
        <v>49</v>
      </c>
      <c r="AD5" s="6" t="s">
        <v>68</v>
      </c>
      <c r="AE5" s="6">
        <v>16</v>
      </c>
      <c r="AF5" s="6" t="s">
        <v>60</v>
      </c>
      <c r="AG5" s="6" t="s">
        <v>61</v>
      </c>
      <c r="AH5" s="6">
        <v>4.84</v>
      </c>
      <c r="AI5" s="6">
        <v>5</v>
      </c>
      <c r="AJ5" s="6">
        <v>0</v>
      </c>
      <c r="AK5" s="7">
        <v>43525</v>
      </c>
      <c r="AL5" s="6">
        <v>15</v>
      </c>
    </row>
    <row r="6" spans="1:38" x14ac:dyDescent="0.35">
      <c r="A6" s="6" t="s">
        <v>69</v>
      </c>
      <c r="B6" s="6">
        <v>10069</v>
      </c>
      <c r="C6" s="6">
        <v>0</v>
      </c>
      <c r="D6" s="6">
        <v>2</v>
      </c>
      <c r="E6" s="6">
        <v>0</v>
      </c>
      <c r="F6" s="6">
        <v>5</v>
      </c>
      <c r="G6" s="6">
        <v>5</v>
      </c>
      <c r="H6" s="6">
        <v>3</v>
      </c>
      <c r="I6" s="6">
        <v>0</v>
      </c>
      <c r="J6" s="6">
        <v>50825</v>
      </c>
      <c r="K6" s="6">
        <v>1</v>
      </c>
      <c r="L6" s="6">
        <v>19</v>
      </c>
      <c r="M6" s="6" t="s">
        <v>39</v>
      </c>
      <c r="N6" s="6" t="s">
        <v>40</v>
      </c>
      <c r="O6" s="6">
        <v>2169</v>
      </c>
      <c r="P6" s="7">
        <v>32729</v>
      </c>
      <c r="Q6" s="8">
        <v>35</v>
      </c>
      <c r="R6" s="8" t="s">
        <v>41</v>
      </c>
      <c r="S6" s="6" t="s">
        <v>64</v>
      </c>
      <c r="T6" s="6" t="s">
        <v>70</v>
      </c>
      <c r="U6" s="6" t="s">
        <v>44</v>
      </c>
      <c r="V6" s="6" t="s">
        <v>45</v>
      </c>
      <c r="W6" s="6" t="s">
        <v>46</v>
      </c>
      <c r="X6" s="7">
        <v>40854</v>
      </c>
      <c r="Y6" s="8">
        <f t="shared" ca="1" si="0"/>
        <v>14</v>
      </c>
      <c r="Z6" s="7">
        <v>42530</v>
      </c>
      <c r="AA6" s="6" t="s">
        <v>71</v>
      </c>
      <c r="AB6" s="6" t="s">
        <v>57</v>
      </c>
      <c r="AC6" s="6" t="s">
        <v>49</v>
      </c>
      <c r="AD6" s="6" t="s">
        <v>72</v>
      </c>
      <c r="AE6" s="6">
        <v>39</v>
      </c>
      <c r="AF6" s="6" t="s">
        <v>73</v>
      </c>
      <c r="AG6" s="6" t="s">
        <v>61</v>
      </c>
      <c r="AH6" s="6">
        <v>5</v>
      </c>
      <c r="AI6" s="6">
        <v>4</v>
      </c>
      <c r="AJ6" s="6">
        <v>0</v>
      </c>
      <c r="AK6" s="7">
        <v>42371</v>
      </c>
      <c r="AL6" s="6">
        <v>2</v>
      </c>
    </row>
    <row r="7" spans="1:38" x14ac:dyDescent="0.35">
      <c r="A7" s="6" t="s">
        <v>74</v>
      </c>
      <c r="B7" s="6">
        <v>10002</v>
      </c>
      <c r="C7" s="6">
        <v>0</v>
      </c>
      <c r="D7" s="6">
        <v>0</v>
      </c>
      <c r="E7" s="6">
        <v>0</v>
      </c>
      <c r="F7" s="6">
        <v>1</v>
      </c>
      <c r="G7" s="6">
        <v>5</v>
      </c>
      <c r="H7" s="6">
        <v>4</v>
      </c>
      <c r="I7" s="6">
        <v>0</v>
      </c>
      <c r="J7" s="6">
        <v>57568</v>
      </c>
      <c r="K7" s="6">
        <v>0</v>
      </c>
      <c r="L7" s="6">
        <v>19</v>
      </c>
      <c r="M7" s="6" t="s">
        <v>39</v>
      </c>
      <c r="N7" s="6" t="s">
        <v>40</v>
      </c>
      <c r="O7" s="6">
        <v>1844</v>
      </c>
      <c r="P7" s="7">
        <v>28267</v>
      </c>
      <c r="Q7" s="8">
        <v>48</v>
      </c>
      <c r="R7" s="8" t="s">
        <v>41</v>
      </c>
      <c r="S7" s="6" t="s">
        <v>64</v>
      </c>
      <c r="T7" s="6" t="s">
        <v>43</v>
      </c>
      <c r="U7" s="6" t="s">
        <v>44</v>
      </c>
      <c r="V7" s="6" t="s">
        <v>45</v>
      </c>
      <c r="W7" s="6" t="s">
        <v>46</v>
      </c>
      <c r="X7" s="7">
        <v>41153</v>
      </c>
      <c r="Y7" s="8">
        <f t="shared" ca="1" si="0"/>
        <v>13</v>
      </c>
      <c r="Z7" s="7"/>
      <c r="AA7" s="6" t="s">
        <v>47</v>
      </c>
      <c r="AB7" s="6" t="s">
        <v>48</v>
      </c>
      <c r="AC7" s="6" t="s">
        <v>49</v>
      </c>
      <c r="AD7" s="6" t="s">
        <v>75</v>
      </c>
      <c r="AE7" s="6">
        <v>11</v>
      </c>
      <c r="AF7" s="6" t="s">
        <v>51</v>
      </c>
      <c r="AG7" s="6" t="s">
        <v>52</v>
      </c>
      <c r="AH7" s="6">
        <v>5</v>
      </c>
      <c r="AI7" s="6">
        <v>5</v>
      </c>
      <c r="AJ7" s="6">
        <v>0</v>
      </c>
      <c r="AK7" s="7">
        <v>43647</v>
      </c>
      <c r="AL7" s="6">
        <v>15</v>
      </c>
    </row>
    <row r="8" spans="1:38" x14ac:dyDescent="0.35">
      <c r="A8" s="6" t="s">
        <v>76</v>
      </c>
      <c r="B8" s="6">
        <v>10194</v>
      </c>
      <c r="C8" s="6">
        <v>0</v>
      </c>
      <c r="D8" s="6">
        <v>0</v>
      </c>
      <c r="E8" s="6">
        <v>0</v>
      </c>
      <c r="F8" s="6">
        <v>1</v>
      </c>
      <c r="G8" s="6">
        <v>4</v>
      </c>
      <c r="H8" s="6">
        <v>3</v>
      </c>
      <c r="I8" s="6">
        <v>0</v>
      </c>
      <c r="J8" s="6">
        <v>95660</v>
      </c>
      <c r="K8" s="6">
        <v>0</v>
      </c>
      <c r="L8" s="6">
        <v>24</v>
      </c>
      <c r="M8" s="6" t="s">
        <v>77</v>
      </c>
      <c r="N8" s="6" t="s">
        <v>40</v>
      </c>
      <c r="O8" s="6">
        <v>2110</v>
      </c>
      <c r="P8" s="7">
        <v>28999</v>
      </c>
      <c r="Q8" s="8">
        <v>46</v>
      </c>
      <c r="R8" s="8" t="s">
        <v>41</v>
      </c>
      <c r="S8" s="6" t="s">
        <v>64</v>
      </c>
      <c r="T8" s="6" t="s">
        <v>43</v>
      </c>
      <c r="U8" s="6" t="s">
        <v>44</v>
      </c>
      <c r="V8" s="6" t="s">
        <v>45</v>
      </c>
      <c r="W8" s="6" t="s">
        <v>46</v>
      </c>
      <c r="X8" s="7">
        <v>41923</v>
      </c>
      <c r="Y8" s="8">
        <f t="shared" ca="1" si="0"/>
        <v>11</v>
      </c>
      <c r="Z8" s="7"/>
      <c r="AA8" s="6" t="s">
        <v>47</v>
      </c>
      <c r="AB8" s="6" t="s">
        <v>48</v>
      </c>
      <c r="AC8" s="6" t="s">
        <v>78</v>
      </c>
      <c r="AD8" s="6" t="s">
        <v>79</v>
      </c>
      <c r="AE8" s="6">
        <v>10</v>
      </c>
      <c r="AF8" s="6" t="s">
        <v>51</v>
      </c>
      <c r="AG8" s="6" t="s">
        <v>61</v>
      </c>
      <c r="AH8" s="6">
        <v>3.04</v>
      </c>
      <c r="AI8" s="6">
        <v>3</v>
      </c>
      <c r="AJ8" s="6">
        <v>4</v>
      </c>
      <c r="AK8" s="7">
        <v>43497</v>
      </c>
      <c r="AL8" s="6">
        <v>19</v>
      </c>
    </row>
    <row r="9" spans="1:38" x14ac:dyDescent="0.35">
      <c r="A9" s="6" t="s">
        <v>80</v>
      </c>
      <c r="B9" s="6">
        <v>10062</v>
      </c>
      <c r="C9" s="6">
        <v>0</v>
      </c>
      <c r="D9" s="6">
        <v>4</v>
      </c>
      <c r="E9" s="6">
        <v>1</v>
      </c>
      <c r="F9" s="6">
        <v>1</v>
      </c>
      <c r="G9" s="6">
        <v>5</v>
      </c>
      <c r="H9" s="6">
        <v>3</v>
      </c>
      <c r="I9" s="6">
        <v>0</v>
      </c>
      <c r="J9" s="6">
        <v>59365</v>
      </c>
      <c r="K9" s="6">
        <v>0</v>
      </c>
      <c r="L9" s="6">
        <v>19</v>
      </c>
      <c r="M9" s="6" t="s">
        <v>39</v>
      </c>
      <c r="N9" s="6" t="s">
        <v>40</v>
      </c>
      <c r="O9" s="6">
        <v>2199</v>
      </c>
      <c r="P9" s="7">
        <v>30365</v>
      </c>
      <c r="Q9" s="8">
        <v>42</v>
      </c>
      <c r="R9" s="8" t="s">
        <v>41</v>
      </c>
      <c r="S9" s="6" t="s">
        <v>42</v>
      </c>
      <c r="T9" s="6" t="s">
        <v>81</v>
      </c>
      <c r="U9" s="6" t="s">
        <v>44</v>
      </c>
      <c r="V9" s="6" t="s">
        <v>45</v>
      </c>
      <c r="W9" s="6" t="s">
        <v>46</v>
      </c>
      <c r="X9" s="7">
        <v>41547</v>
      </c>
      <c r="Y9" s="8">
        <f t="shared" ca="1" si="0"/>
        <v>12</v>
      </c>
      <c r="Z9" s="7"/>
      <c r="AA9" s="6" t="s">
        <v>47</v>
      </c>
      <c r="AB9" s="6" t="s">
        <v>48</v>
      </c>
      <c r="AC9" s="6" t="s">
        <v>49</v>
      </c>
      <c r="AD9" s="6" t="s">
        <v>82</v>
      </c>
      <c r="AE9" s="6">
        <v>19</v>
      </c>
      <c r="AF9" s="6" t="s">
        <v>83</v>
      </c>
      <c r="AG9" s="6" t="s">
        <v>61</v>
      </c>
      <c r="AH9" s="6">
        <v>5</v>
      </c>
      <c r="AI9" s="6">
        <v>4</v>
      </c>
      <c r="AJ9" s="6">
        <v>0</v>
      </c>
      <c r="AK9" s="7">
        <v>43521</v>
      </c>
      <c r="AL9" s="6">
        <v>19</v>
      </c>
    </row>
    <row r="10" spans="1:38" x14ac:dyDescent="0.35">
      <c r="A10" s="6" t="s">
        <v>84</v>
      </c>
      <c r="B10" s="6">
        <v>10114</v>
      </c>
      <c r="C10" s="6">
        <v>0</v>
      </c>
      <c r="D10" s="6">
        <v>0</v>
      </c>
      <c r="E10" s="6">
        <v>0</v>
      </c>
      <c r="F10" s="6">
        <v>3</v>
      </c>
      <c r="G10" s="6">
        <v>5</v>
      </c>
      <c r="H10" s="6">
        <v>3</v>
      </c>
      <c r="I10" s="6">
        <v>1</v>
      </c>
      <c r="J10" s="6">
        <v>47837</v>
      </c>
      <c r="K10" s="6">
        <v>0</v>
      </c>
      <c r="L10" s="6">
        <v>19</v>
      </c>
      <c r="M10" s="6" t="s">
        <v>39</v>
      </c>
      <c r="N10" s="6" t="s">
        <v>40</v>
      </c>
      <c r="O10" s="6">
        <v>1902</v>
      </c>
      <c r="P10" s="7">
        <v>29877</v>
      </c>
      <c r="Q10" s="8">
        <v>43</v>
      </c>
      <c r="R10" s="8" t="s">
        <v>41</v>
      </c>
      <c r="S10" s="6" t="s">
        <v>64</v>
      </c>
      <c r="T10" s="6" t="s">
        <v>43</v>
      </c>
      <c r="U10" s="6" t="s">
        <v>44</v>
      </c>
      <c r="V10" s="6" t="s">
        <v>45</v>
      </c>
      <c r="W10" s="6" t="s">
        <v>85</v>
      </c>
      <c r="X10" s="7">
        <v>39971</v>
      </c>
      <c r="Y10" s="8">
        <f t="shared" ca="1" si="0"/>
        <v>17</v>
      </c>
      <c r="Z10" s="7"/>
      <c r="AA10" s="6" t="s">
        <v>47</v>
      </c>
      <c r="AB10" s="6" t="s">
        <v>48</v>
      </c>
      <c r="AC10" s="6" t="s">
        <v>49</v>
      </c>
      <c r="AD10" s="6" t="s">
        <v>86</v>
      </c>
      <c r="AE10" s="6">
        <v>12</v>
      </c>
      <c r="AF10" s="6" t="s">
        <v>87</v>
      </c>
      <c r="AG10" s="6" t="s">
        <v>61</v>
      </c>
      <c r="AH10" s="6">
        <v>4.46</v>
      </c>
      <c r="AI10" s="6">
        <v>3</v>
      </c>
      <c r="AJ10" s="6">
        <v>0</v>
      </c>
      <c r="AK10" s="7">
        <v>43490</v>
      </c>
      <c r="AL10" s="6">
        <v>4</v>
      </c>
    </row>
    <row r="11" spans="1:38" x14ac:dyDescent="0.35">
      <c r="A11" s="6" t="s">
        <v>88</v>
      </c>
      <c r="B11" s="6">
        <v>10250</v>
      </c>
      <c r="C11" s="6">
        <v>0</v>
      </c>
      <c r="D11" s="6">
        <v>2</v>
      </c>
      <c r="E11" s="6">
        <v>1</v>
      </c>
      <c r="F11" s="6">
        <v>1</v>
      </c>
      <c r="G11" s="6">
        <v>3</v>
      </c>
      <c r="H11" s="6">
        <v>3</v>
      </c>
      <c r="I11" s="6">
        <v>0</v>
      </c>
      <c r="J11" s="6">
        <v>50178</v>
      </c>
      <c r="K11" s="6">
        <v>0</v>
      </c>
      <c r="L11" s="6">
        <v>14</v>
      </c>
      <c r="M11" s="6" t="s">
        <v>89</v>
      </c>
      <c r="N11" s="6" t="s">
        <v>40</v>
      </c>
      <c r="O11" s="6">
        <v>1886</v>
      </c>
      <c r="P11" s="7">
        <v>25868</v>
      </c>
      <c r="Q11" s="8">
        <v>54</v>
      </c>
      <c r="R11" s="8" t="s">
        <v>41</v>
      </c>
      <c r="S11" s="6" t="s">
        <v>42</v>
      </c>
      <c r="T11" s="6" t="s">
        <v>70</v>
      </c>
      <c r="U11" s="6" t="s">
        <v>44</v>
      </c>
      <c r="V11" s="6" t="s">
        <v>45</v>
      </c>
      <c r="W11" s="6" t="s">
        <v>46</v>
      </c>
      <c r="X11" s="7">
        <v>42125</v>
      </c>
      <c r="Y11" s="8">
        <f t="shared" ca="1" si="0"/>
        <v>11</v>
      </c>
      <c r="Z11" s="7"/>
      <c r="AA11" s="6" t="s">
        <v>47</v>
      </c>
      <c r="AB11" s="6" t="s">
        <v>48</v>
      </c>
      <c r="AC11" s="6" t="s">
        <v>58</v>
      </c>
      <c r="AD11" s="6" t="s">
        <v>90</v>
      </c>
      <c r="AE11" s="6">
        <v>7</v>
      </c>
      <c r="AF11" s="6" t="s">
        <v>60</v>
      </c>
      <c r="AG11" s="6" t="s">
        <v>61</v>
      </c>
      <c r="AH11" s="6">
        <v>5</v>
      </c>
      <c r="AI11" s="6">
        <v>5</v>
      </c>
      <c r="AJ11" s="6">
        <v>6</v>
      </c>
      <c r="AK11" s="7">
        <v>43514</v>
      </c>
      <c r="AL11" s="6">
        <v>16</v>
      </c>
    </row>
    <row r="12" spans="1:38" x14ac:dyDescent="0.35">
      <c r="A12" s="6" t="s">
        <v>91</v>
      </c>
      <c r="B12" s="6">
        <v>10252</v>
      </c>
      <c r="C12" s="6">
        <v>1</v>
      </c>
      <c r="D12" s="6">
        <v>1</v>
      </c>
      <c r="E12" s="6">
        <v>0</v>
      </c>
      <c r="F12" s="6">
        <v>5</v>
      </c>
      <c r="G12" s="6">
        <v>5</v>
      </c>
      <c r="H12" s="6">
        <v>3</v>
      </c>
      <c r="I12" s="6">
        <v>1</v>
      </c>
      <c r="J12" s="6">
        <v>54670</v>
      </c>
      <c r="K12" s="6">
        <v>1</v>
      </c>
      <c r="L12" s="6">
        <v>19</v>
      </c>
      <c r="M12" s="6" t="s">
        <v>39</v>
      </c>
      <c r="N12" s="6" t="s">
        <v>40</v>
      </c>
      <c r="O12" s="6">
        <v>1902</v>
      </c>
      <c r="P12" s="7">
        <v>33137</v>
      </c>
      <c r="Q12" s="8">
        <v>34</v>
      </c>
      <c r="R12" s="8" t="s">
        <v>41</v>
      </c>
      <c r="S12" s="6" t="s">
        <v>64</v>
      </c>
      <c r="T12" s="6" t="s">
        <v>55</v>
      </c>
      <c r="U12" s="6" t="s">
        <v>44</v>
      </c>
      <c r="V12" s="6" t="s">
        <v>92</v>
      </c>
      <c r="W12" s="6" t="s">
        <v>85</v>
      </c>
      <c r="X12" s="7">
        <v>40817</v>
      </c>
      <c r="Y12" s="8">
        <f t="shared" ca="1" si="0"/>
        <v>14</v>
      </c>
      <c r="Z12" s="7">
        <v>43070</v>
      </c>
      <c r="AA12" s="6" t="s">
        <v>93</v>
      </c>
      <c r="AB12" s="6" t="s">
        <v>57</v>
      </c>
      <c r="AC12" s="6" t="s">
        <v>49</v>
      </c>
      <c r="AD12" s="6" t="s">
        <v>94</v>
      </c>
      <c r="AE12" s="6">
        <v>14</v>
      </c>
      <c r="AF12" s="6" t="s">
        <v>87</v>
      </c>
      <c r="AG12" s="6" t="s">
        <v>61</v>
      </c>
      <c r="AH12" s="6">
        <v>4.2</v>
      </c>
      <c r="AI12" s="6">
        <v>4</v>
      </c>
      <c r="AJ12" s="6">
        <v>0</v>
      </c>
      <c r="AK12" s="7">
        <v>42399</v>
      </c>
      <c r="AL12" s="6">
        <v>12</v>
      </c>
    </row>
    <row r="13" spans="1:38" x14ac:dyDescent="0.35">
      <c r="A13" s="6" t="s">
        <v>95</v>
      </c>
      <c r="B13" s="6">
        <v>10242</v>
      </c>
      <c r="C13" s="6">
        <v>1</v>
      </c>
      <c r="D13" s="6">
        <v>1</v>
      </c>
      <c r="E13" s="6">
        <v>1</v>
      </c>
      <c r="F13" s="6">
        <v>5</v>
      </c>
      <c r="G13" s="6">
        <v>5</v>
      </c>
      <c r="H13" s="6">
        <v>3</v>
      </c>
      <c r="I13" s="6">
        <v>1</v>
      </c>
      <c r="J13" s="6">
        <v>47211</v>
      </c>
      <c r="K13" s="6">
        <v>1</v>
      </c>
      <c r="L13" s="6">
        <v>19</v>
      </c>
      <c r="M13" s="6" t="s">
        <v>39</v>
      </c>
      <c r="N13" s="6" t="s">
        <v>40</v>
      </c>
      <c r="O13" s="6">
        <v>2062</v>
      </c>
      <c r="P13" s="7">
        <v>23588</v>
      </c>
      <c r="Q13" s="8">
        <v>60</v>
      </c>
      <c r="R13" s="8" t="s">
        <v>96</v>
      </c>
      <c r="S13" s="6" t="s">
        <v>42</v>
      </c>
      <c r="T13" s="6" t="s">
        <v>55</v>
      </c>
      <c r="U13" s="6" t="s">
        <v>44</v>
      </c>
      <c r="V13" s="6" t="s">
        <v>92</v>
      </c>
      <c r="W13" s="6" t="s">
        <v>85</v>
      </c>
      <c r="X13" s="7">
        <v>40943</v>
      </c>
      <c r="Y13" s="8">
        <f t="shared" ca="1" si="0"/>
        <v>14</v>
      </c>
      <c r="Z13" s="7">
        <v>42632</v>
      </c>
      <c r="AA13" s="6" t="s">
        <v>97</v>
      </c>
      <c r="AB13" s="6" t="s">
        <v>57</v>
      </c>
      <c r="AC13" s="6" t="s">
        <v>49</v>
      </c>
      <c r="AD13" s="6" t="s">
        <v>66</v>
      </c>
      <c r="AE13" s="6">
        <v>20</v>
      </c>
      <c r="AF13" s="6" t="s">
        <v>87</v>
      </c>
      <c r="AG13" s="6" t="s">
        <v>61</v>
      </c>
      <c r="AH13" s="6">
        <v>4.2</v>
      </c>
      <c r="AI13" s="6">
        <v>3</v>
      </c>
      <c r="AJ13" s="6">
        <v>0</v>
      </c>
      <c r="AK13" s="7">
        <v>42526</v>
      </c>
      <c r="AL13" s="6">
        <v>15</v>
      </c>
    </row>
    <row r="14" spans="1:38" x14ac:dyDescent="0.35">
      <c r="A14" s="6" t="s">
        <v>98</v>
      </c>
      <c r="B14" s="6">
        <v>10012</v>
      </c>
      <c r="C14" s="6">
        <v>0</v>
      </c>
      <c r="D14" s="6">
        <v>2</v>
      </c>
      <c r="E14" s="6">
        <v>1</v>
      </c>
      <c r="F14" s="6">
        <v>1</v>
      </c>
      <c r="G14" s="6">
        <v>3</v>
      </c>
      <c r="H14" s="6">
        <v>4</v>
      </c>
      <c r="I14" s="6">
        <v>1</v>
      </c>
      <c r="J14" s="6">
        <v>92328</v>
      </c>
      <c r="K14" s="6">
        <v>0</v>
      </c>
      <c r="L14" s="6">
        <v>9</v>
      </c>
      <c r="M14" s="6" t="s">
        <v>99</v>
      </c>
      <c r="N14" s="6" t="s">
        <v>100</v>
      </c>
      <c r="O14" s="6">
        <v>78230</v>
      </c>
      <c r="P14" s="7">
        <v>33109</v>
      </c>
      <c r="Q14" s="8">
        <v>34</v>
      </c>
      <c r="R14" s="8" t="s">
        <v>41</v>
      </c>
      <c r="S14" s="6" t="s">
        <v>42</v>
      </c>
      <c r="T14" s="6" t="s">
        <v>70</v>
      </c>
      <c r="U14" s="6" t="s">
        <v>44</v>
      </c>
      <c r="V14" s="6" t="s">
        <v>45</v>
      </c>
      <c r="W14" s="6" t="s">
        <v>85</v>
      </c>
      <c r="X14" s="7">
        <v>41923</v>
      </c>
      <c r="Y14" s="8">
        <f t="shared" ca="1" si="0"/>
        <v>11</v>
      </c>
      <c r="Z14" s="7"/>
      <c r="AA14" s="6" t="s">
        <v>47</v>
      </c>
      <c r="AB14" s="6" t="s">
        <v>48</v>
      </c>
      <c r="AC14" s="6" t="s">
        <v>58</v>
      </c>
      <c r="AD14" s="6" t="s">
        <v>59</v>
      </c>
      <c r="AE14" s="6">
        <v>4</v>
      </c>
      <c r="AF14" s="6" t="s">
        <v>87</v>
      </c>
      <c r="AG14" s="6" t="s">
        <v>52</v>
      </c>
      <c r="AH14" s="6">
        <v>4.28</v>
      </c>
      <c r="AI14" s="6">
        <v>4</v>
      </c>
      <c r="AJ14" s="6">
        <v>5</v>
      </c>
      <c r="AK14" s="7">
        <v>43521</v>
      </c>
      <c r="AL14" s="6">
        <v>9</v>
      </c>
    </row>
    <row r="15" spans="1:38" x14ac:dyDescent="0.35">
      <c r="A15" s="6" t="s">
        <v>101</v>
      </c>
      <c r="B15" s="6">
        <v>10265</v>
      </c>
      <c r="C15" s="6">
        <v>0</v>
      </c>
      <c r="D15" s="6">
        <v>0</v>
      </c>
      <c r="E15" s="6">
        <v>1</v>
      </c>
      <c r="F15" s="6">
        <v>1</v>
      </c>
      <c r="G15" s="6">
        <v>5</v>
      </c>
      <c r="H15" s="6">
        <v>3</v>
      </c>
      <c r="I15" s="6">
        <v>0</v>
      </c>
      <c r="J15" s="6">
        <v>58709</v>
      </c>
      <c r="K15" s="6">
        <v>0</v>
      </c>
      <c r="L15" s="6">
        <v>19</v>
      </c>
      <c r="M15" s="6" t="s">
        <v>39</v>
      </c>
      <c r="N15" s="6" t="s">
        <v>40</v>
      </c>
      <c r="O15" s="6">
        <v>1810</v>
      </c>
      <c r="P15" s="7">
        <v>32105</v>
      </c>
      <c r="Q15" s="8">
        <v>37</v>
      </c>
      <c r="R15" s="8" t="s">
        <v>41</v>
      </c>
      <c r="S15" s="6" t="s">
        <v>42</v>
      </c>
      <c r="T15" s="6" t="s">
        <v>43</v>
      </c>
      <c r="U15" s="6" t="s">
        <v>44</v>
      </c>
      <c r="V15" s="6" t="s">
        <v>45</v>
      </c>
      <c r="W15" s="6" t="s">
        <v>102</v>
      </c>
      <c r="X15" s="7">
        <v>40959</v>
      </c>
      <c r="Y15" s="8">
        <f t="shared" ca="1" si="0"/>
        <v>14</v>
      </c>
      <c r="Z15" s="7"/>
      <c r="AA15" s="6" t="s">
        <v>47</v>
      </c>
      <c r="AB15" s="6" t="s">
        <v>48</v>
      </c>
      <c r="AC15" s="6" t="s">
        <v>49</v>
      </c>
      <c r="AD15" s="6" t="s">
        <v>103</v>
      </c>
      <c r="AE15" s="6">
        <v>18</v>
      </c>
      <c r="AF15" s="6" t="s">
        <v>73</v>
      </c>
      <c r="AG15" s="6" t="s">
        <v>61</v>
      </c>
      <c r="AH15" s="6">
        <v>4.5999999999999996</v>
      </c>
      <c r="AI15" s="6">
        <v>4</v>
      </c>
      <c r="AJ15" s="6">
        <v>0</v>
      </c>
      <c r="AK15" s="7">
        <v>43510</v>
      </c>
      <c r="AL15" s="6">
        <v>7</v>
      </c>
    </row>
    <row r="16" spans="1:38" x14ac:dyDescent="0.35">
      <c r="A16" s="6" t="s">
        <v>104</v>
      </c>
      <c r="B16" s="6">
        <v>10066</v>
      </c>
      <c r="C16" s="6">
        <v>0</v>
      </c>
      <c r="D16" s="6">
        <v>2</v>
      </c>
      <c r="E16" s="6">
        <v>1</v>
      </c>
      <c r="F16" s="6">
        <v>5</v>
      </c>
      <c r="G16" s="6">
        <v>5</v>
      </c>
      <c r="H16" s="6">
        <v>3</v>
      </c>
      <c r="I16" s="6">
        <v>0</v>
      </c>
      <c r="J16" s="6">
        <v>52505</v>
      </c>
      <c r="K16" s="6">
        <v>1</v>
      </c>
      <c r="L16" s="6">
        <v>19</v>
      </c>
      <c r="M16" s="6" t="s">
        <v>39</v>
      </c>
      <c r="N16" s="6" t="s">
        <v>40</v>
      </c>
      <c r="O16" s="6">
        <v>2747</v>
      </c>
      <c r="P16" s="7">
        <v>30552</v>
      </c>
      <c r="Q16" s="8">
        <v>41</v>
      </c>
      <c r="R16" s="8" t="s">
        <v>41</v>
      </c>
      <c r="S16" s="6" t="s">
        <v>42</v>
      </c>
      <c r="T16" s="6" t="s">
        <v>70</v>
      </c>
      <c r="U16" s="6" t="s">
        <v>44</v>
      </c>
      <c r="V16" s="6" t="s">
        <v>45</v>
      </c>
      <c r="W16" s="6" t="s">
        <v>46</v>
      </c>
      <c r="X16" s="7">
        <v>41176</v>
      </c>
      <c r="Y16" s="8">
        <f t="shared" ca="1" si="0"/>
        <v>13</v>
      </c>
      <c r="Z16" s="7">
        <v>42890</v>
      </c>
      <c r="AA16" s="6" t="s">
        <v>93</v>
      </c>
      <c r="AB16" s="6" t="s">
        <v>57</v>
      </c>
      <c r="AC16" s="6" t="s">
        <v>49</v>
      </c>
      <c r="AD16" s="6" t="s">
        <v>50</v>
      </c>
      <c r="AE16" s="6">
        <v>22</v>
      </c>
      <c r="AF16" s="6" t="s">
        <v>105</v>
      </c>
      <c r="AG16" s="6" t="s">
        <v>61</v>
      </c>
      <c r="AH16" s="6">
        <v>5</v>
      </c>
      <c r="AI16" s="6">
        <v>5</v>
      </c>
      <c r="AJ16" s="6">
        <v>0</v>
      </c>
      <c r="AK16" s="7">
        <v>42769</v>
      </c>
      <c r="AL16" s="6">
        <v>1</v>
      </c>
    </row>
    <row r="17" spans="1:38" x14ac:dyDescent="0.35">
      <c r="A17" s="6" t="s">
        <v>106</v>
      </c>
      <c r="B17" s="6">
        <v>10061</v>
      </c>
      <c r="C17" s="6">
        <v>0</v>
      </c>
      <c r="D17" s="6">
        <v>0</v>
      </c>
      <c r="E17" s="6">
        <v>1</v>
      </c>
      <c r="F17" s="6">
        <v>4</v>
      </c>
      <c r="G17" s="6">
        <v>5</v>
      </c>
      <c r="H17" s="6">
        <v>3</v>
      </c>
      <c r="I17" s="6">
        <v>0</v>
      </c>
      <c r="J17" s="6">
        <v>57834</v>
      </c>
      <c r="K17" s="6">
        <v>1</v>
      </c>
      <c r="L17" s="6">
        <v>19</v>
      </c>
      <c r="M17" s="6" t="s">
        <v>39</v>
      </c>
      <c r="N17" s="6" t="s">
        <v>40</v>
      </c>
      <c r="O17" s="6">
        <v>2050</v>
      </c>
      <c r="P17" s="7">
        <v>32294</v>
      </c>
      <c r="Q17" s="8">
        <v>37</v>
      </c>
      <c r="R17" s="8" t="s">
        <v>41</v>
      </c>
      <c r="S17" s="6" t="s">
        <v>42</v>
      </c>
      <c r="T17" s="6" t="s">
        <v>43</v>
      </c>
      <c r="U17" s="6" t="s">
        <v>44</v>
      </c>
      <c r="V17" s="6" t="s">
        <v>45</v>
      </c>
      <c r="W17" s="6" t="s">
        <v>46</v>
      </c>
      <c r="X17" s="7">
        <v>40595</v>
      </c>
      <c r="Y17" s="8">
        <f t="shared" ca="1" si="0"/>
        <v>15</v>
      </c>
      <c r="Z17" s="7">
        <v>42833</v>
      </c>
      <c r="AA17" s="6" t="s">
        <v>107</v>
      </c>
      <c r="AB17" s="6" t="s">
        <v>108</v>
      </c>
      <c r="AC17" s="6" t="s">
        <v>49</v>
      </c>
      <c r="AD17" s="6" t="s">
        <v>103</v>
      </c>
      <c r="AE17" s="6">
        <v>18</v>
      </c>
      <c r="AF17" s="6" t="s">
        <v>73</v>
      </c>
      <c r="AG17" s="6" t="s">
        <v>61</v>
      </c>
      <c r="AH17" s="6">
        <v>5</v>
      </c>
      <c r="AI17" s="6">
        <v>4</v>
      </c>
      <c r="AJ17" s="6">
        <v>0</v>
      </c>
      <c r="AK17" s="7">
        <v>42859</v>
      </c>
      <c r="AL17" s="6">
        <v>20</v>
      </c>
    </row>
    <row r="18" spans="1:38" x14ac:dyDescent="0.35">
      <c r="A18" s="6" t="s">
        <v>109</v>
      </c>
      <c r="B18" s="6">
        <v>10023</v>
      </c>
      <c r="C18" s="6">
        <v>1</v>
      </c>
      <c r="D18" s="6">
        <v>1</v>
      </c>
      <c r="E18" s="6">
        <v>0</v>
      </c>
      <c r="F18" s="6">
        <v>2</v>
      </c>
      <c r="G18" s="6">
        <v>5</v>
      </c>
      <c r="H18" s="6">
        <v>4</v>
      </c>
      <c r="I18" s="6">
        <v>0</v>
      </c>
      <c r="J18" s="6">
        <v>70131</v>
      </c>
      <c r="K18" s="6">
        <v>0</v>
      </c>
      <c r="L18" s="6">
        <v>20</v>
      </c>
      <c r="M18" s="6" t="s">
        <v>63</v>
      </c>
      <c r="N18" s="6" t="s">
        <v>40</v>
      </c>
      <c r="O18" s="6">
        <v>2145</v>
      </c>
      <c r="P18" s="7">
        <v>29459</v>
      </c>
      <c r="Q18" s="8">
        <v>44</v>
      </c>
      <c r="R18" s="8" t="s">
        <v>41</v>
      </c>
      <c r="S18" s="6" t="s">
        <v>64</v>
      </c>
      <c r="T18" s="6" t="s">
        <v>55</v>
      </c>
      <c r="U18" s="6" t="s">
        <v>44</v>
      </c>
      <c r="V18" s="6" t="s">
        <v>45</v>
      </c>
      <c r="W18" s="6" t="s">
        <v>46</v>
      </c>
      <c r="X18" s="7">
        <v>42572</v>
      </c>
      <c r="Y18" s="8">
        <f t="shared" ca="1" si="0"/>
        <v>9</v>
      </c>
      <c r="Z18" s="7"/>
      <c r="AA18" s="6" t="s">
        <v>47</v>
      </c>
      <c r="AB18" s="6" t="s">
        <v>48</v>
      </c>
      <c r="AC18" s="6" t="s">
        <v>49</v>
      </c>
      <c r="AD18" s="6" t="s">
        <v>103</v>
      </c>
      <c r="AE18" s="6">
        <v>18</v>
      </c>
      <c r="AF18" s="6" t="s">
        <v>83</v>
      </c>
      <c r="AG18" s="6" t="s">
        <v>52</v>
      </c>
      <c r="AH18" s="6">
        <v>4.4000000000000004</v>
      </c>
      <c r="AI18" s="6">
        <v>3</v>
      </c>
      <c r="AJ18" s="6">
        <v>0</v>
      </c>
      <c r="AK18" s="7">
        <v>43479</v>
      </c>
      <c r="AL18" s="6">
        <v>16</v>
      </c>
    </row>
    <row r="19" spans="1:38" x14ac:dyDescent="0.35">
      <c r="A19" s="6" t="s">
        <v>110</v>
      </c>
      <c r="B19" s="6">
        <v>10055</v>
      </c>
      <c r="C19" s="6">
        <v>0</v>
      </c>
      <c r="D19" s="6">
        <v>0</v>
      </c>
      <c r="E19" s="6">
        <v>0</v>
      </c>
      <c r="F19" s="6">
        <v>1</v>
      </c>
      <c r="G19" s="6">
        <v>5</v>
      </c>
      <c r="H19" s="6">
        <v>3</v>
      </c>
      <c r="I19" s="6">
        <v>0</v>
      </c>
      <c r="J19" s="6">
        <v>59026</v>
      </c>
      <c r="K19" s="6">
        <v>0</v>
      </c>
      <c r="L19" s="6">
        <v>19</v>
      </c>
      <c r="M19" s="6" t="s">
        <v>39</v>
      </c>
      <c r="N19" s="6" t="s">
        <v>40</v>
      </c>
      <c r="O19" s="6">
        <v>1915</v>
      </c>
      <c r="P19" s="7">
        <v>27745</v>
      </c>
      <c r="Q19" s="8">
        <v>49</v>
      </c>
      <c r="R19" s="8" t="s">
        <v>41</v>
      </c>
      <c r="S19" s="6" t="s">
        <v>64</v>
      </c>
      <c r="T19" s="6" t="s">
        <v>43</v>
      </c>
      <c r="U19" s="6" t="s">
        <v>111</v>
      </c>
      <c r="V19" s="6" t="s">
        <v>45</v>
      </c>
      <c r="W19" s="6" t="s">
        <v>46</v>
      </c>
      <c r="X19" s="7">
        <v>40637</v>
      </c>
      <c r="Y19" s="8">
        <f t="shared" ca="1" si="0"/>
        <v>15</v>
      </c>
      <c r="Z19" s="7"/>
      <c r="AA19" s="6" t="s">
        <v>47</v>
      </c>
      <c r="AB19" s="6" t="s">
        <v>48</v>
      </c>
      <c r="AC19" s="6" t="s">
        <v>49</v>
      </c>
      <c r="AD19" s="6" t="s">
        <v>68</v>
      </c>
      <c r="AE19" s="6">
        <v>16</v>
      </c>
      <c r="AF19" s="6" t="s">
        <v>73</v>
      </c>
      <c r="AG19" s="6" t="s">
        <v>61</v>
      </c>
      <c r="AH19" s="6">
        <v>5</v>
      </c>
      <c r="AI19" s="6">
        <v>5</v>
      </c>
      <c r="AJ19" s="6">
        <v>0</v>
      </c>
      <c r="AK19" s="7">
        <v>43479</v>
      </c>
      <c r="AL19" s="6">
        <v>12</v>
      </c>
    </row>
    <row r="20" spans="1:38" x14ac:dyDescent="0.35">
      <c r="A20" s="6" t="s">
        <v>112</v>
      </c>
      <c r="B20" s="6">
        <v>10245</v>
      </c>
      <c r="C20" s="6">
        <v>0</v>
      </c>
      <c r="D20" s="6">
        <v>0</v>
      </c>
      <c r="E20" s="6">
        <v>0</v>
      </c>
      <c r="F20" s="6">
        <v>4</v>
      </c>
      <c r="G20" s="6">
        <v>3</v>
      </c>
      <c r="H20" s="6">
        <v>3</v>
      </c>
      <c r="I20" s="6">
        <v>0</v>
      </c>
      <c r="J20" s="6">
        <v>110000</v>
      </c>
      <c r="K20" s="6">
        <v>1</v>
      </c>
      <c r="L20" s="6">
        <v>8</v>
      </c>
      <c r="M20" s="6" t="s">
        <v>113</v>
      </c>
      <c r="N20" s="6" t="s">
        <v>40</v>
      </c>
      <c r="O20" s="6">
        <v>2026</v>
      </c>
      <c r="P20" s="7">
        <v>30394</v>
      </c>
      <c r="Q20" s="8">
        <v>42</v>
      </c>
      <c r="R20" s="8" t="s">
        <v>41</v>
      </c>
      <c r="S20" s="6" t="s">
        <v>64</v>
      </c>
      <c r="T20" s="6" t="s">
        <v>43</v>
      </c>
      <c r="U20" s="6" t="s">
        <v>44</v>
      </c>
      <c r="V20" s="6" t="s">
        <v>92</v>
      </c>
      <c r="W20" s="6" t="s">
        <v>46</v>
      </c>
      <c r="X20" s="7">
        <v>41827</v>
      </c>
      <c r="Y20" s="8">
        <f t="shared" ca="1" si="0"/>
        <v>12</v>
      </c>
      <c r="Z20" s="7">
        <v>42347</v>
      </c>
      <c r="AA20" s="6" t="s">
        <v>114</v>
      </c>
      <c r="AB20" s="6" t="s">
        <v>108</v>
      </c>
      <c r="AC20" s="6" t="s">
        <v>58</v>
      </c>
      <c r="AD20" s="6" t="s">
        <v>59</v>
      </c>
      <c r="AE20" s="6">
        <v>4</v>
      </c>
      <c r="AF20" s="6" t="s">
        <v>73</v>
      </c>
      <c r="AG20" s="6" t="s">
        <v>61</v>
      </c>
      <c r="AH20" s="6">
        <v>4.5</v>
      </c>
      <c r="AI20" s="6">
        <v>4</v>
      </c>
      <c r="AJ20" s="6">
        <v>5</v>
      </c>
      <c r="AK20" s="7">
        <v>42019</v>
      </c>
      <c r="AL20" s="6">
        <v>8</v>
      </c>
    </row>
    <row r="21" spans="1:38" x14ac:dyDescent="0.35">
      <c r="A21" s="6" t="s">
        <v>115</v>
      </c>
      <c r="B21" s="6">
        <v>10277</v>
      </c>
      <c r="C21" s="6">
        <v>0</v>
      </c>
      <c r="D21" s="6">
        <v>0</v>
      </c>
      <c r="E21" s="6">
        <v>1</v>
      </c>
      <c r="F21" s="6">
        <v>3</v>
      </c>
      <c r="G21" s="6">
        <v>5</v>
      </c>
      <c r="H21" s="6">
        <v>3</v>
      </c>
      <c r="I21" s="6">
        <v>0</v>
      </c>
      <c r="J21" s="6">
        <v>53250</v>
      </c>
      <c r="K21" s="6">
        <v>0</v>
      </c>
      <c r="L21" s="6">
        <v>19</v>
      </c>
      <c r="M21" s="6" t="s">
        <v>39</v>
      </c>
      <c r="N21" s="6" t="s">
        <v>40</v>
      </c>
      <c r="O21" s="6">
        <v>2452</v>
      </c>
      <c r="P21" s="7">
        <v>28215</v>
      </c>
      <c r="Q21" s="8">
        <v>48</v>
      </c>
      <c r="R21" s="8" t="s">
        <v>41</v>
      </c>
      <c r="S21" s="6" t="s">
        <v>42</v>
      </c>
      <c r="T21" s="6" t="s">
        <v>43</v>
      </c>
      <c r="U21" s="6" t="s">
        <v>44</v>
      </c>
      <c r="V21" s="6" t="s">
        <v>45</v>
      </c>
      <c r="W21" s="6" t="s">
        <v>116</v>
      </c>
      <c r="X21" s="7">
        <v>41493</v>
      </c>
      <c r="Y21" s="8">
        <f t="shared" ca="1" si="0"/>
        <v>12</v>
      </c>
      <c r="Z21" s="7"/>
      <c r="AA21" s="6" t="s">
        <v>47</v>
      </c>
      <c r="AB21" s="6" t="s">
        <v>48</v>
      </c>
      <c r="AC21" s="6" t="s">
        <v>49</v>
      </c>
      <c r="AD21" s="6" t="s">
        <v>72</v>
      </c>
      <c r="AE21" s="6"/>
      <c r="AF21" s="6" t="s">
        <v>51</v>
      </c>
      <c r="AG21" s="6" t="s">
        <v>61</v>
      </c>
      <c r="AH21" s="6">
        <v>4.2</v>
      </c>
      <c r="AI21" s="6">
        <v>4</v>
      </c>
      <c r="AJ21" s="6">
        <v>0</v>
      </c>
      <c r="AK21" s="7">
        <v>43770</v>
      </c>
      <c r="AL21" s="6">
        <v>13</v>
      </c>
    </row>
    <row r="22" spans="1:38" x14ac:dyDescent="0.35">
      <c r="A22" s="6" t="s">
        <v>117</v>
      </c>
      <c r="B22" s="6">
        <v>10046</v>
      </c>
      <c r="C22" s="6">
        <v>0</v>
      </c>
      <c r="D22" s="6">
        <v>0</v>
      </c>
      <c r="E22" s="6">
        <v>1</v>
      </c>
      <c r="F22" s="6">
        <v>1</v>
      </c>
      <c r="G22" s="6">
        <v>5</v>
      </c>
      <c r="H22" s="6">
        <v>3</v>
      </c>
      <c r="I22" s="6">
        <v>0</v>
      </c>
      <c r="J22" s="6">
        <v>51044</v>
      </c>
      <c r="K22" s="6">
        <v>0</v>
      </c>
      <c r="L22" s="6">
        <v>19</v>
      </c>
      <c r="M22" s="6" t="s">
        <v>39</v>
      </c>
      <c r="N22" s="6" t="s">
        <v>40</v>
      </c>
      <c r="O22" s="6">
        <v>2072</v>
      </c>
      <c r="P22" s="7">
        <v>19011</v>
      </c>
      <c r="Q22" s="8">
        <v>73</v>
      </c>
      <c r="R22" s="8" t="s">
        <v>96</v>
      </c>
      <c r="S22" s="6" t="s">
        <v>42</v>
      </c>
      <c r="T22" s="6" t="s">
        <v>43</v>
      </c>
      <c r="U22" s="6" t="s">
        <v>44</v>
      </c>
      <c r="V22" s="6" t="s">
        <v>92</v>
      </c>
      <c r="W22" s="6" t="s">
        <v>46</v>
      </c>
      <c r="X22" s="7">
        <v>40943</v>
      </c>
      <c r="Y22" s="8">
        <f t="shared" ca="1" si="0"/>
        <v>14</v>
      </c>
      <c r="Z22" s="7"/>
      <c r="AA22" s="6" t="s">
        <v>47</v>
      </c>
      <c r="AB22" s="6" t="s">
        <v>48</v>
      </c>
      <c r="AC22" s="6" t="s">
        <v>49</v>
      </c>
      <c r="AD22" s="6" t="s">
        <v>75</v>
      </c>
      <c r="AE22" s="6">
        <v>11</v>
      </c>
      <c r="AF22" s="6" t="s">
        <v>73</v>
      </c>
      <c r="AG22" s="6" t="s">
        <v>61</v>
      </c>
      <c r="AH22" s="6">
        <v>5</v>
      </c>
      <c r="AI22" s="6">
        <v>3</v>
      </c>
      <c r="AJ22" s="6">
        <v>0</v>
      </c>
      <c r="AK22" s="7">
        <v>43479</v>
      </c>
      <c r="AL22" s="6">
        <v>13</v>
      </c>
    </row>
    <row r="23" spans="1:38" x14ac:dyDescent="0.35">
      <c r="A23" s="6" t="s">
        <v>118</v>
      </c>
      <c r="B23" s="6">
        <v>10226</v>
      </c>
      <c r="C23" s="6">
        <v>0</v>
      </c>
      <c r="D23" s="6">
        <v>2</v>
      </c>
      <c r="E23" s="6">
        <v>0</v>
      </c>
      <c r="F23" s="6">
        <v>1</v>
      </c>
      <c r="G23" s="6">
        <v>5</v>
      </c>
      <c r="H23" s="6">
        <v>3</v>
      </c>
      <c r="I23" s="6">
        <v>0</v>
      </c>
      <c r="J23" s="6">
        <v>64919</v>
      </c>
      <c r="K23" s="6">
        <v>0</v>
      </c>
      <c r="L23" s="6">
        <v>19</v>
      </c>
      <c r="M23" s="6" t="s">
        <v>39</v>
      </c>
      <c r="N23" s="6" t="s">
        <v>40</v>
      </c>
      <c r="O23" s="6">
        <v>2027</v>
      </c>
      <c r="P23" s="7">
        <v>29112</v>
      </c>
      <c r="Q23" s="8">
        <v>45</v>
      </c>
      <c r="R23" s="8" t="s">
        <v>41</v>
      </c>
      <c r="S23" s="6" t="s">
        <v>64</v>
      </c>
      <c r="T23" s="6" t="s">
        <v>70</v>
      </c>
      <c r="U23" s="6" t="s">
        <v>44</v>
      </c>
      <c r="V23" s="6" t="s">
        <v>45</v>
      </c>
      <c r="W23" s="6" t="s">
        <v>116</v>
      </c>
      <c r="X23" s="7">
        <v>41535</v>
      </c>
      <c r="Y23" s="8">
        <f t="shared" ca="1" si="0"/>
        <v>12</v>
      </c>
      <c r="Z23" s="7"/>
      <c r="AA23" s="6" t="s">
        <v>47</v>
      </c>
      <c r="AB23" s="6" t="s">
        <v>48</v>
      </c>
      <c r="AC23" s="6" t="s">
        <v>49</v>
      </c>
      <c r="AD23" s="6" t="s">
        <v>82</v>
      </c>
      <c r="AE23" s="6">
        <v>19</v>
      </c>
      <c r="AF23" s="6" t="s">
        <v>60</v>
      </c>
      <c r="AG23" s="6" t="s">
        <v>61</v>
      </c>
      <c r="AH23" s="6">
        <v>4.2</v>
      </c>
      <c r="AI23" s="6">
        <v>3</v>
      </c>
      <c r="AJ23" s="6">
        <v>0</v>
      </c>
      <c r="AK23" s="7">
        <v>43739</v>
      </c>
      <c r="AL23" s="6">
        <v>2</v>
      </c>
    </row>
    <row r="24" spans="1:38" x14ac:dyDescent="0.35">
      <c r="A24" s="6" t="s">
        <v>119</v>
      </c>
      <c r="B24" s="6">
        <v>10003</v>
      </c>
      <c r="C24" s="6">
        <v>1</v>
      </c>
      <c r="D24" s="6">
        <v>1</v>
      </c>
      <c r="E24" s="6">
        <v>0</v>
      </c>
      <c r="F24" s="6">
        <v>1</v>
      </c>
      <c r="G24" s="6">
        <v>5</v>
      </c>
      <c r="H24" s="6">
        <v>4</v>
      </c>
      <c r="I24" s="6">
        <v>0</v>
      </c>
      <c r="J24" s="6">
        <v>62910</v>
      </c>
      <c r="K24" s="6">
        <v>0</v>
      </c>
      <c r="L24" s="6">
        <v>19</v>
      </c>
      <c r="M24" s="6" t="s">
        <v>39</v>
      </c>
      <c r="N24" s="6" t="s">
        <v>40</v>
      </c>
      <c r="O24" s="6">
        <v>2031</v>
      </c>
      <c r="P24" s="7">
        <v>30270</v>
      </c>
      <c r="Q24" s="8">
        <v>42</v>
      </c>
      <c r="R24" s="8" t="s">
        <v>41</v>
      </c>
      <c r="S24" s="6" t="s">
        <v>64</v>
      </c>
      <c r="T24" s="6" t="s">
        <v>55</v>
      </c>
      <c r="U24" s="6" t="s">
        <v>44</v>
      </c>
      <c r="V24" s="6" t="s">
        <v>45</v>
      </c>
      <c r="W24" s="6" t="s">
        <v>46</v>
      </c>
      <c r="X24" s="7">
        <v>41827</v>
      </c>
      <c r="Y24" s="8">
        <f t="shared" ca="1" si="0"/>
        <v>12</v>
      </c>
      <c r="Z24" s="7"/>
      <c r="AA24" s="6" t="s">
        <v>47</v>
      </c>
      <c r="AB24" s="6" t="s">
        <v>48</v>
      </c>
      <c r="AC24" s="6" t="s">
        <v>49</v>
      </c>
      <c r="AD24" s="6" t="s">
        <v>86</v>
      </c>
      <c r="AE24" s="6">
        <v>12</v>
      </c>
      <c r="AF24" s="6" t="s">
        <v>60</v>
      </c>
      <c r="AG24" s="6" t="s">
        <v>52</v>
      </c>
      <c r="AH24" s="6">
        <v>5</v>
      </c>
      <c r="AI24" s="6">
        <v>3</v>
      </c>
      <c r="AJ24" s="6">
        <v>0</v>
      </c>
      <c r="AK24" s="7">
        <v>43523</v>
      </c>
      <c r="AL24" s="6">
        <v>19</v>
      </c>
    </row>
    <row r="25" spans="1:38" x14ac:dyDescent="0.35">
      <c r="A25" s="6" t="s">
        <v>120</v>
      </c>
      <c r="B25" s="6">
        <v>10294</v>
      </c>
      <c r="C25" s="6">
        <v>0</v>
      </c>
      <c r="D25" s="6">
        <v>0</v>
      </c>
      <c r="E25" s="6">
        <v>0</v>
      </c>
      <c r="F25" s="6">
        <v>1</v>
      </c>
      <c r="G25" s="6">
        <v>5</v>
      </c>
      <c r="H25" s="6">
        <v>2</v>
      </c>
      <c r="I25" s="6">
        <v>0</v>
      </c>
      <c r="J25" s="6">
        <v>66441</v>
      </c>
      <c r="K25" s="6">
        <v>0</v>
      </c>
      <c r="L25" s="6">
        <v>20</v>
      </c>
      <c r="M25" s="6" t="s">
        <v>63</v>
      </c>
      <c r="N25" s="6" t="s">
        <v>40</v>
      </c>
      <c r="O25" s="6">
        <v>2171</v>
      </c>
      <c r="P25" s="7">
        <v>26930</v>
      </c>
      <c r="Q25" s="8">
        <v>51</v>
      </c>
      <c r="R25" s="8" t="s">
        <v>41</v>
      </c>
      <c r="S25" s="6" t="s">
        <v>64</v>
      </c>
      <c r="T25" s="6" t="s">
        <v>43</v>
      </c>
      <c r="U25" s="6" t="s">
        <v>44</v>
      </c>
      <c r="V25" s="6" t="s">
        <v>45</v>
      </c>
      <c r="W25" s="6" t="s">
        <v>46</v>
      </c>
      <c r="X25" s="7">
        <v>40637</v>
      </c>
      <c r="Y25" s="8">
        <f t="shared" ca="1" si="0"/>
        <v>15</v>
      </c>
      <c r="Z25" s="7"/>
      <c r="AA25" s="6" t="s">
        <v>47</v>
      </c>
      <c r="AB25" s="6" t="s">
        <v>48</v>
      </c>
      <c r="AC25" s="6" t="s">
        <v>49</v>
      </c>
      <c r="AD25" s="6" t="s">
        <v>50</v>
      </c>
      <c r="AE25" s="6">
        <v>22</v>
      </c>
      <c r="AF25" s="6" t="s">
        <v>121</v>
      </c>
      <c r="AG25" s="6" t="s">
        <v>122</v>
      </c>
      <c r="AH25" s="6">
        <v>2</v>
      </c>
      <c r="AI25" s="6">
        <v>3</v>
      </c>
      <c r="AJ25" s="6">
        <v>0</v>
      </c>
      <c r="AK25" s="7">
        <v>43523</v>
      </c>
      <c r="AL25" s="6">
        <v>3</v>
      </c>
    </row>
    <row r="26" spans="1:38" x14ac:dyDescent="0.35">
      <c r="A26" s="6" t="s">
        <v>123</v>
      </c>
      <c r="B26" s="6">
        <v>10267</v>
      </c>
      <c r="C26" s="6">
        <v>0</v>
      </c>
      <c r="D26" s="6">
        <v>0</v>
      </c>
      <c r="E26" s="6">
        <v>0</v>
      </c>
      <c r="F26" s="6">
        <v>5</v>
      </c>
      <c r="G26" s="6">
        <v>5</v>
      </c>
      <c r="H26" s="6">
        <v>3</v>
      </c>
      <c r="I26" s="6">
        <v>0</v>
      </c>
      <c r="J26" s="6">
        <v>57815</v>
      </c>
      <c r="K26" s="6">
        <v>1</v>
      </c>
      <c r="L26" s="6">
        <v>20</v>
      </c>
      <c r="M26" s="6" t="s">
        <v>63</v>
      </c>
      <c r="N26" s="6" t="s">
        <v>40</v>
      </c>
      <c r="O26" s="6">
        <v>2210</v>
      </c>
      <c r="P26" s="7">
        <v>28727</v>
      </c>
      <c r="Q26" s="8">
        <v>46</v>
      </c>
      <c r="R26" s="8" t="s">
        <v>41</v>
      </c>
      <c r="S26" s="6" t="s">
        <v>64</v>
      </c>
      <c r="T26" s="6" t="s">
        <v>43</v>
      </c>
      <c r="U26" s="6" t="s">
        <v>44</v>
      </c>
      <c r="V26" s="6" t="s">
        <v>45</v>
      </c>
      <c r="W26" s="6" t="s">
        <v>46</v>
      </c>
      <c r="X26" s="7">
        <v>40817</v>
      </c>
      <c r="Y26" s="8">
        <f t="shared" ca="1" si="0"/>
        <v>14</v>
      </c>
      <c r="Z26" s="7">
        <v>41733</v>
      </c>
      <c r="AA26" s="6" t="s">
        <v>56</v>
      </c>
      <c r="AB26" s="6" t="s">
        <v>57</v>
      </c>
      <c r="AC26" s="6" t="s">
        <v>49</v>
      </c>
      <c r="AD26" s="6" t="s">
        <v>68</v>
      </c>
      <c r="AE26" s="6">
        <v>16</v>
      </c>
      <c r="AF26" s="6" t="s">
        <v>73</v>
      </c>
      <c r="AG26" s="6" t="s">
        <v>61</v>
      </c>
      <c r="AH26" s="6">
        <v>4.8</v>
      </c>
      <c r="AI26" s="6">
        <v>5</v>
      </c>
      <c r="AJ26" s="6">
        <v>0</v>
      </c>
      <c r="AK26" s="7">
        <v>41732</v>
      </c>
      <c r="AL26" s="6">
        <v>5</v>
      </c>
    </row>
    <row r="27" spans="1:38" x14ac:dyDescent="0.35">
      <c r="A27" s="6" t="s">
        <v>124</v>
      </c>
      <c r="B27" s="6">
        <v>10199</v>
      </c>
      <c r="C27" s="6">
        <v>0</v>
      </c>
      <c r="D27" s="6">
        <v>0</v>
      </c>
      <c r="E27" s="6">
        <v>1</v>
      </c>
      <c r="F27" s="6">
        <v>4</v>
      </c>
      <c r="G27" s="6">
        <v>3</v>
      </c>
      <c r="H27" s="6">
        <v>3</v>
      </c>
      <c r="I27" s="6">
        <v>0</v>
      </c>
      <c r="J27" s="6">
        <v>103613</v>
      </c>
      <c r="K27" s="6">
        <v>1</v>
      </c>
      <c r="L27" s="6">
        <v>30</v>
      </c>
      <c r="M27" s="6" t="s">
        <v>125</v>
      </c>
      <c r="N27" s="6" t="s">
        <v>126</v>
      </c>
      <c r="O27" s="6">
        <v>6033</v>
      </c>
      <c r="P27" s="7">
        <v>32745</v>
      </c>
      <c r="Q27" s="8">
        <v>35</v>
      </c>
      <c r="R27" s="8" t="s">
        <v>41</v>
      </c>
      <c r="S27" s="6" t="s">
        <v>42</v>
      </c>
      <c r="T27" s="6" t="s">
        <v>43</v>
      </c>
      <c r="U27" s="6" t="s">
        <v>44</v>
      </c>
      <c r="V27" s="6" t="s">
        <v>45</v>
      </c>
      <c r="W27" s="6" t="s">
        <v>85</v>
      </c>
      <c r="X27" s="7">
        <v>41687</v>
      </c>
      <c r="Y27" s="8">
        <f t="shared" ca="1" si="0"/>
        <v>12</v>
      </c>
      <c r="Z27" s="7">
        <v>42419</v>
      </c>
      <c r="AA27" s="6" t="s">
        <v>127</v>
      </c>
      <c r="AB27" s="6" t="s">
        <v>108</v>
      </c>
      <c r="AC27" s="6" t="s">
        <v>58</v>
      </c>
      <c r="AD27" s="6" t="s">
        <v>59</v>
      </c>
      <c r="AE27" s="6">
        <v>4</v>
      </c>
      <c r="AF27" s="6" t="s">
        <v>51</v>
      </c>
      <c r="AG27" s="6" t="s">
        <v>61</v>
      </c>
      <c r="AH27" s="6">
        <v>3.5</v>
      </c>
      <c r="AI27" s="6">
        <v>5</v>
      </c>
      <c r="AJ27" s="6">
        <v>7</v>
      </c>
      <c r="AK27" s="7">
        <v>42644</v>
      </c>
      <c r="AL27" s="6">
        <v>2</v>
      </c>
    </row>
    <row r="28" spans="1:38" x14ac:dyDescent="0.35">
      <c r="A28" s="6" t="s">
        <v>128</v>
      </c>
      <c r="B28" s="6">
        <v>10081</v>
      </c>
      <c r="C28" s="6">
        <v>1</v>
      </c>
      <c r="D28" s="6">
        <v>1</v>
      </c>
      <c r="E28" s="6">
        <v>0</v>
      </c>
      <c r="F28" s="6">
        <v>1</v>
      </c>
      <c r="G28" s="6">
        <v>1</v>
      </c>
      <c r="H28" s="6">
        <v>3</v>
      </c>
      <c r="I28" s="6">
        <v>1</v>
      </c>
      <c r="J28" s="6">
        <v>106367</v>
      </c>
      <c r="K28" s="6">
        <v>0</v>
      </c>
      <c r="L28" s="6">
        <v>26</v>
      </c>
      <c r="M28" s="6" t="s">
        <v>129</v>
      </c>
      <c r="N28" s="6" t="s">
        <v>40</v>
      </c>
      <c r="O28" s="6">
        <v>2468</v>
      </c>
      <c r="P28" s="7">
        <v>28755</v>
      </c>
      <c r="Q28" s="8">
        <v>46</v>
      </c>
      <c r="R28" s="8" t="s">
        <v>41</v>
      </c>
      <c r="S28" s="6" t="s">
        <v>64</v>
      </c>
      <c r="T28" s="6" t="s">
        <v>55</v>
      </c>
      <c r="U28" s="6" t="s">
        <v>44</v>
      </c>
      <c r="V28" s="6" t="s">
        <v>45</v>
      </c>
      <c r="W28" s="6" t="s">
        <v>85</v>
      </c>
      <c r="X28" s="7">
        <v>42051</v>
      </c>
      <c r="Y28" s="8">
        <f t="shared" ca="1" si="0"/>
        <v>11</v>
      </c>
      <c r="Z28" s="7"/>
      <c r="AA28" s="6" t="s">
        <v>47</v>
      </c>
      <c r="AB28" s="6" t="s">
        <v>48</v>
      </c>
      <c r="AC28" s="6" t="s">
        <v>130</v>
      </c>
      <c r="AD28" s="6" t="s">
        <v>131</v>
      </c>
      <c r="AE28" s="6">
        <v>3</v>
      </c>
      <c r="AF28" s="6" t="s">
        <v>87</v>
      </c>
      <c r="AG28" s="6" t="s">
        <v>61</v>
      </c>
      <c r="AH28" s="6">
        <v>5</v>
      </c>
      <c r="AI28" s="6">
        <v>4</v>
      </c>
      <c r="AJ28" s="6">
        <v>3</v>
      </c>
      <c r="AK28" s="7">
        <v>43514</v>
      </c>
      <c r="AL28" s="6">
        <v>4</v>
      </c>
    </row>
    <row r="29" spans="1:38" x14ac:dyDescent="0.35">
      <c r="A29" s="6" t="s">
        <v>132</v>
      </c>
      <c r="B29" s="6">
        <v>10175</v>
      </c>
      <c r="C29" s="6">
        <v>0</v>
      </c>
      <c r="D29" s="6">
        <v>0</v>
      </c>
      <c r="E29" s="6">
        <v>1</v>
      </c>
      <c r="F29" s="6">
        <v>5</v>
      </c>
      <c r="G29" s="6">
        <v>5</v>
      </c>
      <c r="H29" s="6">
        <v>3</v>
      </c>
      <c r="I29" s="6">
        <v>0</v>
      </c>
      <c r="J29" s="6">
        <v>74312</v>
      </c>
      <c r="K29" s="6">
        <v>1</v>
      </c>
      <c r="L29" s="6">
        <v>18</v>
      </c>
      <c r="M29" s="6" t="s">
        <v>133</v>
      </c>
      <c r="N29" s="6" t="s">
        <v>40</v>
      </c>
      <c r="O29" s="6">
        <v>1901</v>
      </c>
      <c r="P29" s="7">
        <v>32047</v>
      </c>
      <c r="Q29" s="8">
        <v>37</v>
      </c>
      <c r="R29" s="8" t="s">
        <v>41</v>
      </c>
      <c r="S29" s="6" t="s">
        <v>42</v>
      </c>
      <c r="T29" s="6" t="s">
        <v>43</v>
      </c>
      <c r="U29" s="6" t="s">
        <v>44</v>
      </c>
      <c r="V29" s="6" t="s">
        <v>45</v>
      </c>
      <c r="W29" s="6" t="s">
        <v>116</v>
      </c>
      <c r="X29" s="7">
        <v>41547</v>
      </c>
      <c r="Y29" s="8">
        <f t="shared" ca="1" si="0"/>
        <v>12</v>
      </c>
      <c r="Z29" s="7">
        <v>41828</v>
      </c>
      <c r="AA29" s="6" t="s">
        <v>134</v>
      </c>
      <c r="AB29" s="6" t="s">
        <v>57</v>
      </c>
      <c r="AC29" s="6" t="s">
        <v>49</v>
      </c>
      <c r="AD29" s="6" t="s">
        <v>135</v>
      </c>
      <c r="AE29" s="6">
        <v>2</v>
      </c>
      <c r="AF29" s="6" t="s">
        <v>60</v>
      </c>
      <c r="AG29" s="6" t="s">
        <v>61</v>
      </c>
      <c r="AH29" s="6">
        <v>3.39</v>
      </c>
      <c r="AI29" s="6">
        <v>3</v>
      </c>
      <c r="AJ29" s="6">
        <v>0</v>
      </c>
      <c r="AK29" s="7">
        <v>41690</v>
      </c>
      <c r="AL29" s="6">
        <v>14</v>
      </c>
    </row>
    <row r="30" spans="1:38" x14ac:dyDescent="0.35">
      <c r="A30" s="6" t="s">
        <v>136</v>
      </c>
      <c r="B30" s="6">
        <v>10177</v>
      </c>
      <c r="C30" s="6">
        <v>1</v>
      </c>
      <c r="D30" s="6">
        <v>1</v>
      </c>
      <c r="E30" s="6">
        <v>0</v>
      </c>
      <c r="F30" s="6">
        <v>5</v>
      </c>
      <c r="G30" s="6">
        <v>5</v>
      </c>
      <c r="H30" s="6">
        <v>3</v>
      </c>
      <c r="I30" s="6">
        <v>0</v>
      </c>
      <c r="J30" s="6">
        <v>53492</v>
      </c>
      <c r="K30" s="6">
        <v>1</v>
      </c>
      <c r="L30" s="6">
        <v>19</v>
      </c>
      <c r="M30" s="6" t="s">
        <v>39</v>
      </c>
      <c r="N30" s="6" t="s">
        <v>40</v>
      </c>
      <c r="O30" s="6">
        <v>1701</v>
      </c>
      <c r="P30" s="7">
        <v>20193</v>
      </c>
      <c r="Q30" s="8">
        <v>70</v>
      </c>
      <c r="R30" s="8" t="s">
        <v>96</v>
      </c>
      <c r="S30" s="6" t="s">
        <v>64</v>
      </c>
      <c r="T30" s="6" t="s">
        <v>55</v>
      </c>
      <c r="U30" s="6" t="s">
        <v>44</v>
      </c>
      <c r="V30" s="6" t="s">
        <v>45</v>
      </c>
      <c r="W30" s="6" t="s">
        <v>46</v>
      </c>
      <c r="X30" s="7">
        <v>40943</v>
      </c>
      <c r="Y30" s="8">
        <f t="shared" ca="1" si="0"/>
        <v>14</v>
      </c>
      <c r="Z30" s="7">
        <v>41440</v>
      </c>
      <c r="AA30" s="6" t="s">
        <v>93</v>
      </c>
      <c r="AB30" s="6" t="s">
        <v>57</v>
      </c>
      <c r="AC30" s="6" t="s">
        <v>49</v>
      </c>
      <c r="AD30" s="6" t="s">
        <v>94</v>
      </c>
      <c r="AE30" s="6">
        <v>14</v>
      </c>
      <c r="AF30" s="6" t="s">
        <v>73</v>
      </c>
      <c r="AG30" s="6" t="s">
        <v>61</v>
      </c>
      <c r="AH30" s="6">
        <v>3.35</v>
      </c>
      <c r="AI30" s="6">
        <v>4</v>
      </c>
      <c r="AJ30" s="6">
        <v>0</v>
      </c>
      <c r="AK30" s="7">
        <v>41367</v>
      </c>
      <c r="AL30" s="6">
        <v>6</v>
      </c>
    </row>
    <row r="31" spans="1:38" x14ac:dyDescent="0.35">
      <c r="A31" s="6" t="s">
        <v>137</v>
      </c>
      <c r="B31" s="6">
        <v>10238</v>
      </c>
      <c r="C31" s="6">
        <v>1</v>
      </c>
      <c r="D31" s="6">
        <v>1</v>
      </c>
      <c r="E31" s="6">
        <v>0</v>
      </c>
      <c r="F31" s="6">
        <v>1</v>
      </c>
      <c r="G31" s="6">
        <v>1</v>
      </c>
      <c r="H31" s="6">
        <v>3</v>
      </c>
      <c r="I31" s="6">
        <v>1</v>
      </c>
      <c r="J31" s="6">
        <v>63000</v>
      </c>
      <c r="K31" s="6">
        <v>0</v>
      </c>
      <c r="L31" s="6">
        <v>1</v>
      </c>
      <c r="M31" s="6" t="s">
        <v>138</v>
      </c>
      <c r="N31" s="6" t="s">
        <v>40</v>
      </c>
      <c r="O31" s="6">
        <v>1450</v>
      </c>
      <c r="P31" s="7">
        <v>29661</v>
      </c>
      <c r="Q31" s="8">
        <v>44</v>
      </c>
      <c r="R31" s="8" t="s">
        <v>41</v>
      </c>
      <c r="S31" s="6" t="s">
        <v>64</v>
      </c>
      <c r="T31" s="6" t="s">
        <v>55</v>
      </c>
      <c r="U31" s="6" t="s">
        <v>44</v>
      </c>
      <c r="V31" s="6" t="s">
        <v>45</v>
      </c>
      <c r="W31" s="6" t="s">
        <v>85</v>
      </c>
      <c r="X31" s="7">
        <v>39748</v>
      </c>
      <c r="Y31" s="8">
        <f t="shared" ca="1" si="0"/>
        <v>17</v>
      </c>
      <c r="Z31" s="7"/>
      <c r="AA31" s="6" t="s">
        <v>47</v>
      </c>
      <c r="AB31" s="6" t="s">
        <v>48</v>
      </c>
      <c r="AC31" s="6" t="s">
        <v>130</v>
      </c>
      <c r="AD31" s="6" t="s">
        <v>131</v>
      </c>
      <c r="AE31" s="6">
        <v>1</v>
      </c>
      <c r="AF31" s="6" t="s">
        <v>87</v>
      </c>
      <c r="AG31" s="6" t="s">
        <v>61</v>
      </c>
      <c r="AH31" s="6">
        <v>4.5</v>
      </c>
      <c r="AI31" s="6">
        <v>2</v>
      </c>
      <c r="AJ31" s="6">
        <v>6</v>
      </c>
      <c r="AK31" s="7">
        <v>43480</v>
      </c>
      <c r="AL31" s="6">
        <v>14</v>
      </c>
    </row>
    <row r="32" spans="1:38" x14ac:dyDescent="0.35">
      <c r="A32" s="6" t="s">
        <v>139</v>
      </c>
      <c r="B32" s="6">
        <v>10184</v>
      </c>
      <c r="C32" s="6">
        <v>0</v>
      </c>
      <c r="D32" s="6">
        <v>0</v>
      </c>
      <c r="E32" s="6">
        <v>1</v>
      </c>
      <c r="F32" s="6">
        <v>1</v>
      </c>
      <c r="G32" s="6">
        <v>5</v>
      </c>
      <c r="H32" s="6">
        <v>3</v>
      </c>
      <c r="I32" s="6">
        <v>0</v>
      </c>
      <c r="J32" s="6">
        <v>65288</v>
      </c>
      <c r="K32" s="6">
        <v>0</v>
      </c>
      <c r="L32" s="6">
        <v>20</v>
      </c>
      <c r="M32" s="6" t="s">
        <v>63</v>
      </c>
      <c r="N32" s="6" t="s">
        <v>40</v>
      </c>
      <c r="O32" s="6">
        <v>1013</v>
      </c>
      <c r="P32" s="7">
        <v>28961</v>
      </c>
      <c r="Q32" s="8">
        <v>46</v>
      </c>
      <c r="R32" s="8" t="s">
        <v>41</v>
      </c>
      <c r="S32" s="6" t="s">
        <v>42</v>
      </c>
      <c r="T32" s="6" t="s">
        <v>43</v>
      </c>
      <c r="U32" s="6" t="s">
        <v>44</v>
      </c>
      <c r="V32" s="6" t="s">
        <v>45</v>
      </c>
      <c r="W32" s="6" t="s">
        <v>46</v>
      </c>
      <c r="X32" s="7">
        <v>41911</v>
      </c>
      <c r="Y32" s="8">
        <f t="shared" ca="1" si="0"/>
        <v>11</v>
      </c>
      <c r="Z32" s="7"/>
      <c r="AA32" s="6" t="s">
        <v>47</v>
      </c>
      <c r="AB32" s="6" t="s">
        <v>48</v>
      </c>
      <c r="AC32" s="6" t="s">
        <v>49</v>
      </c>
      <c r="AD32" s="6" t="s">
        <v>72</v>
      </c>
      <c r="AE32" s="6"/>
      <c r="AF32" s="6" t="s">
        <v>73</v>
      </c>
      <c r="AG32" s="6" t="s">
        <v>61</v>
      </c>
      <c r="AH32" s="6">
        <v>3.19</v>
      </c>
      <c r="AI32" s="6">
        <v>3</v>
      </c>
      <c r="AJ32" s="6">
        <v>0</v>
      </c>
      <c r="AK32" s="7">
        <v>43467</v>
      </c>
      <c r="AL32" s="6">
        <v>9</v>
      </c>
    </row>
    <row r="33" spans="1:38" x14ac:dyDescent="0.35">
      <c r="A33" s="6" t="s">
        <v>140</v>
      </c>
      <c r="B33" s="6">
        <v>10203</v>
      </c>
      <c r="C33" s="6">
        <v>0</v>
      </c>
      <c r="D33" s="6">
        <v>3</v>
      </c>
      <c r="E33" s="6">
        <v>0</v>
      </c>
      <c r="F33" s="6">
        <v>3</v>
      </c>
      <c r="G33" s="6">
        <v>5</v>
      </c>
      <c r="H33" s="6">
        <v>3</v>
      </c>
      <c r="I33" s="6">
        <v>1</v>
      </c>
      <c r="J33" s="6">
        <v>64375</v>
      </c>
      <c r="K33" s="6">
        <v>0</v>
      </c>
      <c r="L33" s="6">
        <v>19</v>
      </c>
      <c r="M33" s="6" t="s">
        <v>39</v>
      </c>
      <c r="N33" s="6" t="s">
        <v>40</v>
      </c>
      <c r="O33" s="6">
        <v>2043</v>
      </c>
      <c r="P33" s="7">
        <v>23251</v>
      </c>
      <c r="Q33" s="8">
        <v>61</v>
      </c>
      <c r="R33" s="8" t="s">
        <v>96</v>
      </c>
      <c r="S33" s="6" t="s">
        <v>64</v>
      </c>
      <c r="T33" s="6" t="s">
        <v>141</v>
      </c>
      <c r="U33" s="6" t="s">
        <v>44</v>
      </c>
      <c r="V33" s="6" t="s">
        <v>45</v>
      </c>
      <c r="W33" s="6" t="s">
        <v>85</v>
      </c>
      <c r="X33" s="7">
        <v>41589</v>
      </c>
      <c r="Y33" s="8">
        <f t="shared" ca="1" si="0"/>
        <v>12</v>
      </c>
      <c r="Z33" s="7"/>
      <c r="AA33" s="6" t="s">
        <v>47</v>
      </c>
      <c r="AB33" s="6" t="s">
        <v>48</v>
      </c>
      <c r="AC33" s="6" t="s">
        <v>49</v>
      </c>
      <c r="AD33" s="6" t="s">
        <v>66</v>
      </c>
      <c r="AE33" s="6">
        <v>20</v>
      </c>
      <c r="AF33" s="6" t="s">
        <v>87</v>
      </c>
      <c r="AG33" s="6" t="s">
        <v>61</v>
      </c>
      <c r="AH33" s="6">
        <v>3.5</v>
      </c>
      <c r="AI33" s="6">
        <v>5</v>
      </c>
      <c r="AJ33" s="6">
        <v>0</v>
      </c>
      <c r="AK33" s="7">
        <v>43486</v>
      </c>
      <c r="AL33" s="6">
        <v>17</v>
      </c>
    </row>
    <row r="34" spans="1:38" x14ac:dyDescent="0.35">
      <c r="A34" s="6" t="s">
        <v>142</v>
      </c>
      <c r="B34" s="6">
        <v>10188</v>
      </c>
      <c r="C34" s="6">
        <v>1</v>
      </c>
      <c r="D34" s="6">
        <v>1</v>
      </c>
      <c r="E34" s="6">
        <v>0</v>
      </c>
      <c r="F34" s="6">
        <v>5</v>
      </c>
      <c r="G34" s="6">
        <v>6</v>
      </c>
      <c r="H34" s="6">
        <v>3</v>
      </c>
      <c r="I34" s="6">
        <v>0</v>
      </c>
      <c r="J34" s="6">
        <v>74326</v>
      </c>
      <c r="K34" s="6">
        <v>1</v>
      </c>
      <c r="L34" s="6">
        <v>3</v>
      </c>
      <c r="M34" s="6" t="s">
        <v>143</v>
      </c>
      <c r="N34" s="6" t="s">
        <v>144</v>
      </c>
      <c r="O34" s="6">
        <v>21851</v>
      </c>
      <c r="P34" s="7">
        <v>31305</v>
      </c>
      <c r="Q34" s="8">
        <v>39</v>
      </c>
      <c r="R34" s="8" t="s">
        <v>41</v>
      </c>
      <c r="S34" s="6" t="s">
        <v>64</v>
      </c>
      <c r="T34" s="6" t="s">
        <v>55</v>
      </c>
      <c r="U34" s="6" t="s">
        <v>111</v>
      </c>
      <c r="V34" s="6" t="s">
        <v>45</v>
      </c>
      <c r="W34" s="6" t="s">
        <v>85</v>
      </c>
      <c r="X34" s="7">
        <v>40770</v>
      </c>
      <c r="Y34" s="8">
        <f t="shared" ca="1" si="0"/>
        <v>14</v>
      </c>
      <c r="Z34" s="7">
        <v>41678</v>
      </c>
      <c r="AA34" s="6" t="s">
        <v>93</v>
      </c>
      <c r="AB34" s="6" t="s">
        <v>57</v>
      </c>
      <c r="AC34" s="6" t="s">
        <v>145</v>
      </c>
      <c r="AD34" s="6" t="s">
        <v>146</v>
      </c>
      <c r="AE34" s="6">
        <v>17</v>
      </c>
      <c r="AF34" s="6" t="s">
        <v>73</v>
      </c>
      <c r="AG34" s="6" t="s">
        <v>61</v>
      </c>
      <c r="AH34" s="6">
        <v>3.14</v>
      </c>
      <c r="AI34" s="6">
        <v>5</v>
      </c>
      <c r="AJ34" s="6">
        <v>0</v>
      </c>
      <c r="AK34" s="7">
        <v>41549</v>
      </c>
      <c r="AL34" s="6">
        <v>19</v>
      </c>
    </row>
    <row r="35" spans="1:38" x14ac:dyDescent="0.35">
      <c r="A35" s="6" t="s">
        <v>147</v>
      </c>
      <c r="B35" s="6">
        <v>10107</v>
      </c>
      <c r="C35" s="6">
        <v>0</v>
      </c>
      <c r="D35" s="6">
        <v>0</v>
      </c>
      <c r="E35" s="6">
        <v>0</v>
      </c>
      <c r="F35" s="6">
        <v>1</v>
      </c>
      <c r="G35" s="6">
        <v>5</v>
      </c>
      <c r="H35" s="6">
        <v>3</v>
      </c>
      <c r="I35" s="6">
        <v>0</v>
      </c>
      <c r="J35" s="6">
        <v>63763</v>
      </c>
      <c r="K35" s="6">
        <v>0</v>
      </c>
      <c r="L35" s="6">
        <v>20</v>
      </c>
      <c r="M35" s="6" t="s">
        <v>63</v>
      </c>
      <c r="N35" s="6" t="s">
        <v>40</v>
      </c>
      <c r="O35" s="6">
        <v>2148</v>
      </c>
      <c r="P35" s="7">
        <v>26229</v>
      </c>
      <c r="Q35" s="8">
        <v>53</v>
      </c>
      <c r="R35" s="8" t="s">
        <v>41</v>
      </c>
      <c r="S35" s="6" t="s">
        <v>64</v>
      </c>
      <c r="T35" s="6" t="s">
        <v>43</v>
      </c>
      <c r="U35" s="6" t="s">
        <v>44</v>
      </c>
      <c r="V35" s="6" t="s">
        <v>45</v>
      </c>
      <c r="W35" s="6" t="s">
        <v>85</v>
      </c>
      <c r="X35" s="7">
        <v>41032</v>
      </c>
      <c r="Y35" s="8">
        <f t="shared" ca="1" si="0"/>
        <v>14</v>
      </c>
      <c r="Z35" s="7"/>
      <c r="AA35" s="6" t="s">
        <v>47</v>
      </c>
      <c r="AB35" s="6" t="s">
        <v>48</v>
      </c>
      <c r="AC35" s="6" t="s">
        <v>49</v>
      </c>
      <c r="AD35" s="6" t="s">
        <v>75</v>
      </c>
      <c r="AE35" s="6">
        <v>11</v>
      </c>
      <c r="AF35" s="6" t="s">
        <v>83</v>
      </c>
      <c r="AG35" s="6" t="s">
        <v>61</v>
      </c>
      <c r="AH35" s="6">
        <v>4.51</v>
      </c>
      <c r="AI35" s="6">
        <v>4</v>
      </c>
      <c r="AJ35" s="6">
        <v>0</v>
      </c>
      <c r="AK35" s="7">
        <v>43517</v>
      </c>
      <c r="AL35" s="6">
        <v>3</v>
      </c>
    </row>
    <row r="36" spans="1:38" x14ac:dyDescent="0.35">
      <c r="A36" s="6" t="s">
        <v>148</v>
      </c>
      <c r="B36" s="6">
        <v>10181</v>
      </c>
      <c r="C36" s="6">
        <v>1</v>
      </c>
      <c r="D36" s="6">
        <v>1</v>
      </c>
      <c r="E36" s="6">
        <v>1</v>
      </c>
      <c r="F36" s="6">
        <v>1</v>
      </c>
      <c r="G36" s="6">
        <v>5</v>
      </c>
      <c r="H36" s="6">
        <v>3</v>
      </c>
      <c r="I36" s="6">
        <v>0</v>
      </c>
      <c r="J36" s="6">
        <v>62162</v>
      </c>
      <c r="K36" s="6">
        <v>0</v>
      </c>
      <c r="L36" s="6">
        <v>20</v>
      </c>
      <c r="M36" s="6" t="s">
        <v>63</v>
      </c>
      <c r="N36" s="6" t="s">
        <v>40</v>
      </c>
      <c r="O36" s="6">
        <v>1890</v>
      </c>
      <c r="P36" s="7">
        <v>32836</v>
      </c>
      <c r="Q36" s="8">
        <v>35</v>
      </c>
      <c r="R36" s="8" t="s">
        <v>41</v>
      </c>
      <c r="S36" s="6" t="s">
        <v>42</v>
      </c>
      <c r="T36" s="6" t="s">
        <v>55</v>
      </c>
      <c r="U36" s="6" t="s">
        <v>44</v>
      </c>
      <c r="V36" s="6" t="s">
        <v>45</v>
      </c>
      <c r="W36" s="6" t="s">
        <v>46</v>
      </c>
      <c r="X36" s="7">
        <v>40637</v>
      </c>
      <c r="Y36" s="8">
        <f t="shared" ca="1" si="0"/>
        <v>15</v>
      </c>
      <c r="Z36" s="7"/>
      <c r="AA36" s="6" t="s">
        <v>47</v>
      </c>
      <c r="AB36" s="6" t="s">
        <v>48</v>
      </c>
      <c r="AC36" s="6" t="s">
        <v>49</v>
      </c>
      <c r="AD36" s="6" t="s">
        <v>82</v>
      </c>
      <c r="AE36" s="6">
        <v>19</v>
      </c>
      <c r="AF36" s="6" t="s">
        <v>60</v>
      </c>
      <c r="AG36" s="6" t="s">
        <v>61</v>
      </c>
      <c r="AH36" s="6">
        <v>3.25</v>
      </c>
      <c r="AI36" s="6">
        <v>5</v>
      </c>
      <c r="AJ36" s="6">
        <v>0</v>
      </c>
      <c r="AK36" s="7">
        <v>43479</v>
      </c>
      <c r="AL36" s="6">
        <v>15</v>
      </c>
    </row>
    <row r="37" spans="1:38" x14ac:dyDescent="0.35">
      <c r="A37" s="6" t="s">
        <v>149</v>
      </c>
      <c r="B37" s="6">
        <v>10150</v>
      </c>
      <c r="C37" s="6">
        <v>0</v>
      </c>
      <c r="D37" s="6">
        <v>0</v>
      </c>
      <c r="E37" s="6">
        <v>1</v>
      </c>
      <c r="F37" s="6">
        <v>1</v>
      </c>
      <c r="G37" s="6">
        <v>4</v>
      </c>
      <c r="H37" s="6">
        <v>3</v>
      </c>
      <c r="I37" s="6">
        <v>0</v>
      </c>
      <c r="J37" s="6">
        <v>77692</v>
      </c>
      <c r="K37" s="6">
        <v>0</v>
      </c>
      <c r="L37" s="6">
        <v>25</v>
      </c>
      <c r="M37" s="6" t="s">
        <v>150</v>
      </c>
      <c r="N37" s="6" t="s">
        <v>40</v>
      </c>
      <c r="O37" s="6">
        <v>2184</v>
      </c>
      <c r="P37" s="7">
        <v>25475</v>
      </c>
      <c r="Q37" s="8">
        <v>55</v>
      </c>
      <c r="R37" s="8" t="s">
        <v>41</v>
      </c>
      <c r="S37" s="6" t="s">
        <v>42</v>
      </c>
      <c r="T37" s="6" t="s">
        <v>43</v>
      </c>
      <c r="U37" s="6" t="s">
        <v>44</v>
      </c>
      <c r="V37" s="6" t="s">
        <v>45</v>
      </c>
      <c r="W37" s="6" t="s">
        <v>46</v>
      </c>
      <c r="X37" s="7">
        <v>40770</v>
      </c>
      <c r="Y37" s="8">
        <f t="shared" ca="1" si="0"/>
        <v>14</v>
      </c>
      <c r="Z37" s="7"/>
      <c r="AA37" s="6" t="s">
        <v>47</v>
      </c>
      <c r="AB37" s="6" t="s">
        <v>48</v>
      </c>
      <c r="AC37" s="6" t="s">
        <v>78</v>
      </c>
      <c r="AD37" s="6" t="s">
        <v>151</v>
      </c>
      <c r="AE37" s="6">
        <v>5</v>
      </c>
      <c r="AF37" s="6" t="s">
        <v>73</v>
      </c>
      <c r="AG37" s="6" t="s">
        <v>61</v>
      </c>
      <c r="AH37" s="6">
        <v>3.84</v>
      </c>
      <c r="AI37" s="6">
        <v>3</v>
      </c>
      <c r="AJ37" s="6">
        <v>5</v>
      </c>
      <c r="AK37" s="7">
        <v>43486</v>
      </c>
      <c r="AL37" s="6">
        <v>4</v>
      </c>
    </row>
    <row r="38" spans="1:38" x14ac:dyDescent="0.35">
      <c r="A38" s="6" t="s">
        <v>152</v>
      </c>
      <c r="B38" s="6">
        <v>10001</v>
      </c>
      <c r="C38" s="6">
        <v>0</v>
      </c>
      <c r="D38" s="6">
        <v>0</v>
      </c>
      <c r="E38" s="6">
        <v>1</v>
      </c>
      <c r="F38" s="6">
        <v>1</v>
      </c>
      <c r="G38" s="6">
        <v>5</v>
      </c>
      <c r="H38" s="6">
        <v>4</v>
      </c>
      <c r="I38" s="6">
        <v>0</v>
      </c>
      <c r="J38" s="6">
        <v>72640</v>
      </c>
      <c r="K38" s="6">
        <v>0</v>
      </c>
      <c r="L38" s="6">
        <v>18</v>
      </c>
      <c r="M38" s="6" t="s">
        <v>133</v>
      </c>
      <c r="N38" s="6" t="s">
        <v>40</v>
      </c>
      <c r="O38" s="6">
        <v>2169</v>
      </c>
      <c r="P38" s="7">
        <v>29692</v>
      </c>
      <c r="Q38" s="8">
        <v>44</v>
      </c>
      <c r="R38" s="8" t="s">
        <v>41</v>
      </c>
      <c r="S38" s="6" t="s">
        <v>42</v>
      </c>
      <c r="T38" s="6" t="s">
        <v>43</v>
      </c>
      <c r="U38" s="6" t="s">
        <v>44</v>
      </c>
      <c r="V38" s="6" t="s">
        <v>45</v>
      </c>
      <c r="W38" s="6" t="s">
        <v>46</v>
      </c>
      <c r="X38" s="7">
        <v>42397</v>
      </c>
      <c r="Y38" s="8">
        <f t="shared" ca="1" si="0"/>
        <v>10</v>
      </c>
      <c r="Z38" s="7"/>
      <c r="AA38" s="6" t="s">
        <v>47</v>
      </c>
      <c r="AB38" s="6" t="s">
        <v>48</v>
      </c>
      <c r="AC38" s="6" t="s">
        <v>49</v>
      </c>
      <c r="AD38" s="6" t="s">
        <v>135</v>
      </c>
      <c r="AE38" s="6">
        <v>2</v>
      </c>
      <c r="AF38" s="6" t="s">
        <v>60</v>
      </c>
      <c r="AG38" s="6" t="s">
        <v>52</v>
      </c>
      <c r="AH38" s="6">
        <v>5</v>
      </c>
      <c r="AI38" s="6">
        <v>3</v>
      </c>
      <c r="AJ38" s="6">
        <v>0</v>
      </c>
      <c r="AK38" s="7">
        <v>43518</v>
      </c>
      <c r="AL38" s="6">
        <v>14</v>
      </c>
    </row>
    <row r="39" spans="1:38" x14ac:dyDescent="0.35">
      <c r="A39" s="6" t="s">
        <v>153</v>
      </c>
      <c r="B39" s="6">
        <v>10085</v>
      </c>
      <c r="C39" s="6">
        <v>0</v>
      </c>
      <c r="D39" s="6">
        <v>0</v>
      </c>
      <c r="E39" s="6">
        <v>0</v>
      </c>
      <c r="F39" s="6">
        <v>1</v>
      </c>
      <c r="G39" s="6">
        <v>4</v>
      </c>
      <c r="H39" s="6">
        <v>3</v>
      </c>
      <c r="I39" s="6">
        <v>0</v>
      </c>
      <c r="J39" s="6">
        <v>93396</v>
      </c>
      <c r="K39" s="6">
        <v>0</v>
      </c>
      <c r="L39" s="6">
        <v>24</v>
      </c>
      <c r="M39" s="6" t="s">
        <v>77</v>
      </c>
      <c r="N39" s="6" t="s">
        <v>40</v>
      </c>
      <c r="O39" s="6">
        <v>2132</v>
      </c>
      <c r="P39" s="7">
        <v>31557</v>
      </c>
      <c r="Q39" s="8">
        <v>39</v>
      </c>
      <c r="R39" s="8" t="s">
        <v>41</v>
      </c>
      <c r="S39" s="6" t="s">
        <v>64</v>
      </c>
      <c r="T39" s="6" t="s">
        <v>43</v>
      </c>
      <c r="U39" s="6" t="s">
        <v>44</v>
      </c>
      <c r="V39" s="6" t="s">
        <v>45</v>
      </c>
      <c r="W39" s="6" t="s">
        <v>46</v>
      </c>
      <c r="X39" s="7">
        <v>41589</v>
      </c>
      <c r="Y39" s="8">
        <f t="shared" ca="1" si="0"/>
        <v>12</v>
      </c>
      <c r="Z39" s="7"/>
      <c r="AA39" s="6" t="s">
        <v>47</v>
      </c>
      <c r="AB39" s="6" t="s">
        <v>48</v>
      </c>
      <c r="AC39" s="6" t="s">
        <v>78</v>
      </c>
      <c r="AD39" s="6" t="s">
        <v>79</v>
      </c>
      <c r="AE39" s="6">
        <v>10</v>
      </c>
      <c r="AF39" s="6" t="s">
        <v>60</v>
      </c>
      <c r="AG39" s="6" t="s">
        <v>61</v>
      </c>
      <c r="AH39" s="6">
        <v>4.96</v>
      </c>
      <c r="AI39" s="6">
        <v>4</v>
      </c>
      <c r="AJ39" s="6">
        <v>6</v>
      </c>
      <c r="AK39" s="7">
        <v>43495</v>
      </c>
      <c r="AL39" s="6">
        <v>3</v>
      </c>
    </row>
    <row r="40" spans="1:38" x14ac:dyDescent="0.35">
      <c r="A40" s="6" t="s">
        <v>154</v>
      </c>
      <c r="B40" s="6">
        <v>10115</v>
      </c>
      <c r="C40" s="6">
        <v>0</v>
      </c>
      <c r="D40" s="6">
        <v>0</v>
      </c>
      <c r="E40" s="6">
        <v>1</v>
      </c>
      <c r="F40" s="6">
        <v>1</v>
      </c>
      <c r="G40" s="6">
        <v>5</v>
      </c>
      <c r="H40" s="6">
        <v>3</v>
      </c>
      <c r="I40" s="6">
        <v>0</v>
      </c>
      <c r="J40" s="6">
        <v>52846</v>
      </c>
      <c r="K40" s="6">
        <v>0</v>
      </c>
      <c r="L40" s="6">
        <v>19</v>
      </c>
      <c r="M40" s="6" t="s">
        <v>39</v>
      </c>
      <c r="N40" s="6" t="s">
        <v>40</v>
      </c>
      <c r="O40" s="6">
        <v>1701</v>
      </c>
      <c r="P40" s="7">
        <v>32689</v>
      </c>
      <c r="Q40" s="8">
        <v>36</v>
      </c>
      <c r="R40" s="8" t="s">
        <v>41</v>
      </c>
      <c r="S40" s="6" t="s">
        <v>42</v>
      </c>
      <c r="T40" s="6" t="s">
        <v>43</v>
      </c>
      <c r="U40" s="6" t="s">
        <v>44</v>
      </c>
      <c r="V40" s="6" t="s">
        <v>45</v>
      </c>
      <c r="W40" s="6" t="s">
        <v>85</v>
      </c>
      <c r="X40" s="7">
        <v>41729</v>
      </c>
      <c r="Y40" s="8">
        <f t="shared" ca="1" si="0"/>
        <v>12</v>
      </c>
      <c r="Z40" s="7"/>
      <c r="AA40" s="6" t="s">
        <v>47</v>
      </c>
      <c r="AB40" s="6" t="s">
        <v>48</v>
      </c>
      <c r="AC40" s="6" t="s">
        <v>49</v>
      </c>
      <c r="AD40" s="6" t="s">
        <v>103</v>
      </c>
      <c r="AE40" s="6">
        <v>18</v>
      </c>
      <c r="AF40" s="6" t="s">
        <v>51</v>
      </c>
      <c r="AG40" s="6" t="s">
        <v>61</v>
      </c>
      <c r="AH40" s="6">
        <v>4.43</v>
      </c>
      <c r="AI40" s="6">
        <v>3</v>
      </c>
      <c r="AJ40" s="6">
        <v>0</v>
      </c>
      <c r="AK40" s="7">
        <v>43467</v>
      </c>
      <c r="AL40" s="6">
        <v>14</v>
      </c>
    </row>
    <row r="41" spans="1:38" x14ac:dyDescent="0.35">
      <c r="A41" s="6" t="s">
        <v>155</v>
      </c>
      <c r="B41" s="6">
        <v>10082</v>
      </c>
      <c r="C41" s="6">
        <v>0</v>
      </c>
      <c r="D41" s="6">
        <v>0</v>
      </c>
      <c r="E41" s="6">
        <v>0</v>
      </c>
      <c r="F41" s="6">
        <v>2</v>
      </c>
      <c r="G41" s="6">
        <v>3</v>
      </c>
      <c r="H41" s="6">
        <v>3</v>
      </c>
      <c r="I41" s="6">
        <v>0</v>
      </c>
      <c r="J41" s="6">
        <v>100031</v>
      </c>
      <c r="K41" s="6">
        <v>0</v>
      </c>
      <c r="L41" s="6">
        <v>27</v>
      </c>
      <c r="M41" s="6" t="s">
        <v>54</v>
      </c>
      <c r="N41" s="6" t="s">
        <v>40</v>
      </c>
      <c r="O41" s="6">
        <v>1886</v>
      </c>
      <c r="P41" s="7">
        <v>28207</v>
      </c>
      <c r="Q41" s="8">
        <v>48</v>
      </c>
      <c r="R41" s="8" t="s">
        <v>41</v>
      </c>
      <c r="S41" s="6" t="s">
        <v>64</v>
      </c>
      <c r="T41" s="6" t="s">
        <v>43</v>
      </c>
      <c r="U41" s="6" t="s">
        <v>44</v>
      </c>
      <c r="V41" s="6" t="s">
        <v>45</v>
      </c>
      <c r="W41" s="6" t="s">
        <v>85</v>
      </c>
      <c r="X41" s="7">
        <v>42551</v>
      </c>
      <c r="Y41" s="8">
        <f t="shared" ca="1" si="0"/>
        <v>10</v>
      </c>
      <c r="Z41" s="7"/>
      <c r="AA41" s="6" t="s">
        <v>47</v>
      </c>
      <c r="AB41" s="6" t="s">
        <v>48</v>
      </c>
      <c r="AC41" s="6" t="s">
        <v>58</v>
      </c>
      <c r="AD41" s="6" t="s">
        <v>59</v>
      </c>
      <c r="AE41" s="6">
        <v>4</v>
      </c>
      <c r="AF41" s="6" t="s">
        <v>51</v>
      </c>
      <c r="AG41" s="6" t="s">
        <v>61</v>
      </c>
      <c r="AH41" s="6">
        <v>5</v>
      </c>
      <c r="AI41" s="6">
        <v>5</v>
      </c>
      <c r="AJ41" s="6">
        <v>6</v>
      </c>
      <c r="AK41" s="7">
        <v>43514</v>
      </c>
      <c r="AL41" s="6">
        <v>7</v>
      </c>
    </row>
    <row r="42" spans="1:38" x14ac:dyDescent="0.35">
      <c r="A42" s="6" t="s">
        <v>156</v>
      </c>
      <c r="B42" s="6">
        <v>10040</v>
      </c>
      <c r="C42" s="6">
        <v>0</v>
      </c>
      <c r="D42" s="6">
        <v>0</v>
      </c>
      <c r="E42" s="6">
        <v>0</v>
      </c>
      <c r="F42" s="6">
        <v>1</v>
      </c>
      <c r="G42" s="6">
        <v>6</v>
      </c>
      <c r="H42" s="6">
        <v>3</v>
      </c>
      <c r="I42" s="6">
        <v>0</v>
      </c>
      <c r="J42" s="6">
        <v>71860</v>
      </c>
      <c r="K42" s="6">
        <v>0</v>
      </c>
      <c r="L42" s="6">
        <v>3</v>
      </c>
      <c r="M42" s="6" t="s">
        <v>143</v>
      </c>
      <c r="N42" s="6" t="s">
        <v>157</v>
      </c>
      <c r="O42" s="6">
        <v>5664</v>
      </c>
      <c r="P42" s="7">
        <v>26538</v>
      </c>
      <c r="Q42" s="8">
        <v>52</v>
      </c>
      <c r="R42" s="8" t="s">
        <v>41</v>
      </c>
      <c r="S42" s="6" t="s">
        <v>64</v>
      </c>
      <c r="T42" s="6" t="s">
        <v>43</v>
      </c>
      <c r="U42" s="6" t="s">
        <v>44</v>
      </c>
      <c r="V42" s="6" t="s">
        <v>45</v>
      </c>
      <c r="W42" s="6" t="s">
        <v>46</v>
      </c>
      <c r="X42" s="7">
        <v>41869</v>
      </c>
      <c r="Y42" s="8">
        <f t="shared" ca="1" si="0"/>
        <v>11</v>
      </c>
      <c r="Z42" s="7"/>
      <c r="AA42" s="6" t="s">
        <v>47</v>
      </c>
      <c r="AB42" s="6" t="s">
        <v>48</v>
      </c>
      <c r="AC42" s="6" t="s">
        <v>145</v>
      </c>
      <c r="AD42" s="6" t="s">
        <v>146</v>
      </c>
      <c r="AE42" s="6">
        <v>17</v>
      </c>
      <c r="AF42" s="6" t="s">
        <v>60</v>
      </c>
      <c r="AG42" s="6" t="s">
        <v>61</v>
      </c>
      <c r="AH42" s="6">
        <v>5</v>
      </c>
      <c r="AI42" s="6">
        <v>5</v>
      </c>
      <c r="AJ42" s="6">
        <v>0</v>
      </c>
      <c r="AK42" s="7">
        <v>43486</v>
      </c>
      <c r="AL42" s="6">
        <v>7</v>
      </c>
    </row>
    <row r="43" spans="1:38" x14ac:dyDescent="0.35">
      <c r="A43" s="6" t="s">
        <v>158</v>
      </c>
      <c r="B43" s="6">
        <v>10067</v>
      </c>
      <c r="C43" s="6">
        <v>0</v>
      </c>
      <c r="D43" s="6">
        <v>0</v>
      </c>
      <c r="E43" s="6">
        <v>0</v>
      </c>
      <c r="F43" s="6">
        <v>1</v>
      </c>
      <c r="G43" s="6">
        <v>5</v>
      </c>
      <c r="H43" s="6">
        <v>3</v>
      </c>
      <c r="I43" s="6">
        <v>0</v>
      </c>
      <c r="J43" s="6">
        <v>61656</v>
      </c>
      <c r="K43" s="6">
        <v>0</v>
      </c>
      <c r="L43" s="6">
        <v>19</v>
      </c>
      <c r="M43" s="6" t="s">
        <v>39</v>
      </c>
      <c r="N43" s="6" t="s">
        <v>40</v>
      </c>
      <c r="O43" s="6">
        <v>2763</v>
      </c>
      <c r="P43" s="7">
        <v>32400</v>
      </c>
      <c r="Q43" s="8">
        <v>36</v>
      </c>
      <c r="R43" s="8" t="s">
        <v>41</v>
      </c>
      <c r="S43" s="6" t="s">
        <v>64</v>
      </c>
      <c r="T43" s="6" t="s">
        <v>43</v>
      </c>
      <c r="U43" s="6" t="s">
        <v>44</v>
      </c>
      <c r="V43" s="6" t="s">
        <v>45</v>
      </c>
      <c r="W43" s="6" t="s">
        <v>46</v>
      </c>
      <c r="X43" s="7">
        <v>41911</v>
      </c>
      <c r="Y43" s="8">
        <f t="shared" ca="1" si="0"/>
        <v>11</v>
      </c>
      <c r="Z43" s="7"/>
      <c r="AA43" s="6" t="s">
        <v>47</v>
      </c>
      <c r="AB43" s="6" t="s">
        <v>48</v>
      </c>
      <c r="AC43" s="6" t="s">
        <v>49</v>
      </c>
      <c r="AD43" s="6" t="s">
        <v>50</v>
      </c>
      <c r="AE43" s="6">
        <v>22</v>
      </c>
      <c r="AF43" s="6" t="s">
        <v>73</v>
      </c>
      <c r="AG43" s="6" t="s">
        <v>61</v>
      </c>
      <c r="AH43" s="6">
        <v>5</v>
      </c>
      <c r="AI43" s="6">
        <v>4</v>
      </c>
      <c r="AJ43" s="6">
        <v>0</v>
      </c>
      <c r="AK43" s="7">
        <v>43801</v>
      </c>
      <c r="AL43" s="6">
        <v>11</v>
      </c>
    </row>
    <row r="44" spans="1:38" x14ac:dyDescent="0.35">
      <c r="A44" s="6" t="s">
        <v>159</v>
      </c>
      <c r="B44" s="6">
        <v>10108</v>
      </c>
      <c r="C44" s="6">
        <v>1</v>
      </c>
      <c r="D44" s="6">
        <v>1</v>
      </c>
      <c r="E44" s="6">
        <v>1</v>
      </c>
      <c r="F44" s="6">
        <v>1</v>
      </c>
      <c r="G44" s="6">
        <v>3</v>
      </c>
      <c r="H44" s="6">
        <v>3</v>
      </c>
      <c r="I44" s="6">
        <v>0</v>
      </c>
      <c r="J44" s="6">
        <v>110929</v>
      </c>
      <c r="K44" s="6">
        <v>0</v>
      </c>
      <c r="L44" s="6">
        <v>5</v>
      </c>
      <c r="M44" s="6" t="s">
        <v>160</v>
      </c>
      <c r="N44" s="6" t="s">
        <v>40</v>
      </c>
      <c r="O44" s="6">
        <v>2045</v>
      </c>
      <c r="P44" s="7">
        <v>24183</v>
      </c>
      <c r="Q44" s="8">
        <v>59</v>
      </c>
      <c r="R44" s="8" t="s">
        <v>41</v>
      </c>
      <c r="S44" s="6" t="s">
        <v>42</v>
      </c>
      <c r="T44" s="6" t="s">
        <v>55</v>
      </c>
      <c r="U44" s="6" t="s">
        <v>44</v>
      </c>
      <c r="V44" s="6" t="s">
        <v>45</v>
      </c>
      <c r="W44" s="6" t="s">
        <v>46</v>
      </c>
      <c r="X44" s="7">
        <v>42530</v>
      </c>
      <c r="Y44" s="8">
        <f t="shared" ca="1" si="0"/>
        <v>10</v>
      </c>
      <c r="Z44" s="7"/>
      <c r="AA44" s="6" t="s">
        <v>47</v>
      </c>
      <c r="AB44" s="6" t="s">
        <v>48</v>
      </c>
      <c r="AC44" s="6" t="s">
        <v>58</v>
      </c>
      <c r="AD44" s="6" t="s">
        <v>151</v>
      </c>
      <c r="AE44" s="6">
        <v>5</v>
      </c>
      <c r="AF44" s="6" t="s">
        <v>60</v>
      </c>
      <c r="AG44" s="6" t="s">
        <v>61</v>
      </c>
      <c r="AH44" s="6">
        <v>4.5</v>
      </c>
      <c r="AI44" s="6">
        <v>5</v>
      </c>
      <c r="AJ44" s="6">
        <v>7</v>
      </c>
      <c r="AK44" s="7">
        <v>43480</v>
      </c>
      <c r="AL44" s="6">
        <v>8</v>
      </c>
    </row>
    <row r="45" spans="1:38" x14ac:dyDescent="0.35">
      <c r="A45" s="6" t="s">
        <v>161</v>
      </c>
      <c r="B45" s="6">
        <v>10210</v>
      </c>
      <c r="C45" s="6">
        <v>0</v>
      </c>
      <c r="D45" s="6">
        <v>0</v>
      </c>
      <c r="E45" s="6">
        <v>0</v>
      </c>
      <c r="F45" s="6">
        <v>1</v>
      </c>
      <c r="G45" s="6">
        <v>5</v>
      </c>
      <c r="H45" s="6">
        <v>3</v>
      </c>
      <c r="I45" s="6">
        <v>0</v>
      </c>
      <c r="J45" s="6">
        <v>54237</v>
      </c>
      <c r="K45" s="6">
        <v>0</v>
      </c>
      <c r="L45" s="6">
        <v>19</v>
      </c>
      <c r="M45" s="6" t="s">
        <v>39</v>
      </c>
      <c r="N45" s="6" t="s">
        <v>40</v>
      </c>
      <c r="O45" s="6">
        <v>2170</v>
      </c>
      <c r="P45" s="7">
        <v>28079</v>
      </c>
      <c r="Q45" s="8">
        <v>48</v>
      </c>
      <c r="R45" s="8" t="s">
        <v>41</v>
      </c>
      <c r="S45" s="6" t="s">
        <v>64</v>
      </c>
      <c r="T45" s="6" t="s">
        <v>43</v>
      </c>
      <c r="U45" s="6" t="s">
        <v>44</v>
      </c>
      <c r="V45" s="6" t="s">
        <v>45</v>
      </c>
      <c r="W45" s="6" t="s">
        <v>46</v>
      </c>
      <c r="X45" s="7">
        <v>41978</v>
      </c>
      <c r="Y45" s="8">
        <f t="shared" ca="1" si="0"/>
        <v>11</v>
      </c>
      <c r="Z45" s="7"/>
      <c r="AA45" s="6" t="s">
        <v>47</v>
      </c>
      <c r="AB45" s="6" t="s">
        <v>48</v>
      </c>
      <c r="AC45" s="6" t="s">
        <v>49</v>
      </c>
      <c r="AD45" s="6" t="s">
        <v>68</v>
      </c>
      <c r="AE45" s="6">
        <v>16</v>
      </c>
      <c r="AF45" s="6" t="s">
        <v>60</v>
      </c>
      <c r="AG45" s="6" t="s">
        <v>61</v>
      </c>
      <c r="AH45" s="6">
        <v>3.3</v>
      </c>
      <c r="AI45" s="6">
        <v>4</v>
      </c>
      <c r="AJ45" s="6">
        <v>0</v>
      </c>
      <c r="AK45" s="7">
        <v>43515</v>
      </c>
      <c r="AL45" s="6">
        <v>11</v>
      </c>
    </row>
    <row r="46" spans="1:38" x14ac:dyDescent="0.35">
      <c r="A46" s="6" t="s">
        <v>162</v>
      </c>
      <c r="B46" s="6">
        <v>10154</v>
      </c>
      <c r="C46" s="6">
        <v>0</v>
      </c>
      <c r="D46" s="6">
        <v>0</v>
      </c>
      <c r="E46" s="6">
        <v>1</v>
      </c>
      <c r="F46" s="6">
        <v>1</v>
      </c>
      <c r="G46" s="6">
        <v>5</v>
      </c>
      <c r="H46" s="6">
        <v>3</v>
      </c>
      <c r="I46" s="6">
        <v>0</v>
      </c>
      <c r="J46" s="6">
        <v>60380</v>
      </c>
      <c r="K46" s="6">
        <v>0</v>
      </c>
      <c r="L46" s="6">
        <v>19</v>
      </c>
      <c r="M46" s="6" t="s">
        <v>39</v>
      </c>
      <c r="N46" s="6" t="s">
        <v>40</v>
      </c>
      <c r="O46" s="6">
        <v>1845</v>
      </c>
      <c r="P46" s="7">
        <v>33266</v>
      </c>
      <c r="Q46" s="8">
        <v>34</v>
      </c>
      <c r="R46" s="8" t="s">
        <v>41</v>
      </c>
      <c r="S46" s="6" t="s">
        <v>42</v>
      </c>
      <c r="T46" s="6" t="s">
        <v>43</v>
      </c>
      <c r="U46" s="6" t="s">
        <v>44</v>
      </c>
      <c r="V46" s="6" t="s">
        <v>45</v>
      </c>
      <c r="W46" s="6" t="s">
        <v>46</v>
      </c>
      <c r="X46" s="7">
        <v>41493</v>
      </c>
      <c r="Y46" s="8">
        <f t="shared" ca="1" si="0"/>
        <v>12</v>
      </c>
      <c r="Z46" s="7"/>
      <c r="AA46" s="6" t="s">
        <v>47</v>
      </c>
      <c r="AB46" s="6" t="s">
        <v>48</v>
      </c>
      <c r="AC46" s="6" t="s">
        <v>49</v>
      </c>
      <c r="AD46" s="6" t="s">
        <v>72</v>
      </c>
      <c r="AE46" s="6"/>
      <c r="AF46" s="6" t="s">
        <v>51</v>
      </c>
      <c r="AG46" s="6" t="s">
        <v>61</v>
      </c>
      <c r="AH46" s="6">
        <v>3.8</v>
      </c>
      <c r="AI46" s="6">
        <v>5</v>
      </c>
      <c r="AJ46" s="6">
        <v>0</v>
      </c>
      <c r="AK46" s="7">
        <v>43479</v>
      </c>
      <c r="AL46" s="6">
        <v>4</v>
      </c>
    </row>
    <row r="47" spans="1:38" x14ac:dyDescent="0.35">
      <c r="A47" s="6" t="s">
        <v>163</v>
      </c>
      <c r="B47" s="6">
        <v>10200</v>
      </c>
      <c r="C47" s="6">
        <v>0</v>
      </c>
      <c r="D47" s="6">
        <v>0</v>
      </c>
      <c r="E47" s="6">
        <v>1</v>
      </c>
      <c r="F47" s="6">
        <v>1</v>
      </c>
      <c r="G47" s="6">
        <v>6</v>
      </c>
      <c r="H47" s="6">
        <v>3</v>
      </c>
      <c r="I47" s="6">
        <v>0</v>
      </c>
      <c r="J47" s="6">
        <v>66808</v>
      </c>
      <c r="K47" s="6">
        <v>0</v>
      </c>
      <c r="L47" s="6">
        <v>3</v>
      </c>
      <c r="M47" s="6" t="s">
        <v>143</v>
      </c>
      <c r="N47" s="6" t="s">
        <v>100</v>
      </c>
      <c r="O47" s="6">
        <v>78207</v>
      </c>
      <c r="P47" s="7">
        <v>23480</v>
      </c>
      <c r="Q47" s="8">
        <v>61</v>
      </c>
      <c r="R47" s="8" t="s">
        <v>96</v>
      </c>
      <c r="S47" s="6" t="s">
        <v>42</v>
      </c>
      <c r="T47" s="6" t="s">
        <v>43</v>
      </c>
      <c r="U47" s="6" t="s">
        <v>111</v>
      </c>
      <c r="V47" s="6" t="s">
        <v>45</v>
      </c>
      <c r="W47" s="6" t="s">
        <v>85</v>
      </c>
      <c r="X47" s="7">
        <v>41043</v>
      </c>
      <c r="Y47" s="8">
        <f t="shared" ca="1" si="0"/>
        <v>14</v>
      </c>
      <c r="Z47" s="7"/>
      <c r="AA47" s="6" t="s">
        <v>47</v>
      </c>
      <c r="AB47" s="6" t="s">
        <v>48</v>
      </c>
      <c r="AC47" s="6" t="s">
        <v>145</v>
      </c>
      <c r="AD47" s="6" t="s">
        <v>164</v>
      </c>
      <c r="AE47" s="6">
        <v>21</v>
      </c>
      <c r="AF47" s="6" t="s">
        <v>83</v>
      </c>
      <c r="AG47" s="6" t="s">
        <v>61</v>
      </c>
      <c r="AH47" s="6">
        <v>3</v>
      </c>
      <c r="AI47" s="6">
        <v>5</v>
      </c>
      <c r="AJ47" s="6">
        <v>0</v>
      </c>
      <c r="AK47" s="7">
        <v>43484</v>
      </c>
      <c r="AL47" s="6">
        <v>17</v>
      </c>
    </row>
    <row r="48" spans="1:38" x14ac:dyDescent="0.35">
      <c r="A48" s="6" t="s">
        <v>165</v>
      </c>
      <c r="B48" s="6">
        <v>10240</v>
      </c>
      <c r="C48" s="6">
        <v>0</v>
      </c>
      <c r="D48" s="6">
        <v>0</v>
      </c>
      <c r="E48" s="6">
        <v>0</v>
      </c>
      <c r="F48" s="6">
        <v>5</v>
      </c>
      <c r="G48" s="6">
        <v>5</v>
      </c>
      <c r="H48" s="6">
        <v>3</v>
      </c>
      <c r="I48" s="6">
        <v>0</v>
      </c>
      <c r="J48" s="6">
        <v>64786</v>
      </c>
      <c r="K48" s="6">
        <v>1</v>
      </c>
      <c r="L48" s="6">
        <v>19</v>
      </c>
      <c r="M48" s="6" t="s">
        <v>39</v>
      </c>
      <c r="N48" s="6" t="s">
        <v>40</v>
      </c>
      <c r="O48" s="6">
        <v>1775</v>
      </c>
      <c r="P48" s="7">
        <v>21781</v>
      </c>
      <c r="Q48" s="8">
        <v>65</v>
      </c>
      <c r="R48" s="8" t="s">
        <v>96</v>
      </c>
      <c r="S48" s="6" t="s">
        <v>64</v>
      </c>
      <c r="T48" s="6" t="s">
        <v>43</v>
      </c>
      <c r="U48" s="6" t="s">
        <v>44</v>
      </c>
      <c r="V48" s="6" t="s">
        <v>45</v>
      </c>
      <c r="W48" s="6" t="s">
        <v>46</v>
      </c>
      <c r="X48" s="7">
        <v>40721</v>
      </c>
      <c r="Y48" s="8">
        <f t="shared" ca="1" si="0"/>
        <v>15</v>
      </c>
      <c r="Z48" s="7">
        <v>42323</v>
      </c>
      <c r="AA48" s="6" t="s">
        <v>166</v>
      </c>
      <c r="AB48" s="6" t="s">
        <v>57</v>
      </c>
      <c r="AC48" s="6" t="s">
        <v>49</v>
      </c>
      <c r="AD48" s="6" t="s">
        <v>75</v>
      </c>
      <c r="AE48" s="6">
        <v>11</v>
      </c>
      <c r="AF48" s="6" t="s">
        <v>60</v>
      </c>
      <c r="AG48" s="6" t="s">
        <v>61</v>
      </c>
      <c r="AH48" s="6">
        <v>4.3</v>
      </c>
      <c r="AI48" s="6">
        <v>4</v>
      </c>
      <c r="AJ48" s="6">
        <v>0</v>
      </c>
      <c r="AK48" s="7">
        <v>42280</v>
      </c>
      <c r="AL48" s="6">
        <v>3</v>
      </c>
    </row>
    <row r="49" spans="1:38" x14ac:dyDescent="0.35">
      <c r="A49" s="6" t="s">
        <v>167</v>
      </c>
      <c r="B49" s="6">
        <v>10168</v>
      </c>
      <c r="C49" s="6">
        <v>0</v>
      </c>
      <c r="D49" s="6">
        <v>0</v>
      </c>
      <c r="E49" s="6">
        <v>0</v>
      </c>
      <c r="F49" s="6">
        <v>1</v>
      </c>
      <c r="G49" s="6">
        <v>5</v>
      </c>
      <c r="H49" s="6">
        <v>3</v>
      </c>
      <c r="I49" s="6">
        <v>0</v>
      </c>
      <c r="J49" s="6">
        <v>64816</v>
      </c>
      <c r="K49" s="6">
        <v>0</v>
      </c>
      <c r="L49" s="6">
        <v>19</v>
      </c>
      <c r="M49" s="6" t="s">
        <v>39</v>
      </c>
      <c r="N49" s="6" t="s">
        <v>40</v>
      </c>
      <c r="O49" s="6">
        <v>2044</v>
      </c>
      <c r="P49" s="7">
        <v>31519</v>
      </c>
      <c r="Q49" s="8">
        <v>39</v>
      </c>
      <c r="R49" s="8" t="s">
        <v>41</v>
      </c>
      <c r="S49" s="6" t="s">
        <v>64</v>
      </c>
      <c r="T49" s="6" t="s">
        <v>43</v>
      </c>
      <c r="U49" s="6" t="s">
        <v>168</v>
      </c>
      <c r="V49" s="6" t="s">
        <v>45</v>
      </c>
      <c r="W49" s="6" t="s">
        <v>85</v>
      </c>
      <c r="X49" s="7">
        <v>40612</v>
      </c>
      <c r="Y49" s="8">
        <f t="shared" ca="1" si="0"/>
        <v>15</v>
      </c>
      <c r="Z49" s="7"/>
      <c r="AA49" s="6" t="s">
        <v>47</v>
      </c>
      <c r="AB49" s="6" t="s">
        <v>48</v>
      </c>
      <c r="AC49" s="6" t="s">
        <v>49</v>
      </c>
      <c r="AD49" s="6" t="s">
        <v>82</v>
      </c>
      <c r="AE49" s="6">
        <v>19</v>
      </c>
      <c r="AF49" s="6" t="s">
        <v>60</v>
      </c>
      <c r="AG49" s="6" t="s">
        <v>61</v>
      </c>
      <c r="AH49" s="6">
        <v>3.58</v>
      </c>
      <c r="AI49" s="6">
        <v>5</v>
      </c>
      <c r="AJ49" s="6">
        <v>0</v>
      </c>
      <c r="AK49" s="7">
        <v>43495</v>
      </c>
      <c r="AL49" s="6">
        <v>3</v>
      </c>
    </row>
    <row r="50" spans="1:38" x14ac:dyDescent="0.35">
      <c r="A50" s="6" t="s">
        <v>169</v>
      </c>
      <c r="B50" s="6">
        <v>10220</v>
      </c>
      <c r="C50" s="6">
        <v>0</v>
      </c>
      <c r="D50" s="6">
        <v>0</v>
      </c>
      <c r="E50" s="6">
        <v>1</v>
      </c>
      <c r="F50" s="6">
        <v>1</v>
      </c>
      <c r="G50" s="6">
        <v>3</v>
      </c>
      <c r="H50" s="6">
        <v>3</v>
      </c>
      <c r="I50" s="6">
        <v>0</v>
      </c>
      <c r="J50" s="6">
        <v>68678</v>
      </c>
      <c r="K50" s="6">
        <v>0</v>
      </c>
      <c r="L50" s="6">
        <v>14</v>
      </c>
      <c r="M50" s="6" t="s">
        <v>89</v>
      </c>
      <c r="N50" s="6" t="s">
        <v>40</v>
      </c>
      <c r="O50" s="6">
        <v>2170</v>
      </c>
      <c r="P50" s="7">
        <v>19988</v>
      </c>
      <c r="Q50" s="8">
        <v>70</v>
      </c>
      <c r="R50" s="8" t="s">
        <v>96</v>
      </c>
      <c r="S50" s="6" t="s">
        <v>42</v>
      </c>
      <c r="T50" s="6" t="s">
        <v>43</v>
      </c>
      <c r="U50" s="6" t="s">
        <v>44</v>
      </c>
      <c r="V50" s="6" t="s">
        <v>45</v>
      </c>
      <c r="W50" s="6" t="s">
        <v>46</v>
      </c>
      <c r="X50" s="7">
        <v>41038</v>
      </c>
      <c r="Y50" s="8">
        <f t="shared" ca="1" si="0"/>
        <v>14</v>
      </c>
      <c r="Z50" s="7"/>
      <c r="AA50" s="6" t="s">
        <v>47</v>
      </c>
      <c r="AB50" s="6" t="s">
        <v>48</v>
      </c>
      <c r="AC50" s="6" t="s">
        <v>58</v>
      </c>
      <c r="AD50" s="6" t="s">
        <v>170</v>
      </c>
      <c r="AE50" s="6">
        <v>6</v>
      </c>
      <c r="AF50" s="6" t="s">
        <v>60</v>
      </c>
      <c r="AG50" s="6" t="s">
        <v>61</v>
      </c>
      <c r="AH50" s="6">
        <v>4.7</v>
      </c>
      <c r="AI50" s="6">
        <v>3</v>
      </c>
      <c r="AJ50" s="6">
        <v>6</v>
      </c>
      <c r="AK50" s="7">
        <v>43523</v>
      </c>
      <c r="AL50" s="6">
        <v>2</v>
      </c>
    </row>
    <row r="51" spans="1:38" x14ac:dyDescent="0.35">
      <c r="A51" s="6" t="s">
        <v>171</v>
      </c>
      <c r="B51" s="6">
        <v>10275</v>
      </c>
      <c r="C51" s="6">
        <v>1</v>
      </c>
      <c r="D51" s="6">
        <v>1</v>
      </c>
      <c r="E51" s="6">
        <v>0</v>
      </c>
      <c r="F51" s="6">
        <v>5</v>
      </c>
      <c r="G51" s="6">
        <v>5</v>
      </c>
      <c r="H51" s="6">
        <v>3</v>
      </c>
      <c r="I51" s="6">
        <v>0</v>
      </c>
      <c r="J51" s="6">
        <v>64066</v>
      </c>
      <c r="K51" s="6">
        <v>1</v>
      </c>
      <c r="L51" s="6">
        <v>20</v>
      </c>
      <c r="M51" s="6" t="s">
        <v>63</v>
      </c>
      <c r="N51" s="6" t="s">
        <v>40</v>
      </c>
      <c r="O51" s="6">
        <v>1752</v>
      </c>
      <c r="P51" s="7">
        <v>25258</v>
      </c>
      <c r="Q51" s="8">
        <v>56</v>
      </c>
      <c r="R51" s="8" t="s">
        <v>41</v>
      </c>
      <c r="S51" s="6" t="s">
        <v>64</v>
      </c>
      <c r="T51" s="6" t="s">
        <v>55</v>
      </c>
      <c r="U51" s="6" t="s">
        <v>44</v>
      </c>
      <c r="V51" s="6" t="s">
        <v>45</v>
      </c>
      <c r="W51" s="6" t="s">
        <v>46</v>
      </c>
      <c r="X51" s="7">
        <v>40679</v>
      </c>
      <c r="Y51" s="8">
        <f t="shared" ca="1" si="0"/>
        <v>15</v>
      </c>
      <c r="Z51" s="7">
        <v>41456</v>
      </c>
      <c r="AA51" s="6" t="s">
        <v>97</v>
      </c>
      <c r="AB51" s="6" t="s">
        <v>57</v>
      </c>
      <c r="AC51" s="6" t="s">
        <v>49</v>
      </c>
      <c r="AD51" s="6" t="s">
        <v>86</v>
      </c>
      <c r="AE51" s="6">
        <v>12</v>
      </c>
      <c r="AF51" s="6" t="s">
        <v>73</v>
      </c>
      <c r="AG51" s="6" t="s">
        <v>61</v>
      </c>
      <c r="AH51" s="6">
        <v>4.2</v>
      </c>
      <c r="AI51" s="6">
        <v>5</v>
      </c>
      <c r="AJ51" s="6">
        <v>0</v>
      </c>
      <c r="AK51" s="7">
        <v>40973</v>
      </c>
      <c r="AL51" s="6">
        <v>9</v>
      </c>
    </row>
    <row r="52" spans="1:38" x14ac:dyDescent="0.35">
      <c r="A52" s="6" t="s">
        <v>172</v>
      </c>
      <c r="B52" s="6">
        <v>10269</v>
      </c>
      <c r="C52" s="6">
        <v>1</v>
      </c>
      <c r="D52" s="6">
        <v>1</v>
      </c>
      <c r="E52" s="6">
        <v>1</v>
      </c>
      <c r="F52" s="6">
        <v>5</v>
      </c>
      <c r="G52" s="6">
        <v>5</v>
      </c>
      <c r="H52" s="6">
        <v>3</v>
      </c>
      <c r="I52" s="6">
        <v>0</v>
      </c>
      <c r="J52" s="6">
        <v>59369</v>
      </c>
      <c r="K52" s="6">
        <v>1</v>
      </c>
      <c r="L52" s="6">
        <v>20</v>
      </c>
      <c r="M52" s="6" t="s">
        <v>63</v>
      </c>
      <c r="N52" s="6" t="s">
        <v>40</v>
      </c>
      <c r="O52" s="6">
        <v>2169</v>
      </c>
      <c r="P52" s="7">
        <v>31525</v>
      </c>
      <c r="Q52" s="8">
        <v>39</v>
      </c>
      <c r="R52" s="8" t="s">
        <v>41</v>
      </c>
      <c r="S52" s="6" t="s">
        <v>42</v>
      </c>
      <c r="T52" s="6" t="s">
        <v>55</v>
      </c>
      <c r="U52" s="6" t="s">
        <v>44</v>
      </c>
      <c r="V52" s="6" t="s">
        <v>45</v>
      </c>
      <c r="W52" s="6" t="s">
        <v>46</v>
      </c>
      <c r="X52" s="7">
        <v>40420</v>
      </c>
      <c r="Y52" s="8">
        <f t="shared" ca="1" si="0"/>
        <v>15</v>
      </c>
      <c r="Z52" s="7">
        <v>40812</v>
      </c>
      <c r="AA52" s="6" t="s">
        <v>56</v>
      </c>
      <c r="AB52" s="6" t="s">
        <v>57</v>
      </c>
      <c r="AC52" s="6" t="s">
        <v>49</v>
      </c>
      <c r="AD52" s="6" t="s">
        <v>94</v>
      </c>
      <c r="AE52" s="6">
        <v>14</v>
      </c>
      <c r="AF52" s="6" t="s">
        <v>60</v>
      </c>
      <c r="AG52" s="6" t="s">
        <v>61</v>
      </c>
      <c r="AH52" s="6">
        <v>4.2</v>
      </c>
      <c r="AI52" s="6">
        <v>4</v>
      </c>
      <c r="AJ52" s="6">
        <v>0</v>
      </c>
      <c r="AK52" s="7">
        <v>40638</v>
      </c>
      <c r="AL52" s="6">
        <v>6</v>
      </c>
    </row>
    <row r="53" spans="1:38" x14ac:dyDescent="0.35">
      <c r="A53" s="6" t="s">
        <v>173</v>
      </c>
      <c r="B53" s="6">
        <v>10029</v>
      </c>
      <c r="C53" s="6">
        <v>1</v>
      </c>
      <c r="D53" s="6">
        <v>1</v>
      </c>
      <c r="E53" s="6">
        <v>1</v>
      </c>
      <c r="F53" s="6">
        <v>2</v>
      </c>
      <c r="G53" s="6">
        <v>5</v>
      </c>
      <c r="H53" s="6">
        <v>4</v>
      </c>
      <c r="I53" s="6">
        <v>0</v>
      </c>
      <c r="J53" s="6">
        <v>50373</v>
      </c>
      <c r="K53" s="6">
        <v>0</v>
      </c>
      <c r="L53" s="6">
        <v>19</v>
      </c>
      <c r="M53" s="6" t="s">
        <v>39</v>
      </c>
      <c r="N53" s="6" t="s">
        <v>40</v>
      </c>
      <c r="O53" s="6">
        <v>2134</v>
      </c>
      <c r="P53" s="7">
        <v>29061</v>
      </c>
      <c r="Q53" s="8">
        <v>45</v>
      </c>
      <c r="R53" s="8" t="s">
        <v>41</v>
      </c>
      <c r="S53" s="6" t="s">
        <v>42</v>
      </c>
      <c r="T53" s="6" t="s">
        <v>55</v>
      </c>
      <c r="U53" s="6" t="s">
        <v>44</v>
      </c>
      <c r="V53" s="6" t="s">
        <v>45</v>
      </c>
      <c r="W53" s="6" t="s">
        <v>46</v>
      </c>
      <c r="X53" s="7">
        <v>42528</v>
      </c>
      <c r="Y53" s="8">
        <f t="shared" ca="1" si="0"/>
        <v>10</v>
      </c>
      <c r="Z53" s="7"/>
      <c r="AA53" s="6" t="s">
        <v>47</v>
      </c>
      <c r="AB53" s="6" t="s">
        <v>48</v>
      </c>
      <c r="AC53" s="6" t="s">
        <v>49</v>
      </c>
      <c r="AD53" s="6" t="s">
        <v>86</v>
      </c>
      <c r="AE53" s="6">
        <v>12</v>
      </c>
      <c r="AF53" s="6" t="s">
        <v>83</v>
      </c>
      <c r="AG53" s="6" t="s">
        <v>52</v>
      </c>
      <c r="AH53" s="6">
        <v>4.0999999999999996</v>
      </c>
      <c r="AI53" s="6">
        <v>4</v>
      </c>
      <c r="AJ53" s="6">
        <v>0</v>
      </c>
      <c r="AK53" s="7">
        <v>43524</v>
      </c>
      <c r="AL53" s="6">
        <v>5</v>
      </c>
    </row>
    <row r="54" spans="1:38" x14ac:dyDescent="0.35">
      <c r="A54" s="6" t="s">
        <v>174</v>
      </c>
      <c r="B54" s="6">
        <v>10261</v>
      </c>
      <c r="C54" s="6">
        <v>0</v>
      </c>
      <c r="D54" s="6">
        <v>0</v>
      </c>
      <c r="E54" s="6">
        <v>1</v>
      </c>
      <c r="F54" s="6">
        <v>1</v>
      </c>
      <c r="G54" s="6">
        <v>5</v>
      </c>
      <c r="H54" s="6">
        <v>3</v>
      </c>
      <c r="I54" s="6">
        <v>0</v>
      </c>
      <c r="J54" s="6">
        <v>63108</v>
      </c>
      <c r="K54" s="6">
        <v>0</v>
      </c>
      <c r="L54" s="6">
        <v>19</v>
      </c>
      <c r="M54" s="6" t="s">
        <v>39</v>
      </c>
      <c r="N54" s="6" t="s">
        <v>40</v>
      </c>
      <c r="O54" s="6">
        <v>2452</v>
      </c>
      <c r="P54" s="7">
        <v>30798</v>
      </c>
      <c r="Q54" s="8">
        <v>41</v>
      </c>
      <c r="R54" s="8" t="s">
        <v>41</v>
      </c>
      <c r="S54" s="6" t="s">
        <v>42</v>
      </c>
      <c r="T54" s="6" t="s">
        <v>43</v>
      </c>
      <c r="U54" s="6" t="s">
        <v>44</v>
      </c>
      <c r="V54" s="6" t="s">
        <v>45</v>
      </c>
      <c r="W54" s="6" t="s">
        <v>46</v>
      </c>
      <c r="X54" s="7">
        <v>41493</v>
      </c>
      <c r="Y54" s="8">
        <f t="shared" ca="1" si="0"/>
        <v>12</v>
      </c>
      <c r="Z54" s="7"/>
      <c r="AA54" s="6" t="s">
        <v>47</v>
      </c>
      <c r="AB54" s="6" t="s">
        <v>48</v>
      </c>
      <c r="AC54" s="6" t="s">
        <v>49</v>
      </c>
      <c r="AD54" s="6" t="s">
        <v>94</v>
      </c>
      <c r="AE54" s="6">
        <v>14</v>
      </c>
      <c r="AF54" s="6" t="s">
        <v>83</v>
      </c>
      <c r="AG54" s="6" t="s">
        <v>61</v>
      </c>
      <c r="AH54" s="6">
        <v>4.4000000000000004</v>
      </c>
      <c r="AI54" s="6">
        <v>5</v>
      </c>
      <c r="AJ54" s="6">
        <v>0</v>
      </c>
      <c r="AK54" s="7">
        <v>43479</v>
      </c>
      <c r="AL54" s="6">
        <v>3</v>
      </c>
    </row>
    <row r="55" spans="1:38" x14ac:dyDescent="0.35">
      <c r="A55" s="6" t="s">
        <v>175</v>
      </c>
      <c r="B55" s="6">
        <v>10292</v>
      </c>
      <c r="C55" s="6">
        <v>0</v>
      </c>
      <c r="D55" s="6">
        <v>0</v>
      </c>
      <c r="E55" s="6">
        <v>1</v>
      </c>
      <c r="F55" s="6">
        <v>4</v>
      </c>
      <c r="G55" s="6">
        <v>5</v>
      </c>
      <c r="H55" s="6">
        <v>2</v>
      </c>
      <c r="I55" s="6">
        <v>0</v>
      </c>
      <c r="J55" s="6">
        <v>59144</v>
      </c>
      <c r="K55" s="6">
        <v>1</v>
      </c>
      <c r="L55" s="6">
        <v>19</v>
      </c>
      <c r="M55" s="6" t="s">
        <v>39</v>
      </c>
      <c r="N55" s="6" t="s">
        <v>40</v>
      </c>
      <c r="O55" s="6">
        <v>1880</v>
      </c>
      <c r="P55" s="7">
        <v>31942</v>
      </c>
      <c r="Q55" s="8">
        <v>38</v>
      </c>
      <c r="R55" s="8" t="s">
        <v>41</v>
      </c>
      <c r="S55" s="6" t="s">
        <v>42</v>
      </c>
      <c r="T55" s="6" t="s">
        <v>43</v>
      </c>
      <c r="U55" s="6" t="s">
        <v>44</v>
      </c>
      <c r="V55" s="6" t="s">
        <v>45</v>
      </c>
      <c r="W55" s="6" t="s">
        <v>85</v>
      </c>
      <c r="X55" s="7">
        <v>40854</v>
      </c>
      <c r="Y55" s="8">
        <f t="shared" ca="1" si="0"/>
        <v>14</v>
      </c>
      <c r="Z55" s="7">
        <v>42636</v>
      </c>
      <c r="AA55" s="6" t="s">
        <v>114</v>
      </c>
      <c r="AB55" s="6" t="s">
        <v>108</v>
      </c>
      <c r="AC55" s="6" t="s">
        <v>49</v>
      </c>
      <c r="AD55" s="6" t="s">
        <v>66</v>
      </c>
      <c r="AE55" s="6">
        <v>20</v>
      </c>
      <c r="AF55" s="6" t="s">
        <v>51</v>
      </c>
      <c r="AG55" s="6" t="s">
        <v>122</v>
      </c>
      <c r="AH55" s="6">
        <v>2</v>
      </c>
      <c r="AI55" s="6">
        <v>3</v>
      </c>
      <c r="AJ55" s="6">
        <v>0</v>
      </c>
      <c r="AK55" s="7">
        <v>42374</v>
      </c>
      <c r="AL55" s="6">
        <v>16</v>
      </c>
    </row>
    <row r="56" spans="1:38" x14ac:dyDescent="0.35">
      <c r="A56" s="6" t="s">
        <v>176</v>
      </c>
      <c r="B56" s="6">
        <v>10282</v>
      </c>
      <c r="C56" s="6">
        <v>0</v>
      </c>
      <c r="D56" s="6">
        <v>2</v>
      </c>
      <c r="E56" s="6">
        <v>1</v>
      </c>
      <c r="F56" s="6">
        <v>1</v>
      </c>
      <c r="G56" s="6">
        <v>5</v>
      </c>
      <c r="H56" s="6">
        <v>2</v>
      </c>
      <c r="I56" s="6">
        <v>0</v>
      </c>
      <c r="J56" s="6">
        <v>68051</v>
      </c>
      <c r="K56" s="6">
        <v>0</v>
      </c>
      <c r="L56" s="6">
        <v>18</v>
      </c>
      <c r="M56" s="6" t="s">
        <v>133</v>
      </c>
      <c r="N56" s="6" t="s">
        <v>40</v>
      </c>
      <c r="O56" s="6">
        <v>1803</v>
      </c>
      <c r="P56" s="7">
        <v>28872</v>
      </c>
      <c r="Q56" s="8">
        <v>46</v>
      </c>
      <c r="R56" s="8" t="s">
        <v>41</v>
      </c>
      <c r="S56" s="6" t="s">
        <v>42</v>
      </c>
      <c r="T56" s="6" t="s">
        <v>70</v>
      </c>
      <c r="U56" s="6" t="s">
        <v>44</v>
      </c>
      <c r="V56" s="6" t="s">
        <v>45</v>
      </c>
      <c r="W56" s="6" t="s">
        <v>46</v>
      </c>
      <c r="X56" s="7">
        <v>40379</v>
      </c>
      <c r="Y56" s="8">
        <f t="shared" ca="1" si="0"/>
        <v>15</v>
      </c>
      <c r="Z56" s="7"/>
      <c r="AA56" s="6" t="s">
        <v>47</v>
      </c>
      <c r="AB56" s="6" t="s">
        <v>48</v>
      </c>
      <c r="AC56" s="6" t="s">
        <v>49</v>
      </c>
      <c r="AD56" s="6" t="s">
        <v>135</v>
      </c>
      <c r="AE56" s="6">
        <v>2</v>
      </c>
      <c r="AF56" s="6" t="s">
        <v>121</v>
      </c>
      <c r="AG56" s="6" t="s">
        <v>122</v>
      </c>
      <c r="AH56" s="6">
        <v>4.13</v>
      </c>
      <c r="AI56" s="6">
        <v>2</v>
      </c>
      <c r="AJ56" s="6">
        <v>0</v>
      </c>
      <c r="AK56" s="7">
        <v>43479</v>
      </c>
      <c r="AL56" s="6">
        <v>3</v>
      </c>
    </row>
    <row r="57" spans="1:38" x14ac:dyDescent="0.35">
      <c r="A57" s="6" t="s">
        <v>177</v>
      </c>
      <c r="B57" s="6">
        <v>10019</v>
      </c>
      <c r="C57" s="6">
        <v>0</v>
      </c>
      <c r="D57" s="6">
        <v>0</v>
      </c>
      <c r="E57" s="6">
        <v>1</v>
      </c>
      <c r="F57" s="6">
        <v>1</v>
      </c>
      <c r="G57" s="6">
        <v>5</v>
      </c>
      <c r="H57" s="6">
        <v>4</v>
      </c>
      <c r="I57" s="6">
        <v>0</v>
      </c>
      <c r="J57" s="6">
        <v>170500</v>
      </c>
      <c r="K57" s="6">
        <v>0</v>
      </c>
      <c r="L57" s="6">
        <v>10</v>
      </c>
      <c r="M57" s="6" t="s">
        <v>178</v>
      </c>
      <c r="N57" s="6" t="s">
        <v>40</v>
      </c>
      <c r="O57" s="6">
        <v>2030</v>
      </c>
      <c r="P57" s="7">
        <v>28120</v>
      </c>
      <c r="Q57" s="8">
        <v>48</v>
      </c>
      <c r="R57" s="8" t="s">
        <v>41</v>
      </c>
      <c r="S57" s="6" t="s">
        <v>42</v>
      </c>
      <c r="T57" s="6" t="s">
        <v>43</v>
      </c>
      <c r="U57" s="6" t="s">
        <v>44</v>
      </c>
      <c r="V57" s="6" t="s">
        <v>45</v>
      </c>
      <c r="W57" s="6" t="s">
        <v>85</v>
      </c>
      <c r="X57" s="7">
        <v>39934</v>
      </c>
      <c r="Y57" s="8">
        <f t="shared" ca="1" si="0"/>
        <v>17</v>
      </c>
      <c r="Z57" s="7"/>
      <c r="AA57" s="6" t="s">
        <v>47</v>
      </c>
      <c r="AB57" s="6" t="s">
        <v>48</v>
      </c>
      <c r="AC57" s="6" t="s">
        <v>49</v>
      </c>
      <c r="AD57" s="6" t="s">
        <v>135</v>
      </c>
      <c r="AE57" s="6">
        <v>2</v>
      </c>
      <c r="AF57" s="6" t="s">
        <v>60</v>
      </c>
      <c r="AG57" s="6" t="s">
        <v>52</v>
      </c>
      <c r="AH57" s="6">
        <v>3.7</v>
      </c>
      <c r="AI57" s="6">
        <v>5</v>
      </c>
      <c r="AJ57" s="6">
        <v>0</v>
      </c>
      <c r="AK57" s="7">
        <v>43557</v>
      </c>
      <c r="AL57" s="6">
        <v>15</v>
      </c>
    </row>
    <row r="58" spans="1:38" x14ac:dyDescent="0.35">
      <c r="A58" s="6" t="s">
        <v>179</v>
      </c>
      <c r="B58" s="6">
        <v>10094</v>
      </c>
      <c r="C58" s="6">
        <v>1</v>
      </c>
      <c r="D58" s="6">
        <v>1</v>
      </c>
      <c r="E58" s="6">
        <v>0</v>
      </c>
      <c r="F58" s="6">
        <v>1</v>
      </c>
      <c r="G58" s="6">
        <v>5</v>
      </c>
      <c r="H58" s="6">
        <v>3</v>
      </c>
      <c r="I58" s="6">
        <v>0</v>
      </c>
      <c r="J58" s="6">
        <v>63381</v>
      </c>
      <c r="K58" s="6">
        <v>0</v>
      </c>
      <c r="L58" s="6">
        <v>19</v>
      </c>
      <c r="M58" s="6" t="s">
        <v>39</v>
      </c>
      <c r="N58" s="6" t="s">
        <v>40</v>
      </c>
      <c r="O58" s="6">
        <v>2189</v>
      </c>
      <c r="P58" s="7">
        <v>30038</v>
      </c>
      <c r="Q58" s="8">
        <v>43</v>
      </c>
      <c r="R58" s="8" t="s">
        <v>41</v>
      </c>
      <c r="S58" s="6" t="s">
        <v>64</v>
      </c>
      <c r="T58" s="6" t="s">
        <v>55</v>
      </c>
      <c r="U58" s="6" t="s">
        <v>44</v>
      </c>
      <c r="V58" s="6" t="s">
        <v>92</v>
      </c>
      <c r="W58" s="6" t="s">
        <v>46</v>
      </c>
      <c r="X58" s="7">
        <v>42125</v>
      </c>
      <c r="Y58" s="8">
        <f t="shared" ca="1" si="0"/>
        <v>11</v>
      </c>
      <c r="Z58" s="7"/>
      <c r="AA58" s="6" t="s">
        <v>47</v>
      </c>
      <c r="AB58" s="6" t="s">
        <v>48</v>
      </c>
      <c r="AC58" s="6" t="s">
        <v>49</v>
      </c>
      <c r="AD58" s="6" t="s">
        <v>103</v>
      </c>
      <c r="AE58" s="6">
        <v>18</v>
      </c>
      <c r="AF58" s="6" t="s">
        <v>60</v>
      </c>
      <c r="AG58" s="6" t="s">
        <v>61</v>
      </c>
      <c r="AH58" s="6">
        <v>4.7300000000000004</v>
      </c>
      <c r="AI58" s="6">
        <v>5</v>
      </c>
      <c r="AJ58" s="6">
        <v>0</v>
      </c>
      <c r="AK58" s="7">
        <v>43510</v>
      </c>
      <c r="AL58" s="6">
        <v>6</v>
      </c>
    </row>
    <row r="59" spans="1:38" x14ac:dyDescent="0.35">
      <c r="A59" s="6" t="s">
        <v>180</v>
      </c>
      <c r="B59" s="6">
        <v>10193</v>
      </c>
      <c r="C59" s="6">
        <v>1</v>
      </c>
      <c r="D59" s="6">
        <v>1</v>
      </c>
      <c r="E59" s="6">
        <v>1</v>
      </c>
      <c r="F59" s="6">
        <v>1</v>
      </c>
      <c r="G59" s="6">
        <v>3</v>
      </c>
      <c r="H59" s="6">
        <v>3</v>
      </c>
      <c r="I59" s="6">
        <v>0</v>
      </c>
      <c r="J59" s="6">
        <v>83552</v>
      </c>
      <c r="K59" s="6">
        <v>0</v>
      </c>
      <c r="L59" s="6">
        <v>9</v>
      </c>
      <c r="M59" s="6" t="s">
        <v>99</v>
      </c>
      <c r="N59" s="6" t="s">
        <v>40</v>
      </c>
      <c r="O59" s="6">
        <v>1810</v>
      </c>
      <c r="P59" s="7">
        <v>26709</v>
      </c>
      <c r="Q59" s="8">
        <v>52</v>
      </c>
      <c r="R59" s="8" t="s">
        <v>41</v>
      </c>
      <c r="S59" s="6" t="s">
        <v>42</v>
      </c>
      <c r="T59" s="6" t="s">
        <v>55</v>
      </c>
      <c r="U59" s="6" t="s">
        <v>44</v>
      </c>
      <c r="V59" s="6" t="s">
        <v>45</v>
      </c>
      <c r="W59" s="6" t="s">
        <v>46</v>
      </c>
      <c r="X59" s="7">
        <v>42093</v>
      </c>
      <c r="Y59" s="8">
        <f t="shared" ca="1" si="0"/>
        <v>11</v>
      </c>
      <c r="Z59" s="7"/>
      <c r="AA59" s="6" t="s">
        <v>47</v>
      </c>
      <c r="AB59" s="6" t="s">
        <v>48</v>
      </c>
      <c r="AC59" s="6" t="s">
        <v>58</v>
      </c>
      <c r="AD59" s="6" t="s">
        <v>59</v>
      </c>
      <c r="AE59" s="6">
        <v>4</v>
      </c>
      <c r="AF59" s="6" t="s">
        <v>60</v>
      </c>
      <c r="AG59" s="6" t="s">
        <v>61</v>
      </c>
      <c r="AH59" s="6">
        <v>3.04</v>
      </c>
      <c r="AI59" s="6">
        <v>3</v>
      </c>
      <c r="AJ59" s="6">
        <v>6</v>
      </c>
      <c r="AK59" s="7">
        <v>43487</v>
      </c>
      <c r="AL59" s="6">
        <v>2</v>
      </c>
    </row>
    <row r="60" spans="1:38" x14ac:dyDescent="0.35">
      <c r="A60" s="6" t="s">
        <v>181</v>
      </c>
      <c r="B60" s="6">
        <v>10132</v>
      </c>
      <c r="C60" s="6">
        <v>0</v>
      </c>
      <c r="D60" s="6">
        <v>0</v>
      </c>
      <c r="E60" s="6">
        <v>0</v>
      </c>
      <c r="F60" s="6">
        <v>2</v>
      </c>
      <c r="G60" s="6">
        <v>5</v>
      </c>
      <c r="H60" s="6">
        <v>3</v>
      </c>
      <c r="I60" s="6">
        <v>0</v>
      </c>
      <c r="J60" s="6">
        <v>56149</v>
      </c>
      <c r="K60" s="6">
        <v>0</v>
      </c>
      <c r="L60" s="6">
        <v>19</v>
      </c>
      <c r="M60" s="6" t="s">
        <v>39</v>
      </c>
      <c r="N60" s="6" t="s">
        <v>40</v>
      </c>
      <c r="O60" s="6">
        <v>1821</v>
      </c>
      <c r="P60" s="7">
        <v>31918</v>
      </c>
      <c r="Q60" s="8">
        <v>38</v>
      </c>
      <c r="R60" s="8" t="s">
        <v>41</v>
      </c>
      <c r="S60" s="6" t="s">
        <v>64</v>
      </c>
      <c r="T60" s="6" t="s">
        <v>43</v>
      </c>
      <c r="U60" s="6" t="s">
        <v>44</v>
      </c>
      <c r="V60" s="6" t="s">
        <v>45</v>
      </c>
      <c r="W60" s="6" t="s">
        <v>46</v>
      </c>
      <c r="X60" s="7">
        <v>42528</v>
      </c>
      <c r="Y60" s="8">
        <f t="shared" ca="1" si="0"/>
        <v>10</v>
      </c>
      <c r="Z60" s="7"/>
      <c r="AA60" s="6" t="s">
        <v>47</v>
      </c>
      <c r="AB60" s="6" t="s">
        <v>48</v>
      </c>
      <c r="AC60" s="6" t="s">
        <v>49</v>
      </c>
      <c r="AD60" s="6" t="s">
        <v>50</v>
      </c>
      <c r="AE60" s="6">
        <v>22</v>
      </c>
      <c r="AF60" s="6" t="s">
        <v>51</v>
      </c>
      <c r="AG60" s="6" t="s">
        <v>61</v>
      </c>
      <c r="AH60" s="6">
        <v>4.12</v>
      </c>
      <c r="AI60" s="6">
        <v>5</v>
      </c>
      <c r="AJ60" s="6">
        <v>0</v>
      </c>
      <c r="AK60" s="7">
        <v>43493</v>
      </c>
      <c r="AL60" s="6">
        <v>15</v>
      </c>
    </row>
    <row r="61" spans="1:38" x14ac:dyDescent="0.35">
      <c r="A61" s="6" t="s">
        <v>182</v>
      </c>
      <c r="B61" s="6">
        <v>10083</v>
      </c>
      <c r="C61" s="6">
        <v>0</v>
      </c>
      <c r="D61" s="6">
        <v>0</v>
      </c>
      <c r="E61" s="6">
        <v>1</v>
      </c>
      <c r="F61" s="6">
        <v>1</v>
      </c>
      <c r="G61" s="6">
        <v>3</v>
      </c>
      <c r="H61" s="6">
        <v>3</v>
      </c>
      <c r="I61" s="6">
        <v>0</v>
      </c>
      <c r="J61" s="6">
        <v>92329</v>
      </c>
      <c r="K61" s="6">
        <v>0</v>
      </c>
      <c r="L61" s="6">
        <v>28</v>
      </c>
      <c r="M61" s="6" t="s">
        <v>183</v>
      </c>
      <c r="N61" s="6" t="s">
        <v>126</v>
      </c>
      <c r="O61" s="6">
        <v>6278</v>
      </c>
      <c r="P61" s="7">
        <v>33833</v>
      </c>
      <c r="Q61" s="8">
        <v>32</v>
      </c>
      <c r="R61" s="8" t="s">
        <v>41</v>
      </c>
      <c r="S61" s="6" t="s">
        <v>42</v>
      </c>
      <c r="T61" s="6" t="s">
        <v>43</v>
      </c>
      <c r="U61" s="6" t="s">
        <v>44</v>
      </c>
      <c r="V61" s="6" t="s">
        <v>45</v>
      </c>
      <c r="W61" s="6" t="s">
        <v>46</v>
      </c>
      <c r="X61" s="7">
        <v>41923</v>
      </c>
      <c r="Y61" s="8">
        <f t="shared" ca="1" si="0"/>
        <v>11</v>
      </c>
      <c r="Z61" s="7"/>
      <c r="AA61" s="6" t="s">
        <v>47</v>
      </c>
      <c r="AB61" s="6" t="s">
        <v>48</v>
      </c>
      <c r="AC61" s="6" t="s">
        <v>58</v>
      </c>
      <c r="AD61" s="6" t="s">
        <v>90</v>
      </c>
      <c r="AE61" s="6">
        <v>7</v>
      </c>
      <c r="AF61" s="6" t="s">
        <v>83</v>
      </c>
      <c r="AG61" s="6" t="s">
        <v>61</v>
      </c>
      <c r="AH61" s="6">
        <v>5</v>
      </c>
      <c r="AI61" s="6">
        <v>3</v>
      </c>
      <c r="AJ61" s="6">
        <v>4</v>
      </c>
      <c r="AK61" s="7">
        <v>43497</v>
      </c>
      <c r="AL61" s="6">
        <v>5</v>
      </c>
    </row>
    <row r="62" spans="1:38" x14ac:dyDescent="0.35">
      <c r="A62" s="6" t="s">
        <v>184</v>
      </c>
      <c r="B62" s="6">
        <v>10099</v>
      </c>
      <c r="C62" s="6">
        <v>0</v>
      </c>
      <c r="D62" s="6">
        <v>0</v>
      </c>
      <c r="E62" s="6">
        <v>0</v>
      </c>
      <c r="F62" s="6">
        <v>1</v>
      </c>
      <c r="G62" s="6">
        <v>6</v>
      </c>
      <c r="H62" s="6">
        <v>3</v>
      </c>
      <c r="I62" s="6">
        <v>0</v>
      </c>
      <c r="J62" s="6">
        <v>65729</v>
      </c>
      <c r="K62" s="6">
        <v>0</v>
      </c>
      <c r="L62" s="6">
        <v>21</v>
      </c>
      <c r="M62" s="6" t="s">
        <v>185</v>
      </c>
      <c r="N62" s="6" t="s">
        <v>157</v>
      </c>
      <c r="O62" s="6">
        <v>5473</v>
      </c>
      <c r="P62" s="7">
        <v>25682</v>
      </c>
      <c r="Q62" s="8">
        <v>55</v>
      </c>
      <c r="R62" s="8" t="s">
        <v>41</v>
      </c>
      <c r="S62" s="6" t="s">
        <v>64</v>
      </c>
      <c r="T62" s="6" t="s">
        <v>43</v>
      </c>
      <c r="U62" s="6" t="s">
        <v>44</v>
      </c>
      <c r="V62" s="6" t="s">
        <v>45</v>
      </c>
      <c r="W62" s="6" t="s">
        <v>46</v>
      </c>
      <c r="X62" s="7">
        <v>41764</v>
      </c>
      <c r="Y62" s="8">
        <f t="shared" ca="1" si="0"/>
        <v>12</v>
      </c>
      <c r="Z62" s="7"/>
      <c r="AA62" s="6" t="s">
        <v>47</v>
      </c>
      <c r="AB62" s="6" t="s">
        <v>48</v>
      </c>
      <c r="AC62" s="6" t="s">
        <v>145</v>
      </c>
      <c r="AD62" s="6" t="s">
        <v>186</v>
      </c>
      <c r="AE62" s="6">
        <v>15</v>
      </c>
      <c r="AF62" s="6" t="s">
        <v>60</v>
      </c>
      <c r="AG62" s="6" t="s">
        <v>61</v>
      </c>
      <c r="AH62" s="6">
        <v>4.62</v>
      </c>
      <c r="AI62" s="6">
        <v>4</v>
      </c>
      <c r="AJ62" s="6">
        <v>0</v>
      </c>
      <c r="AK62" s="7">
        <v>43489</v>
      </c>
      <c r="AL62" s="6">
        <v>8</v>
      </c>
    </row>
    <row r="63" spans="1:38" x14ac:dyDescent="0.35">
      <c r="A63" s="6" t="s">
        <v>187</v>
      </c>
      <c r="B63" s="6">
        <v>10212</v>
      </c>
      <c r="C63" s="6">
        <v>1</v>
      </c>
      <c r="D63" s="6">
        <v>1</v>
      </c>
      <c r="E63" s="6">
        <v>0</v>
      </c>
      <c r="F63" s="6">
        <v>3</v>
      </c>
      <c r="G63" s="6">
        <v>3</v>
      </c>
      <c r="H63" s="6">
        <v>3</v>
      </c>
      <c r="I63" s="6">
        <v>0</v>
      </c>
      <c r="J63" s="6">
        <v>85028</v>
      </c>
      <c r="K63" s="6">
        <v>0</v>
      </c>
      <c r="L63" s="6">
        <v>28</v>
      </c>
      <c r="M63" s="6" t="s">
        <v>183</v>
      </c>
      <c r="N63" s="6" t="s">
        <v>126</v>
      </c>
      <c r="O63" s="6">
        <v>6033</v>
      </c>
      <c r="P63" s="7">
        <v>29329</v>
      </c>
      <c r="Q63" s="8">
        <v>45</v>
      </c>
      <c r="R63" s="8" t="s">
        <v>41</v>
      </c>
      <c r="S63" s="6" t="s">
        <v>64</v>
      </c>
      <c r="T63" s="6" t="s">
        <v>55</v>
      </c>
      <c r="U63" s="6" t="s">
        <v>44</v>
      </c>
      <c r="V63" s="6" t="s">
        <v>45</v>
      </c>
      <c r="W63" s="6" t="s">
        <v>46</v>
      </c>
      <c r="X63" s="7">
        <v>41923</v>
      </c>
      <c r="Y63" s="8">
        <f t="shared" ca="1" si="0"/>
        <v>11</v>
      </c>
      <c r="Z63" s="7"/>
      <c r="AA63" s="6" t="s">
        <v>47</v>
      </c>
      <c r="AB63" s="6" t="s">
        <v>48</v>
      </c>
      <c r="AC63" s="6" t="s">
        <v>58</v>
      </c>
      <c r="AD63" s="6" t="s">
        <v>90</v>
      </c>
      <c r="AE63" s="6">
        <v>7</v>
      </c>
      <c r="AF63" s="6" t="s">
        <v>51</v>
      </c>
      <c r="AG63" s="6" t="s">
        <v>61</v>
      </c>
      <c r="AH63" s="6">
        <v>3.1</v>
      </c>
      <c r="AI63" s="6">
        <v>5</v>
      </c>
      <c r="AJ63" s="6">
        <v>8</v>
      </c>
      <c r="AK63" s="7">
        <v>43801</v>
      </c>
      <c r="AL63" s="6">
        <v>19</v>
      </c>
    </row>
    <row r="64" spans="1:38" x14ac:dyDescent="0.35">
      <c r="A64" s="6" t="s">
        <v>188</v>
      </c>
      <c r="B64" s="6">
        <v>10056</v>
      </c>
      <c r="C64" s="6">
        <v>1</v>
      </c>
      <c r="D64" s="6">
        <v>1</v>
      </c>
      <c r="E64" s="6">
        <v>0</v>
      </c>
      <c r="F64" s="6">
        <v>1</v>
      </c>
      <c r="G64" s="6">
        <v>5</v>
      </c>
      <c r="H64" s="6">
        <v>3</v>
      </c>
      <c r="I64" s="6">
        <v>0</v>
      </c>
      <c r="J64" s="6">
        <v>57583</v>
      </c>
      <c r="K64" s="6">
        <v>0</v>
      </c>
      <c r="L64" s="6">
        <v>19</v>
      </c>
      <c r="M64" s="6" t="s">
        <v>39</v>
      </c>
      <c r="N64" s="6" t="s">
        <v>40</v>
      </c>
      <c r="O64" s="6">
        <v>2110</v>
      </c>
      <c r="P64" s="7">
        <v>25683</v>
      </c>
      <c r="Q64" s="8">
        <v>55</v>
      </c>
      <c r="R64" s="8" t="s">
        <v>41</v>
      </c>
      <c r="S64" s="6" t="s">
        <v>64</v>
      </c>
      <c r="T64" s="6" t="s">
        <v>55</v>
      </c>
      <c r="U64" s="6" t="s">
        <v>44</v>
      </c>
      <c r="V64" s="6" t="s">
        <v>45</v>
      </c>
      <c r="W64" s="6" t="s">
        <v>46</v>
      </c>
      <c r="X64" s="7">
        <v>40946</v>
      </c>
      <c r="Y64" s="8">
        <f t="shared" ca="1" si="0"/>
        <v>14</v>
      </c>
      <c r="Z64" s="7"/>
      <c r="AA64" s="6" t="s">
        <v>47</v>
      </c>
      <c r="AB64" s="6" t="s">
        <v>48</v>
      </c>
      <c r="AC64" s="6" t="s">
        <v>49</v>
      </c>
      <c r="AD64" s="6" t="s">
        <v>68</v>
      </c>
      <c r="AE64" s="6">
        <v>16</v>
      </c>
      <c r="AF64" s="6" t="s">
        <v>60</v>
      </c>
      <c r="AG64" s="6" t="s">
        <v>61</v>
      </c>
      <c r="AH64" s="6">
        <v>5</v>
      </c>
      <c r="AI64" s="6">
        <v>3</v>
      </c>
      <c r="AJ64" s="6">
        <v>0</v>
      </c>
      <c r="AK64" s="7">
        <v>43521</v>
      </c>
      <c r="AL64" s="6">
        <v>1</v>
      </c>
    </row>
    <row r="65" spans="1:38" x14ac:dyDescent="0.35">
      <c r="A65" s="6" t="s">
        <v>189</v>
      </c>
      <c r="B65" s="6">
        <v>10143</v>
      </c>
      <c r="C65" s="6">
        <v>0</v>
      </c>
      <c r="D65" s="6">
        <v>0</v>
      </c>
      <c r="E65" s="6">
        <v>1</v>
      </c>
      <c r="F65" s="6">
        <v>1</v>
      </c>
      <c r="G65" s="6">
        <v>5</v>
      </c>
      <c r="H65" s="6">
        <v>3</v>
      </c>
      <c r="I65" s="6">
        <v>0</v>
      </c>
      <c r="J65" s="6">
        <v>56294</v>
      </c>
      <c r="K65" s="6">
        <v>0</v>
      </c>
      <c r="L65" s="6">
        <v>20</v>
      </c>
      <c r="M65" s="6" t="s">
        <v>63</v>
      </c>
      <c r="N65" s="6" t="s">
        <v>40</v>
      </c>
      <c r="O65" s="6">
        <v>2458</v>
      </c>
      <c r="P65" s="7">
        <v>30403</v>
      </c>
      <c r="Q65" s="8">
        <v>42</v>
      </c>
      <c r="R65" s="8" t="s">
        <v>41</v>
      </c>
      <c r="S65" s="6" t="s">
        <v>42</v>
      </c>
      <c r="T65" s="6" t="s">
        <v>43</v>
      </c>
      <c r="U65" s="6" t="s">
        <v>111</v>
      </c>
      <c r="V65" s="6" t="s">
        <v>45</v>
      </c>
      <c r="W65" s="6" t="s">
        <v>102</v>
      </c>
      <c r="X65" s="7">
        <v>40735</v>
      </c>
      <c r="Y65" s="8">
        <f t="shared" ca="1" si="0"/>
        <v>15</v>
      </c>
      <c r="Z65" s="7"/>
      <c r="AA65" s="6" t="s">
        <v>47</v>
      </c>
      <c r="AB65" s="6" t="s">
        <v>48</v>
      </c>
      <c r="AC65" s="6" t="s">
        <v>49</v>
      </c>
      <c r="AD65" s="6" t="s">
        <v>66</v>
      </c>
      <c r="AE65" s="6">
        <v>20</v>
      </c>
      <c r="AF65" s="6" t="s">
        <v>51</v>
      </c>
      <c r="AG65" s="6" t="s">
        <v>61</v>
      </c>
      <c r="AH65" s="6">
        <v>3.96</v>
      </c>
      <c r="AI65" s="6">
        <v>4</v>
      </c>
      <c r="AJ65" s="6">
        <v>0</v>
      </c>
      <c r="AK65" s="7">
        <v>43523</v>
      </c>
      <c r="AL65" s="6">
        <v>6</v>
      </c>
    </row>
    <row r="66" spans="1:38" x14ac:dyDescent="0.35">
      <c r="A66" s="6" t="s">
        <v>190</v>
      </c>
      <c r="B66" s="6">
        <v>10311</v>
      </c>
      <c r="C66" s="6">
        <v>1</v>
      </c>
      <c r="D66" s="6">
        <v>1</v>
      </c>
      <c r="E66" s="6">
        <v>1</v>
      </c>
      <c r="F66" s="6">
        <v>1</v>
      </c>
      <c r="G66" s="6">
        <v>6</v>
      </c>
      <c r="H66" s="6">
        <v>1</v>
      </c>
      <c r="I66" s="6">
        <v>0</v>
      </c>
      <c r="J66" s="6">
        <v>56991</v>
      </c>
      <c r="K66" s="6">
        <v>0</v>
      </c>
      <c r="L66" s="6">
        <v>19</v>
      </c>
      <c r="M66" s="6" t="s">
        <v>39</v>
      </c>
      <c r="N66" s="6" t="s">
        <v>40</v>
      </c>
      <c r="O66" s="6">
        <v>2138</v>
      </c>
      <c r="P66" s="7">
        <v>31374</v>
      </c>
      <c r="Q66" s="8">
        <v>39</v>
      </c>
      <c r="R66" s="8" t="s">
        <v>41</v>
      </c>
      <c r="S66" s="6" t="s">
        <v>42</v>
      </c>
      <c r="T66" s="6" t="s">
        <v>55</v>
      </c>
      <c r="U66" s="6" t="s">
        <v>44</v>
      </c>
      <c r="V66" s="6" t="s">
        <v>45</v>
      </c>
      <c r="W66" s="6" t="s">
        <v>46</v>
      </c>
      <c r="X66" s="7">
        <v>43350</v>
      </c>
      <c r="Y66" s="8">
        <f t="shared" ca="1" si="0"/>
        <v>7</v>
      </c>
      <c r="Z66" s="7"/>
      <c r="AA66" s="6" t="s">
        <v>47</v>
      </c>
      <c r="AB66" s="6" t="s">
        <v>48</v>
      </c>
      <c r="AC66" s="6" t="s">
        <v>49</v>
      </c>
      <c r="AD66" s="6" t="s">
        <v>86</v>
      </c>
      <c r="AE66" s="6">
        <v>12</v>
      </c>
      <c r="AF66" s="6" t="s">
        <v>60</v>
      </c>
      <c r="AG66" s="6" t="s">
        <v>61</v>
      </c>
      <c r="AH66" s="6">
        <v>4.3</v>
      </c>
      <c r="AI66" s="6">
        <v>4</v>
      </c>
      <c r="AJ66" s="6">
        <v>3</v>
      </c>
      <c r="AK66" s="7">
        <v>43496</v>
      </c>
      <c r="AL66" s="6">
        <v>2</v>
      </c>
    </row>
    <row r="67" spans="1:38" x14ac:dyDescent="0.35">
      <c r="A67" s="6" t="s">
        <v>191</v>
      </c>
      <c r="B67" s="6">
        <v>10070</v>
      </c>
      <c r="C67" s="6">
        <v>1</v>
      </c>
      <c r="D67" s="6">
        <v>1</v>
      </c>
      <c r="E67" s="6">
        <v>1</v>
      </c>
      <c r="F67" s="6">
        <v>5</v>
      </c>
      <c r="G67" s="6">
        <v>5</v>
      </c>
      <c r="H67" s="6">
        <v>3</v>
      </c>
      <c r="I67" s="6">
        <v>0</v>
      </c>
      <c r="J67" s="6">
        <v>55722</v>
      </c>
      <c r="K67" s="6">
        <v>1</v>
      </c>
      <c r="L67" s="6">
        <v>19</v>
      </c>
      <c r="M67" s="6" t="s">
        <v>39</v>
      </c>
      <c r="N67" s="6" t="s">
        <v>40</v>
      </c>
      <c r="O67" s="6">
        <v>1810</v>
      </c>
      <c r="P67" s="7">
        <v>29494</v>
      </c>
      <c r="Q67" s="8">
        <v>44</v>
      </c>
      <c r="R67" s="8" t="s">
        <v>41</v>
      </c>
      <c r="S67" s="6" t="s">
        <v>42</v>
      </c>
      <c r="T67" s="6" t="s">
        <v>55</v>
      </c>
      <c r="U67" s="6" t="s">
        <v>44</v>
      </c>
      <c r="V67" s="6" t="s">
        <v>45</v>
      </c>
      <c r="W67" s="6" t="s">
        <v>46</v>
      </c>
      <c r="X67" s="7">
        <v>40679</v>
      </c>
      <c r="Y67" s="8">
        <f t="shared" ref="Y67:Y130" ca="1" si="1">INT(YEARFRAC(X67,TODAY()))</f>
        <v>15</v>
      </c>
      <c r="Z67" s="7">
        <v>42588</v>
      </c>
      <c r="AA67" s="6" t="s">
        <v>97</v>
      </c>
      <c r="AB67" s="6" t="s">
        <v>57</v>
      </c>
      <c r="AC67" s="6" t="s">
        <v>49</v>
      </c>
      <c r="AD67" s="6" t="s">
        <v>72</v>
      </c>
      <c r="AE67" s="6">
        <v>39</v>
      </c>
      <c r="AF67" s="6" t="s">
        <v>60</v>
      </c>
      <c r="AG67" s="6" t="s">
        <v>61</v>
      </c>
      <c r="AH67" s="6">
        <v>5</v>
      </c>
      <c r="AI67" s="6">
        <v>4</v>
      </c>
      <c r="AJ67" s="6">
        <v>0</v>
      </c>
      <c r="AK67" s="7">
        <v>42404</v>
      </c>
      <c r="AL67" s="6">
        <v>14</v>
      </c>
    </row>
    <row r="68" spans="1:38" x14ac:dyDescent="0.35">
      <c r="A68" s="6" t="s">
        <v>192</v>
      </c>
      <c r="B68" s="6">
        <v>10155</v>
      </c>
      <c r="C68" s="6">
        <v>0</v>
      </c>
      <c r="D68" s="6">
        <v>0</v>
      </c>
      <c r="E68" s="6">
        <v>0</v>
      </c>
      <c r="F68" s="6">
        <v>1</v>
      </c>
      <c r="G68" s="6">
        <v>4</v>
      </c>
      <c r="H68" s="6">
        <v>3</v>
      </c>
      <c r="I68" s="6">
        <v>0</v>
      </c>
      <c r="J68" s="6">
        <v>101199</v>
      </c>
      <c r="K68" s="6">
        <v>0</v>
      </c>
      <c r="L68" s="6">
        <v>24</v>
      </c>
      <c r="M68" s="6" t="s">
        <v>77</v>
      </c>
      <c r="N68" s="6" t="s">
        <v>40</v>
      </c>
      <c r="O68" s="6">
        <v>2176</v>
      </c>
      <c r="P68" s="7">
        <v>29183</v>
      </c>
      <c r="Q68" s="8">
        <v>45</v>
      </c>
      <c r="R68" s="8" t="s">
        <v>41</v>
      </c>
      <c r="S68" s="6" t="s">
        <v>64</v>
      </c>
      <c r="T68" s="6" t="s">
        <v>43</v>
      </c>
      <c r="U68" s="6" t="s">
        <v>44</v>
      </c>
      <c r="V68" s="6" t="s">
        <v>45</v>
      </c>
      <c r="W68" s="6" t="s">
        <v>85</v>
      </c>
      <c r="X68" s="7">
        <v>41153</v>
      </c>
      <c r="Y68" s="8">
        <f t="shared" ca="1" si="1"/>
        <v>13</v>
      </c>
      <c r="Z68" s="7"/>
      <c r="AA68" s="6" t="s">
        <v>47</v>
      </c>
      <c r="AB68" s="6" t="s">
        <v>48</v>
      </c>
      <c r="AC68" s="6" t="s">
        <v>78</v>
      </c>
      <c r="AD68" s="6" t="s">
        <v>79</v>
      </c>
      <c r="AE68" s="6">
        <v>10</v>
      </c>
      <c r="AF68" s="6" t="s">
        <v>121</v>
      </c>
      <c r="AG68" s="6" t="s">
        <v>61</v>
      </c>
      <c r="AH68" s="6">
        <v>3.79</v>
      </c>
      <c r="AI68" s="6">
        <v>5</v>
      </c>
      <c r="AJ68" s="6">
        <v>5</v>
      </c>
      <c r="AK68" s="7">
        <v>43490</v>
      </c>
      <c r="AL68" s="6">
        <v>8</v>
      </c>
    </row>
    <row r="69" spans="1:38" x14ac:dyDescent="0.35">
      <c r="A69" s="6" t="s">
        <v>193</v>
      </c>
      <c r="B69" s="6">
        <v>10306</v>
      </c>
      <c r="C69" s="6">
        <v>0</v>
      </c>
      <c r="D69" s="6">
        <v>0</v>
      </c>
      <c r="E69" s="6">
        <v>1</v>
      </c>
      <c r="F69" s="6">
        <v>1</v>
      </c>
      <c r="G69" s="6">
        <v>6</v>
      </c>
      <c r="H69" s="6">
        <v>1</v>
      </c>
      <c r="I69" s="6">
        <v>0</v>
      </c>
      <c r="J69" s="6">
        <v>61568</v>
      </c>
      <c r="K69" s="6">
        <v>0</v>
      </c>
      <c r="L69" s="6">
        <v>3</v>
      </c>
      <c r="M69" s="6" t="s">
        <v>143</v>
      </c>
      <c r="N69" s="6" t="s">
        <v>194</v>
      </c>
      <c r="O69" s="6">
        <v>36006</v>
      </c>
      <c r="P69" s="7">
        <v>32707</v>
      </c>
      <c r="Q69" s="8">
        <v>36</v>
      </c>
      <c r="R69" s="8" t="s">
        <v>41</v>
      </c>
      <c r="S69" s="6" t="s">
        <v>42</v>
      </c>
      <c r="T69" s="6" t="s">
        <v>43</v>
      </c>
      <c r="U69" s="6" t="s">
        <v>44</v>
      </c>
      <c r="V69" s="6" t="s">
        <v>45</v>
      </c>
      <c r="W69" s="6" t="s">
        <v>102</v>
      </c>
      <c r="X69" s="7">
        <v>41911</v>
      </c>
      <c r="Y69" s="8">
        <f t="shared" ca="1" si="1"/>
        <v>11</v>
      </c>
      <c r="Z69" s="7"/>
      <c r="AA69" s="6" t="s">
        <v>47</v>
      </c>
      <c r="AB69" s="6" t="s">
        <v>48</v>
      </c>
      <c r="AC69" s="6" t="s">
        <v>145</v>
      </c>
      <c r="AD69" s="6" t="s">
        <v>146</v>
      </c>
      <c r="AE69" s="6">
        <v>17</v>
      </c>
      <c r="AF69" s="6" t="s">
        <v>60</v>
      </c>
      <c r="AG69" s="6" t="s">
        <v>195</v>
      </c>
      <c r="AH69" s="6">
        <v>1.93</v>
      </c>
      <c r="AI69" s="6">
        <v>3</v>
      </c>
      <c r="AJ69" s="6">
        <v>0</v>
      </c>
      <c r="AK69" s="7">
        <v>43495</v>
      </c>
      <c r="AL69" s="6">
        <v>5</v>
      </c>
    </row>
    <row r="70" spans="1:38" x14ac:dyDescent="0.35">
      <c r="A70" s="6" t="s">
        <v>196</v>
      </c>
      <c r="B70" s="6">
        <v>10100</v>
      </c>
      <c r="C70" s="6">
        <v>0</v>
      </c>
      <c r="D70" s="6">
        <v>3</v>
      </c>
      <c r="E70" s="6">
        <v>0</v>
      </c>
      <c r="F70" s="6">
        <v>5</v>
      </c>
      <c r="G70" s="6">
        <v>5</v>
      </c>
      <c r="H70" s="6">
        <v>3</v>
      </c>
      <c r="I70" s="6">
        <v>0</v>
      </c>
      <c r="J70" s="6">
        <v>58275</v>
      </c>
      <c r="K70" s="6">
        <v>1</v>
      </c>
      <c r="L70" s="6">
        <v>20</v>
      </c>
      <c r="M70" s="6" t="s">
        <v>63</v>
      </c>
      <c r="N70" s="6" t="s">
        <v>40</v>
      </c>
      <c r="O70" s="6">
        <v>2343</v>
      </c>
      <c r="P70" s="7">
        <v>31613</v>
      </c>
      <c r="Q70" s="8">
        <v>39</v>
      </c>
      <c r="R70" s="8" t="s">
        <v>41</v>
      </c>
      <c r="S70" s="6" t="s">
        <v>64</v>
      </c>
      <c r="T70" s="6" t="s">
        <v>141</v>
      </c>
      <c r="U70" s="6" t="s">
        <v>44</v>
      </c>
      <c r="V70" s="6" t="s">
        <v>45</v>
      </c>
      <c r="W70" s="6" t="s">
        <v>85</v>
      </c>
      <c r="X70" s="7">
        <v>40637</v>
      </c>
      <c r="Y70" s="8">
        <f t="shared" ca="1" si="1"/>
        <v>15</v>
      </c>
      <c r="Z70" s="7">
        <v>42105</v>
      </c>
      <c r="AA70" s="6" t="s">
        <v>197</v>
      </c>
      <c r="AB70" s="6" t="s">
        <v>57</v>
      </c>
      <c r="AC70" s="6" t="s">
        <v>49</v>
      </c>
      <c r="AD70" s="6" t="s">
        <v>103</v>
      </c>
      <c r="AE70" s="6">
        <v>18</v>
      </c>
      <c r="AF70" s="6" t="s">
        <v>73</v>
      </c>
      <c r="AG70" s="6" t="s">
        <v>61</v>
      </c>
      <c r="AH70" s="6">
        <v>4.62</v>
      </c>
      <c r="AI70" s="6">
        <v>5</v>
      </c>
      <c r="AJ70" s="6">
        <v>0</v>
      </c>
      <c r="AK70" s="7">
        <v>42160</v>
      </c>
      <c r="AL70" s="6">
        <v>1</v>
      </c>
    </row>
    <row r="71" spans="1:38" x14ac:dyDescent="0.35">
      <c r="A71" s="6" t="s">
        <v>198</v>
      </c>
      <c r="B71" s="6">
        <v>10310</v>
      </c>
      <c r="C71" s="6">
        <v>1</v>
      </c>
      <c r="D71" s="6">
        <v>1</v>
      </c>
      <c r="E71" s="6">
        <v>1</v>
      </c>
      <c r="F71" s="6">
        <v>1</v>
      </c>
      <c r="G71" s="6">
        <v>5</v>
      </c>
      <c r="H71" s="6">
        <v>1</v>
      </c>
      <c r="I71" s="6">
        <v>0</v>
      </c>
      <c r="J71" s="6">
        <v>53189</v>
      </c>
      <c r="K71" s="6">
        <v>0</v>
      </c>
      <c r="L71" s="6">
        <v>19</v>
      </c>
      <c r="M71" s="6" t="s">
        <v>39</v>
      </c>
      <c r="N71" s="6" t="s">
        <v>40</v>
      </c>
      <c r="O71" s="6">
        <v>2061</v>
      </c>
      <c r="P71" s="7">
        <v>30941</v>
      </c>
      <c r="Q71" s="8">
        <v>40</v>
      </c>
      <c r="R71" s="8" t="s">
        <v>41</v>
      </c>
      <c r="S71" s="6" t="s">
        <v>42</v>
      </c>
      <c r="T71" s="6" t="s">
        <v>55</v>
      </c>
      <c r="U71" s="6" t="s">
        <v>44</v>
      </c>
      <c r="V71" s="6" t="s">
        <v>45</v>
      </c>
      <c r="W71" s="6" t="s">
        <v>46</v>
      </c>
      <c r="X71" s="7">
        <v>41827</v>
      </c>
      <c r="Y71" s="8">
        <f t="shared" ca="1" si="1"/>
        <v>12</v>
      </c>
      <c r="Z71" s="7"/>
      <c r="AA71" s="6" t="s">
        <v>47</v>
      </c>
      <c r="AB71" s="6" t="s">
        <v>48</v>
      </c>
      <c r="AC71" s="6" t="s">
        <v>49</v>
      </c>
      <c r="AD71" s="6" t="s">
        <v>75</v>
      </c>
      <c r="AE71" s="6">
        <v>11</v>
      </c>
      <c r="AF71" s="6" t="s">
        <v>60</v>
      </c>
      <c r="AG71" s="6" t="s">
        <v>195</v>
      </c>
      <c r="AH71" s="6">
        <v>1.1200000000000001</v>
      </c>
      <c r="AI71" s="6">
        <v>2</v>
      </c>
      <c r="AJ71" s="6">
        <v>0</v>
      </c>
      <c r="AK71" s="7">
        <v>43496</v>
      </c>
      <c r="AL71" s="6">
        <v>9</v>
      </c>
    </row>
    <row r="72" spans="1:38" x14ac:dyDescent="0.35">
      <c r="A72" s="6" t="s">
        <v>199</v>
      </c>
      <c r="B72" s="6">
        <v>10197</v>
      </c>
      <c r="C72" s="6">
        <v>0</v>
      </c>
      <c r="D72" s="6">
        <v>0</v>
      </c>
      <c r="E72" s="6">
        <v>1</v>
      </c>
      <c r="F72" s="6">
        <v>1</v>
      </c>
      <c r="G72" s="6">
        <v>3</v>
      </c>
      <c r="H72" s="6">
        <v>3</v>
      </c>
      <c r="I72" s="6">
        <v>0</v>
      </c>
      <c r="J72" s="6">
        <v>96820</v>
      </c>
      <c r="K72" s="6">
        <v>0</v>
      </c>
      <c r="L72" s="6">
        <v>4</v>
      </c>
      <c r="M72" s="6" t="s">
        <v>200</v>
      </c>
      <c r="N72" s="6" t="s">
        <v>40</v>
      </c>
      <c r="O72" s="6">
        <v>2045</v>
      </c>
      <c r="P72" s="7">
        <v>32384</v>
      </c>
      <c r="Q72" s="8">
        <v>36</v>
      </c>
      <c r="R72" s="8" t="s">
        <v>41</v>
      </c>
      <c r="S72" s="6" t="s">
        <v>42</v>
      </c>
      <c r="T72" s="6" t="s">
        <v>43</v>
      </c>
      <c r="U72" s="6" t="s">
        <v>44</v>
      </c>
      <c r="V72" s="6" t="s">
        <v>45</v>
      </c>
      <c r="W72" s="6" t="s">
        <v>46</v>
      </c>
      <c r="X72" s="7">
        <v>42781</v>
      </c>
      <c r="Y72" s="8">
        <f t="shared" ca="1" si="1"/>
        <v>9</v>
      </c>
      <c r="Z72" s="7"/>
      <c r="AA72" s="6" t="s">
        <v>47</v>
      </c>
      <c r="AB72" s="6" t="s">
        <v>48</v>
      </c>
      <c r="AC72" s="6" t="s">
        <v>58</v>
      </c>
      <c r="AD72" s="6" t="s">
        <v>201</v>
      </c>
      <c r="AE72" s="6">
        <v>13</v>
      </c>
      <c r="AF72" s="6" t="s">
        <v>60</v>
      </c>
      <c r="AG72" s="6" t="s">
        <v>61</v>
      </c>
      <c r="AH72" s="6">
        <v>3.01</v>
      </c>
      <c r="AI72" s="6">
        <v>5</v>
      </c>
      <c r="AJ72" s="6">
        <v>7</v>
      </c>
      <c r="AK72" s="7">
        <v>43488</v>
      </c>
      <c r="AL72" s="6">
        <v>15</v>
      </c>
    </row>
    <row r="73" spans="1:38" x14ac:dyDescent="0.35">
      <c r="A73" s="6" t="s">
        <v>202</v>
      </c>
      <c r="B73" s="6">
        <v>10276</v>
      </c>
      <c r="C73" s="6">
        <v>0</v>
      </c>
      <c r="D73" s="6">
        <v>0</v>
      </c>
      <c r="E73" s="6">
        <v>1</v>
      </c>
      <c r="F73" s="6">
        <v>1</v>
      </c>
      <c r="G73" s="6">
        <v>5</v>
      </c>
      <c r="H73" s="6">
        <v>3</v>
      </c>
      <c r="I73" s="6">
        <v>0</v>
      </c>
      <c r="J73" s="6">
        <v>51259</v>
      </c>
      <c r="K73" s="6">
        <v>0</v>
      </c>
      <c r="L73" s="6">
        <v>19</v>
      </c>
      <c r="M73" s="6" t="s">
        <v>39</v>
      </c>
      <c r="N73" s="6" t="s">
        <v>40</v>
      </c>
      <c r="O73" s="6">
        <v>2180</v>
      </c>
      <c r="P73" s="7">
        <v>25833</v>
      </c>
      <c r="Q73" s="8">
        <v>54</v>
      </c>
      <c r="R73" s="8" t="s">
        <v>41</v>
      </c>
      <c r="S73" s="6" t="s">
        <v>42</v>
      </c>
      <c r="T73" s="6" t="s">
        <v>43</v>
      </c>
      <c r="U73" s="6" t="s">
        <v>44</v>
      </c>
      <c r="V73" s="6" t="s">
        <v>45</v>
      </c>
      <c r="W73" s="6" t="s">
        <v>46</v>
      </c>
      <c r="X73" s="7">
        <v>41978</v>
      </c>
      <c r="Y73" s="8">
        <f t="shared" ca="1" si="1"/>
        <v>11</v>
      </c>
      <c r="Z73" s="7"/>
      <c r="AA73" s="6" t="s">
        <v>47</v>
      </c>
      <c r="AB73" s="6" t="s">
        <v>48</v>
      </c>
      <c r="AC73" s="6" t="s">
        <v>49</v>
      </c>
      <c r="AD73" s="6" t="s">
        <v>82</v>
      </c>
      <c r="AE73" s="6">
        <v>19</v>
      </c>
      <c r="AF73" s="6" t="s">
        <v>60</v>
      </c>
      <c r="AG73" s="6" t="s">
        <v>61</v>
      </c>
      <c r="AH73" s="6">
        <v>4.3</v>
      </c>
      <c r="AI73" s="6">
        <v>4</v>
      </c>
      <c r="AJ73" s="6">
        <v>0</v>
      </c>
      <c r="AK73" s="7">
        <v>43515</v>
      </c>
      <c r="AL73" s="6">
        <v>1</v>
      </c>
    </row>
    <row r="74" spans="1:38" x14ac:dyDescent="0.35">
      <c r="A74" s="6" t="s">
        <v>203</v>
      </c>
      <c r="B74" s="6">
        <v>10304</v>
      </c>
      <c r="C74" s="6">
        <v>0</v>
      </c>
      <c r="D74" s="6">
        <v>0</v>
      </c>
      <c r="E74" s="6">
        <v>0</v>
      </c>
      <c r="F74" s="6">
        <v>1</v>
      </c>
      <c r="G74" s="6">
        <v>6</v>
      </c>
      <c r="H74" s="6">
        <v>1</v>
      </c>
      <c r="I74" s="6">
        <v>0</v>
      </c>
      <c r="J74" s="6">
        <v>59231</v>
      </c>
      <c r="K74" s="6">
        <v>0</v>
      </c>
      <c r="L74" s="6">
        <v>3</v>
      </c>
      <c r="M74" s="6" t="s">
        <v>143</v>
      </c>
      <c r="N74" s="6" t="s">
        <v>204</v>
      </c>
      <c r="O74" s="6">
        <v>98052</v>
      </c>
      <c r="P74" s="7">
        <v>31047</v>
      </c>
      <c r="Q74" s="8">
        <v>40</v>
      </c>
      <c r="R74" s="8" t="s">
        <v>41</v>
      </c>
      <c r="S74" s="6" t="s">
        <v>64</v>
      </c>
      <c r="T74" s="6" t="s">
        <v>43</v>
      </c>
      <c r="U74" s="6" t="s">
        <v>44</v>
      </c>
      <c r="V74" s="6" t="s">
        <v>92</v>
      </c>
      <c r="W74" s="6" t="s">
        <v>46</v>
      </c>
      <c r="X74" s="7">
        <v>40959</v>
      </c>
      <c r="Y74" s="8">
        <f t="shared" ca="1" si="1"/>
        <v>14</v>
      </c>
      <c r="Z74" s="7"/>
      <c r="AA74" s="6" t="s">
        <v>47</v>
      </c>
      <c r="AB74" s="6" t="s">
        <v>48</v>
      </c>
      <c r="AC74" s="6" t="s">
        <v>145</v>
      </c>
      <c r="AD74" s="6" t="s">
        <v>146</v>
      </c>
      <c r="AE74" s="6">
        <v>17</v>
      </c>
      <c r="AF74" s="6" t="s">
        <v>205</v>
      </c>
      <c r="AG74" s="6" t="s">
        <v>195</v>
      </c>
      <c r="AH74" s="6">
        <v>2.2999999999999998</v>
      </c>
      <c r="AI74" s="6">
        <v>1</v>
      </c>
      <c r="AJ74" s="6">
        <v>0</v>
      </c>
      <c r="AK74" s="7">
        <v>43494</v>
      </c>
      <c r="AL74" s="6">
        <v>17</v>
      </c>
    </row>
    <row r="75" spans="1:38" x14ac:dyDescent="0.35">
      <c r="A75" s="6" t="s">
        <v>206</v>
      </c>
      <c r="B75" s="6">
        <v>10284</v>
      </c>
      <c r="C75" s="6">
        <v>1</v>
      </c>
      <c r="D75" s="6">
        <v>1</v>
      </c>
      <c r="E75" s="6">
        <v>0</v>
      </c>
      <c r="F75" s="6">
        <v>1</v>
      </c>
      <c r="G75" s="6">
        <v>5</v>
      </c>
      <c r="H75" s="6">
        <v>2</v>
      </c>
      <c r="I75" s="6">
        <v>0</v>
      </c>
      <c r="J75" s="6">
        <v>61584</v>
      </c>
      <c r="K75" s="6">
        <v>0</v>
      </c>
      <c r="L75" s="6">
        <v>19</v>
      </c>
      <c r="M75" s="6" t="s">
        <v>39</v>
      </c>
      <c r="N75" s="6" t="s">
        <v>40</v>
      </c>
      <c r="O75" s="6">
        <v>2351</v>
      </c>
      <c r="P75" s="7">
        <v>30154</v>
      </c>
      <c r="Q75" s="8">
        <v>43</v>
      </c>
      <c r="R75" s="8" t="s">
        <v>41</v>
      </c>
      <c r="S75" s="6" t="s">
        <v>64</v>
      </c>
      <c r="T75" s="6" t="s">
        <v>55</v>
      </c>
      <c r="U75" s="6" t="s">
        <v>44</v>
      </c>
      <c r="V75" s="6" t="s">
        <v>45</v>
      </c>
      <c r="W75" s="6" t="s">
        <v>85</v>
      </c>
      <c r="X75" s="7">
        <v>41456</v>
      </c>
      <c r="Y75" s="8">
        <f t="shared" ca="1" si="1"/>
        <v>13</v>
      </c>
      <c r="Z75" s="7"/>
      <c r="AA75" s="6" t="s">
        <v>47</v>
      </c>
      <c r="AB75" s="6" t="s">
        <v>48</v>
      </c>
      <c r="AC75" s="6" t="s">
        <v>49</v>
      </c>
      <c r="AD75" s="6" t="s">
        <v>86</v>
      </c>
      <c r="AE75" s="6">
        <v>12</v>
      </c>
      <c r="AF75" s="6" t="s">
        <v>60</v>
      </c>
      <c r="AG75" s="6" t="s">
        <v>122</v>
      </c>
      <c r="AH75" s="6">
        <v>3.88</v>
      </c>
      <c r="AI75" s="6">
        <v>4</v>
      </c>
      <c r="AJ75" s="6">
        <v>0</v>
      </c>
      <c r="AK75" s="7">
        <v>43483</v>
      </c>
      <c r="AL75" s="6">
        <v>6</v>
      </c>
    </row>
    <row r="76" spans="1:38" x14ac:dyDescent="0.35">
      <c r="A76" s="6" t="s">
        <v>207</v>
      </c>
      <c r="B76" s="6">
        <v>10207</v>
      </c>
      <c r="C76" s="6">
        <v>0</v>
      </c>
      <c r="D76" s="6">
        <v>0</v>
      </c>
      <c r="E76" s="6">
        <v>0</v>
      </c>
      <c r="F76" s="6">
        <v>1</v>
      </c>
      <c r="G76" s="6">
        <v>5</v>
      </c>
      <c r="H76" s="6">
        <v>3</v>
      </c>
      <c r="I76" s="6">
        <v>0</v>
      </c>
      <c r="J76" s="6">
        <v>46335</v>
      </c>
      <c r="K76" s="6">
        <v>0</v>
      </c>
      <c r="L76" s="6">
        <v>19</v>
      </c>
      <c r="M76" s="6" t="s">
        <v>39</v>
      </c>
      <c r="N76" s="6" t="s">
        <v>40</v>
      </c>
      <c r="O76" s="6">
        <v>2125</v>
      </c>
      <c r="P76" s="7">
        <v>31075</v>
      </c>
      <c r="Q76" s="8">
        <v>40</v>
      </c>
      <c r="R76" s="8" t="s">
        <v>41</v>
      </c>
      <c r="S76" s="6" t="s">
        <v>64</v>
      </c>
      <c r="T76" s="6" t="s">
        <v>43</v>
      </c>
      <c r="U76" s="6" t="s">
        <v>44</v>
      </c>
      <c r="V76" s="6" t="s">
        <v>92</v>
      </c>
      <c r="W76" s="6" t="s">
        <v>46</v>
      </c>
      <c r="X76" s="7">
        <v>40943</v>
      </c>
      <c r="Y76" s="8">
        <f t="shared" ca="1" si="1"/>
        <v>14</v>
      </c>
      <c r="Z76" s="7"/>
      <c r="AA76" s="6" t="s">
        <v>47</v>
      </c>
      <c r="AB76" s="6" t="s">
        <v>48</v>
      </c>
      <c r="AC76" s="6" t="s">
        <v>49</v>
      </c>
      <c r="AD76" s="6" t="s">
        <v>94</v>
      </c>
      <c r="AE76" s="6">
        <v>14</v>
      </c>
      <c r="AF76" s="6" t="s">
        <v>121</v>
      </c>
      <c r="AG76" s="6" t="s">
        <v>61</v>
      </c>
      <c r="AH76" s="6">
        <v>3.4</v>
      </c>
      <c r="AI76" s="6">
        <v>5</v>
      </c>
      <c r="AJ76" s="6">
        <v>0</v>
      </c>
      <c r="AK76" s="7">
        <v>43515</v>
      </c>
      <c r="AL76" s="6">
        <v>15</v>
      </c>
    </row>
    <row r="77" spans="1:38" x14ac:dyDescent="0.35">
      <c r="A77" s="6" t="s">
        <v>208</v>
      </c>
      <c r="B77" s="6">
        <v>10133</v>
      </c>
      <c r="C77" s="6">
        <v>1</v>
      </c>
      <c r="D77" s="6">
        <v>1</v>
      </c>
      <c r="E77" s="6">
        <v>0</v>
      </c>
      <c r="F77" s="6">
        <v>1</v>
      </c>
      <c r="G77" s="6">
        <v>3</v>
      </c>
      <c r="H77" s="6">
        <v>3</v>
      </c>
      <c r="I77" s="6">
        <v>0</v>
      </c>
      <c r="J77" s="6">
        <v>70621</v>
      </c>
      <c r="K77" s="6">
        <v>0</v>
      </c>
      <c r="L77" s="6">
        <v>14</v>
      </c>
      <c r="M77" s="6" t="s">
        <v>89</v>
      </c>
      <c r="N77" s="6" t="s">
        <v>40</v>
      </c>
      <c r="O77" s="6">
        <v>2119</v>
      </c>
      <c r="P77" s="7">
        <v>26811</v>
      </c>
      <c r="Q77" s="8">
        <v>52</v>
      </c>
      <c r="R77" s="8" t="s">
        <v>41</v>
      </c>
      <c r="S77" s="6" t="s">
        <v>64</v>
      </c>
      <c r="T77" s="6" t="s">
        <v>55</v>
      </c>
      <c r="U77" s="6" t="s">
        <v>44</v>
      </c>
      <c r="V77" s="6" t="s">
        <v>45</v>
      </c>
      <c r="W77" s="6" t="s">
        <v>46</v>
      </c>
      <c r="X77" s="7">
        <v>42125</v>
      </c>
      <c r="Y77" s="8">
        <f t="shared" ca="1" si="1"/>
        <v>11</v>
      </c>
      <c r="Z77" s="7"/>
      <c r="AA77" s="6" t="s">
        <v>47</v>
      </c>
      <c r="AB77" s="6" t="s">
        <v>48</v>
      </c>
      <c r="AC77" s="6" t="s">
        <v>58</v>
      </c>
      <c r="AD77" s="6" t="s">
        <v>90</v>
      </c>
      <c r="AE77" s="6">
        <v>7</v>
      </c>
      <c r="AF77" s="6" t="s">
        <v>83</v>
      </c>
      <c r="AG77" s="6" t="s">
        <v>61</v>
      </c>
      <c r="AH77" s="6">
        <v>4.1100000000000003</v>
      </c>
      <c r="AI77" s="6">
        <v>4</v>
      </c>
      <c r="AJ77" s="6">
        <v>6</v>
      </c>
      <c r="AK77" s="7">
        <v>43521</v>
      </c>
      <c r="AL77" s="6">
        <v>16</v>
      </c>
    </row>
    <row r="78" spans="1:38" x14ac:dyDescent="0.35">
      <c r="A78" s="6" t="s">
        <v>209</v>
      </c>
      <c r="B78" s="6">
        <v>10028</v>
      </c>
      <c r="C78" s="6">
        <v>0</v>
      </c>
      <c r="D78" s="6">
        <v>0</v>
      </c>
      <c r="E78" s="6">
        <v>1</v>
      </c>
      <c r="F78" s="6">
        <v>1</v>
      </c>
      <c r="G78" s="6">
        <v>3</v>
      </c>
      <c r="H78" s="6">
        <v>4</v>
      </c>
      <c r="I78" s="6">
        <v>0</v>
      </c>
      <c r="J78" s="6">
        <v>138888</v>
      </c>
      <c r="K78" s="6">
        <v>0</v>
      </c>
      <c r="L78" s="6">
        <v>13</v>
      </c>
      <c r="M78" s="6" t="s">
        <v>210</v>
      </c>
      <c r="N78" s="6" t="s">
        <v>40</v>
      </c>
      <c r="O78" s="6">
        <v>1886</v>
      </c>
      <c r="P78" s="7">
        <v>26624</v>
      </c>
      <c r="Q78" s="8">
        <v>52</v>
      </c>
      <c r="R78" s="8" t="s">
        <v>41</v>
      </c>
      <c r="S78" s="6" t="s">
        <v>42</v>
      </c>
      <c r="T78" s="6" t="s">
        <v>43</v>
      </c>
      <c r="U78" s="6" t="s">
        <v>44</v>
      </c>
      <c r="V78" s="6" t="s">
        <v>45</v>
      </c>
      <c r="W78" s="6" t="s">
        <v>85</v>
      </c>
      <c r="X78" s="7">
        <v>41760</v>
      </c>
      <c r="Y78" s="8">
        <f t="shared" ca="1" si="1"/>
        <v>12</v>
      </c>
      <c r="Z78" s="7"/>
      <c r="AA78" s="6" t="s">
        <v>47</v>
      </c>
      <c r="AB78" s="6" t="s">
        <v>48</v>
      </c>
      <c r="AC78" s="6" t="s">
        <v>58</v>
      </c>
      <c r="AD78" s="6" t="s">
        <v>151</v>
      </c>
      <c r="AE78" s="6">
        <v>5</v>
      </c>
      <c r="AF78" s="6" t="s">
        <v>60</v>
      </c>
      <c r="AG78" s="6" t="s">
        <v>52</v>
      </c>
      <c r="AH78" s="6">
        <v>4.3</v>
      </c>
      <c r="AI78" s="6">
        <v>5</v>
      </c>
      <c r="AJ78" s="6">
        <v>5</v>
      </c>
      <c r="AK78" s="7">
        <v>43556</v>
      </c>
      <c r="AL78" s="6">
        <v>4</v>
      </c>
    </row>
    <row r="79" spans="1:38" x14ac:dyDescent="0.35">
      <c r="A79" s="6" t="s">
        <v>211</v>
      </c>
      <c r="B79" s="6">
        <v>10006</v>
      </c>
      <c r="C79" s="6">
        <v>0</v>
      </c>
      <c r="D79" s="6">
        <v>0</v>
      </c>
      <c r="E79" s="6">
        <v>0</v>
      </c>
      <c r="F79" s="6">
        <v>1</v>
      </c>
      <c r="G79" s="6">
        <v>6</v>
      </c>
      <c r="H79" s="6">
        <v>4</v>
      </c>
      <c r="I79" s="6">
        <v>0</v>
      </c>
      <c r="J79" s="6">
        <v>74241</v>
      </c>
      <c r="K79" s="6">
        <v>0</v>
      </c>
      <c r="L79" s="6">
        <v>3</v>
      </c>
      <c r="M79" s="6" t="s">
        <v>143</v>
      </c>
      <c r="N79" s="6" t="s">
        <v>212</v>
      </c>
      <c r="O79" s="6">
        <v>90007</v>
      </c>
      <c r="P79" s="7">
        <v>31528</v>
      </c>
      <c r="Q79" s="8">
        <v>39</v>
      </c>
      <c r="R79" s="8" t="s">
        <v>41</v>
      </c>
      <c r="S79" s="6" t="s">
        <v>64</v>
      </c>
      <c r="T79" s="6" t="s">
        <v>43</v>
      </c>
      <c r="U79" s="6" t="s">
        <v>44</v>
      </c>
      <c r="V79" s="6" t="s">
        <v>45</v>
      </c>
      <c r="W79" s="6" t="s">
        <v>46</v>
      </c>
      <c r="X79" s="7">
        <v>40817</v>
      </c>
      <c r="Y79" s="8">
        <f t="shared" ca="1" si="1"/>
        <v>14</v>
      </c>
      <c r="Z79" s="7"/>
      <c r="AA79" s="6" t="s">
        <v>47</v>
      </c>
      <c r="AB79" s="6" t="s">
        <v>48</v>
      </c>
      <c r="AC79" s="6" t="s">
        <v>145</v>
      </c>
      <c r="AD79" s="6" t="s">
        <v>164</v>
      </c>
      <c r="AE79" s="6">
        <v>21</v>
      </c>
      <c r="AF79" s="6" t="s">
        <v>60</v>
      </c>
      <c r="AG79" s="6" t="s">
        <v>52</v>
      </c>
      <c r="AH79" s="6">
        <v>4.7699999999999996</v>
      </c>
      <c r="AI79" s="6">
        <v>5</v>
      </c>
      <c r="AJ79" s="6">
        <v>0</v>
      </c>
      <c r="AK79" s="7">
        <v>43492</v>
      </c>
      <c r="AL79" s="6">
        <v>14</v>
      </c>
    </row>
    <row r="80" spans="1:38" x14ac:dyDescent="0.35">
      <c r="A80" s="6" t="s">
        <v>213</v>
      </c>
      <c r="B80" s="6">
        <v>10105</v>
      </c>
      <c r="C80" s="6">
        <v>0</v>
      </c>
      <c r="D80" s="6">
        <v>0</v>
      </c>
      <c r="E80" s="6">
        <v>0</v>
      </c>
      <c r="F80" s="6">
        <v>1</v>
      </c>
      <c r="G80" s="6">
        <v>5</v>
      </c>
      <c r="H80" s="6">
        <v>3</v>
      </c>
      <c r="I80" s="6">
        <v>0</v>
      </c>
      <c r="J80" s="6">
        <v>75188</v>
      </c>
      <c r="K80" s="6">
        <v>0</v>
      </c>
      <c r="L80" s="6">
        <v>18</v>
      </c>
      <c r="M80" s="6" t="s">
        <v>133</v>
      </c>
      <c r="N80" s="6" t="s">
        <v>40</v>
      </c>
      <c r="O80" s="6">
        <v>1731</v>
      </c>
      <c r="P80" s="7">
        <v>32128</v>
      </c>
      <c r="Q80" s="8">
        <v>37</v>
      </c>
      <c r="R80" s="8" t="s">
        <v>41</v>
      </c>
      <c r="S80" s="6" t="s">
        <v>64</v>
      </c>
      <c r="T80" s="6" t="s">
        <v>43</v>
      </c>
      <c r="U80" s="6" t="s">
        <v>44</v>
      </c>
      <c r="V80" s="6" t="s">
        <v>45</v>
      </c>
      <c r="W80" s="6" t="s">
        <v>46</v>
      </c>
      <c r="X80" s="7">
        <v>41900</v>
      </c>
      <c r="Y80" s="8">
        <f t="shared" ca="1" si="1"/>
        <v>11</v>
      </c>
      <c r="Z80" s="7"/>
      <c r="AA80" s="6" t="s">
        <v>47</v>
      </c>
      <c r="AB80" s="6" t="s">
        <v>48</v>
      </c>
      <c r="AC80" s="6" t="s">
        <v>49</v>
      </c>
      <c r="AD80" s="6" t="s">
        <v>135</v>
      </c>
      <c r="AE80" s="6">
        <v>2</v>
      </c>
      <c r="AF80" s="6" t="s">
        <v>73</v>
      </c>
      <c r="AG80" s="6" t="s">
        <v>61</v>
      </c>
      <c r="AH80" s="6">
        <v>4.5199999999999996</v>
      </c>
      <c r="AI80" s="6">
        <v>4</v>
      </c>
      <c r="AJ80" s="6">
        <v>0</v>
      </c>
      <c r="AK80" s="7">
        <v>43480</v>
      </c>
      <c r="AL80" s="6">
        <v>4</v>
      </c>
    </row>
    <row r="81" spans="1:38" x14ac:dyDescent="0.35">
      <c r="A81" s="6" t="s">
        <v>214</v>
      </c>
      <c r="B81" s="6">
        <v>10211</v>
      </c>
      <c r="C81" s="6">
        <v>1</v>
      </c>
      <c r="D81" s="6">
        <v>1</v>
      </c>
      <c r="E81" s="6">
        <v>0</v>
      </c>
      <c r="F81" s="6">
        <v>1</v>
      </c>
      <c r="G81" s="6">
        <v>5</v>
      </c>
      <c r="H81" s="6">
        <v>3</v>
      </c>
      <c r="I81" s="6">
        <v>0</v>
      </c>
      <c r="J81" s="6">
        <v>62514</v>
      </c>
      <c r="K81" s="6">
        <v>0</v>
      </c>
      <c r="L81" s="6">
        <v>19</v>
      </c>
      <c r="M81" s="6" t="s">
        <v>39</v>
      </c>
      <c r="N81" s="6" t="s">
        <v>40</v>
      </c>
      <c r="O81" s="6">
        <v>1749</v>
      </c>
      <c r="P81" s="7">
        <v>29690</v>
      </c>
      <c r="Q81" s="8">
        <v>44</v>
      </c>
      <c r="R81" s="8" t="s">
        <v>41</v>
      </c>
      <c r="S81" s="6" t="s">
        <v>64</v>
      </c>
      <c r="T81" s="6" t="s">
        <v>55</v>
      </c>
      <c r="U81" s="6" t="s">
        <v>44</v>
      </c>
      <c r="V81" s="6" t="s">
        <v>45</v>
      </c>
      <c r="W81" s="6" t="s">
        <v>46</v>
      </c>
      <c r="X81" s="7">
        <v>40294</v>
      </c>
      <c r="Y81" s="8">
        <f t="shared" ca="1" si="1"/>
        <v>16</v>
      </c>
      <c r="Z81" s="7"/>
      <c r="AA81" s="6" t="s">
        <v>47</v>
      </c>
      <c r="AB81" s="6" t="s">
        <v>48</v>
      </c>
      <c r="AC81" s="6" t="s">
        <v>49</v>
      </c>
      <c r="AD81" s="6" t="s">
        <v>82</v>
      </c>
      <c r="AE81" s="6">
        <v>19</v>
      </c>
      <c r="AF81" s="6" t="s">
        <v>73</v>
      </c>
      <c r="AG81" s="6" t="s">
        <v>61</v>
      </c>
      <c r="AH81" s="6">
        <v>2.9</v>
      </c>
      <c r="AI81" s="6">
        <v>3</v>
      </c>
      <c r="AJ81" s="6">
        <v>0</v>
      </c>
      <c r="AK81" s="7">
        <v>43486</v>
      </c>
      <c r="AL81" s="6">
        <v>6</v>
      </c>
    </row>
    <row r="82" spans="1:38" x14ac:dyDescent="0.35">
      <c r="A82" s="6" t="s">
        <v>215</v>
      </c>
      <c r="B82" s="6">
        <v>10064</v>
      </c>
      <c r="C82" s="6">
        <v>1</v>
      </c>
      <c r="D82" s="6">
        <v>1</v>
      </c>
      <c r="E82" s="6">
        <v>0</v>
      </c>
      <c r="F82" s="6">
        <v>5</v>
      </c>
      <c r="G82" s="6">
        <v>5</v>
      </c>
      <c r="H82" s="6">
        <v>3</v>
      </c>
      <c r="I82" s="6">
        <v>0</v>
      </c>
      <c r="J82" s="6">
        <v>60070</v>
      </c>
      <c r="K82" s="6">
        <v>1</v>
      </c>
      <c r="L82" s="6">
        <v>19</v>
      </c>
      <c r="M82" s="6" t="s">
        <v>39</v>
      </c>
      <c r="N82" s="6" t="s">
        <v>40</v>
      </c>
      <c r="O82" s="6">
        <v>2343</v>
      </c>
      <c r="P82" s="7">
        <v>32282</v>
      </c>
      <c r="Q82" s="8">
        <v>37</v>
      </c>
      <c r="R82" s="8" t="s">
        <v>41</v>
      </c>
      <c r="S82" s="6" t="s">
        <v>64</v>
      </c>
      <c r="T82" s="6" t="s">
        <v>55</v>
      </c>
      <c r="U82" s="6" t="s">
        <v>44</v>
      </c>
      <c r="V82" s="6" t="s">
        <v>45</v>
      </c>
      <c r="W82" s="6" t="s">
        <v>46</v>
      </c>
      <c r="X82" s="7">
        <v>40637</v>
      </c>
      <c r="Y82" s="8">
        <f t="shared" ca="1" si="1"/>
        <v>15</v>
      </c>
      <c r="Z82" s="7">
        <v>42892</v>
      </c>
      <c r="AA82" s="6" t="s">
        <v>216</v>
      </c>
      <c r="AB82" s="6" t="s">
        <v>57</v>
      </c>
      <c r="AC82" s="6" t="s">
        <v>49</v>
      </c>
      <c r="AD82" s="6" t="s">
        <v>66</v>
      </c>
      <c r="AE82" s="6">
        <v>20</v>
      </c>
      <c r="AF82" s="6" t="s">
        <v>73</v>
      </c>
      <c r="AG82" s="6" t="s">
        <v>61</v>
      </c>
      <c r="AH82" s="6">
        <v>5</v>
      </c>
      <c r="AI82" s="6">
        <v>3</v>
      </c>
      <c r="AJ82" s="6">
        <v>0</v>
      </c>
      <c r="AK82" s="7">
        <v>42982</v>
      </c>
      <c r="AL82" s="6">
        <v>7</v>
      </c>
    </row>
    <row r="83" spans="1:38" x14ac:dyDescent="0.35">
      <c r="A83" s="6" t="s">
        <v>217</v>
      </c>
      <c r="B83" s="6">
        <v>10247</v>
      </c>
      <c r="C83" s="6">
        <v>0</v>
      </c>
      <c r="D83" s="6">
        <v>0</v>
      </c>
      <c r="E83" s="6">
        <v>1</v>
      </c>
      <c r="F83" s="6">
        <v>1</v>
      </c>
      <c r="G83" s="6">
        <v>5</v>
      </c>
      <c r="H83" s="6">
        <v>3</v>
      </c>
      <c r="I83" s="6">
        <v>0</v>
      </c>
      <c r="J83" s="6">
        <v>48888</v>
      </c>
      <c r="K83" s="6">
        <v>0</v>
      </c>
      <c r="L83" s="6">
        <v>19</v>
      </c>
      <c r="M83" s="6" t="s">
        <v>39</v>
      </c>
      <c r="N83" s="6" t="s">
        <v>40</v>
      </c>
      <c r="O83" s="6">
        <v>2026</v>
      </c>
      <c r="P83" s="7">
        <v>23314</v>
      </c>
      <c r="Q83" s="8">
        <v>61</v>
      </c>
      <c r="R83" s="8" t="s">
        <v>96</v>
      </c>
      <c r="S83" s="6" t="s">
        <v>42</v>
      </c>
      <c r="T83" s="6" t="s">
        <v>43</v>
      </c>
      <c r="U83" s="6" t="s">
        <v>44</v>
      </c>
      <c r="V83" s="6" t="s">
        <v>45</v>
      </c>
      <c r="W83" s="6" t="s">
        <v>46</v>
      </c>
      <c r="X83" s="7">
        <v>41923</v>
      </c>
      <c r="Y83" s="8">
        <f t="shared" ca="1" si="1"/>
        <v>11</v>
      </c>
      <c r="Z83" s="7"/>
      <c r="AA83" s="6" t="s">
        <v>47</v>
      </c>
      <c r="AB83" s="6" t="s">
        <v>48</v>
      </c>
      <c r="AC83" s="6" t="s">
        <v>49</v>
      </c>
      <c r="AD83" s="6" t="s">
        <v>103</v>
      </c>
      <c r="AE83" s="6">
        <v>18</v>
      </c>
      <c r="AF83" s="6" t="s">
        <v>51</v>
      </c>
      <c r="AG83" s="6" t="s">
        <v>61</v>
      </c>
      <c r="AH83" s="6">
        <v>4.7</v>
      </c>
      <c r="AI83" s="6">
        <v>5</v>
      </c>
      <c r="AJ83" s="6">
        <v>0</v>
      </c>
      <c r="AK83" s="7">
        <v>43509</v>
      </c>
      <c r="AL83" s="6">
        <v>8</v>
      </c>
    </row>
    <row r="84" spans="1:38" x14ac:dyDescent="0.35">
      <c r="A84" s="6" t="s">
        <v>218</v>
      </c>
      <c r="B84" s="6">
        <v>10235</v>
      </c>
      <c r="C84" s="6">
        <v>1</v>
      </c>
      <c r="D84" s="6">
        <v>1</v>
      </c>
      <c r="E84" s="6">
        <v>1</v>
      </c>
      <c r="F84" s="6">
        <v>1</v>
      </c>
      <c r="G84" s="6">
        <v>5</v>
      </c>
      <c r="H84" s="6">
        <v>3</v>
      </c>
      <c r="I84" s="6">
        <v>0</v>
      </c>
      <c r="J84" s="6">
        <v>54285</v>
      </c>
      <c r="K84" s="6">
        <v>0</v>
      </c>
      <c r="L84" s="6">
        <v>19</v>
      </c>
      <c r="M84" s="6" t="s">
        <v>39</v>
      </c>
      <c r="N84" s="6" t="s">
        <v>40</v>
      </c>
      <c r="O84" s="6">
        <v>2045</v>
      </c>
      <c r="P84" s="7">
        <v>30910</v>
      </c>
      <c r="Q84" s="8">
        <v>40</v>
      </c>
      <c r="R84" s="8" t="s">
        <v>41</v>
      </c>
      <c r="S84" s="6" t="s">
        <v>42</v>
      </c>
      <c r="T84" s="6" t="s">
        <v>55</v>
      </c>
      <c r="U84" s="6" t="s">
        <v>44</v>
      </c>
      <c r="V84" s="6" t="s">
        <v>45</v>
      </c>
      <c r="W84" s="6" t="s">
        <v>46</v>
      </c>
      <c r="X84" s="7">
        <v>41729</v>
      </c>
      <c r="Y84" s="8">
        <f t="shared" ca="1" si="1"/>
        <v>12</v>
      </c>
      <c r="Z84" s="7"/>
      <c r="AA84" s="6" t="s">
        <v>47</v>
      </c>
      <c r="AB84" s="6" t="s">
        <v>48</v>
      </c>
      <c r="AC84" s="6" t="s">
        <v>49</v>
      </c>
      <c r="AD84" s="6" t="s">
        <v>103</v>
      </c>
      <c r="AE84" s="6">
        <v>18</v>
      </c>
      <c r="AF84" s="6" t="s">
        <v>83</v>
      </c>
      <c r="AG84" s="6" t="s">
        <v>61</v>
      </c>
      <c r="AH84" s="6">
        <v>4.2</v>
      </c>
      <c r="AI84" s="6">
        <v>3</v>
      </c>
      <c r="AJ84" s="6">
        <v>0</v>
      </c>
      <c r="AK84" s="7">
        <v>43770</v>
      </c>
      <c r="AL84" s="6">
        <v>3</v>
      </c>
    </row>
    <row r="85" spans="1:38" x14ac:dyDescent="0.35">
      <c r="A85" s="6" t="s">
        <v>219</v>
      </c>
      <c r="B85" s="6">
        <v>10299</v>
      </c>
      <c r="C85" s="6">
        <v>0</v>
      </c>
      <c r="D85" s="6">
        <v>3</v>
      </c>
      <c r="E85" s="6">
        <v>0</v>
      </c>
      <c r="F85" s="6">
        <v>1</v>
      </c>
      <c r="G85" s="6">
        <v>5</v>
      </c>
      <c r="H85" s="6">
        <v>1</v>
      </c>
      <c r="I85" s="6">
        <v>0</v>
      </c>
      <c r="J85" s="6">
        <v>56847</v>
      </c>
      <c r="K85" s="6">
        <v>0</v>
      </c>
      <c r="L85" s="6">
        <v>20</v>
      </c>
      <c r="M85" s="6" t="s">
        <v>63</v>
      </c>
      <c r="N85" s="6" t="s">
        <v>40</v>
      </c>
      <c r="O85" s="6">
        <v>2133</v>
      </c>
      <c r="P85" s="7">
        <v>27667</v>
      </c>
      <c r="Q85" s="8">
        <v>49</v>
      </c>
      <c r="R85" s="8" t="s">
        <v>41</v>
      </c>
      <c r="S85" s="6" t="s">
        <v>64</v>
      </c>
      <c r="T85" s="6" t="s">
        <v>141</v>
      </c>
      <c r="U85" s="6" t="s">
        <v>44</v>
      </c>
      <c r="V85" s="6" t="s">
        <v>45</v>
      </c>
      <c r="W85" s="6" t="s">
        <v>46</v>
      </c>
      <c r="X85" s="7">
        <v>41827</v>
      </c>
      <c r="Y85" s="8">
        <f t="shared" ca="1" si="1"/>
        <v>12</v>
      </c>
      <c r="Z85" s="7"/>
      <c r="AA85" s="6" t="s">
        <v>47</v>
      </c>
      <c r="AB85" s="6" t="s">
        <v>48</v>
      </c>
      <c r="AC85" s="6" t="s">
        <v>49</v>
      </c>
      <c r="AD85" s="6" t="s">
        <v>50</v>
      </c>
      <c r="AE85" s="6">
        <v>22</v>
      </c>
      <c r="AF85" s="6" t="s">
        <v>60</v>
      </c>
      <c r="AG85" s="6" t="s">
        <v>195</v>
      </c>
      <c r="AH85" s="6">
        <v>3</v>
      </c>
      <c r="AI85" s="6">
        <v>1</v>
      </c>
      <c r="AJ85" s="6">
        <v>0</v>
      </c>
      <c r="AK85" s="7">
        <v>43521</v>
      </c>
      <c r="AL85" s="6">
        <v>5</v>
      </c>
    </row>
    <row r="86" spans="1:38" x14ac:dyDescent="0.35">
      <c r="A86" s="6" t="s">
        <v>220</v>
      </c>
      <c r="B86" s="6">
        <v>10280</v>
      </c>
      <c r="C86" s="6">
        <v>0</v>
      </c>
      <c r="D86" s="6">
        <v>0</v>
      </c>
      <c r="E86" s="6">
        <v>1</v>
      </c>
      <c r="F86" s="6">
        <v>4</v>
      </c>
      <c r="G86" s="6">
        <v>5</v>
      </c>
      <c r="H86" s="6">
        <v>2</v>
      </c>
      <c r="I86" s="6">
        <v>0</v>
      </c>
      <c r="J86" s="6">
        <v>60340</v>
      </c>
      <c r="K86" s="6">
        <v>1</v>
      </c>
      <c r="L86" s="6">
        <v>19</v>
      </c>
      <c r="M86" s="6" t="s">
        <v>39</v>
      </c>
      <c r="N86" s="6" t="s">
        <v>40</v>
      </c>
      <c r="O86" s="6">
        <v>2129</v>
      </c>
      <c r="P86" s="7">
        <v>30188</v>
      </c>
      <c r="Q86" s="8">
        <v>42</v>
      </c>
      <c r="R86" s="8" t="s">
        <v>41</v>
      </c>
      <c r="S86" s="6" t="s">
        <v>42</v>
      </c>
      <c r="T86" s="6" t="s">
        <v>43</v>
      </c>
      <c r="U86" s="6" t="s">
        <v>44</v>
      </c>
      <c r="V86" s="6" t="s">
        <v>45</v>
      </c>
      <c r="W86" s="6" t="s">
        <v>46</v>
      </c>
      <c r="X86" s="7">
        <v>40943</v>
      </c>
      <c r="Y86" s="8">
        <f t="shared" ca="1" si="1"/>
        <v>14</v>
      </c>
      <c r="Z86" s="7">
        <v>43370</v>
      </c>
      <c r="AA86" s="6" t="s">
        <v>107</v>
      </c>
      <c r="AB86" s="6" t="s">
        <v>108</v>
      </c>
      <c r="AC86" s="6" t="s">
        <v>49</v>
      </c>
      <c r="AD86" s="6" t="s">
        <v>50</v>
      </c>
      <c r="AE86" s="6">
        <v>22</v>
      </c>
      <c r="AF86" s="6" t="s">
        <v>73</v>
      </c>
      <c r="AG86" s="6" t="s">
        <v>122</v>
      </c>
      <c r="AH86" s="6">
        <v>5</v>
      </c>
      <c r="AI86" s="6">
        <v>4</v>
      </c>
      <c r="AJ86" s="6">
        <v>0</v>
      </c>
      <c r="AK86" s="7">
        <v>43438</v>
      </c>
      <c r="AL86" s="6">
        <v>16</v>
      </c>
    </row>
    <row r="87" spans="1:38" x14ac:dyDescent="0.35">
      <c r="A87" s="6" t="s">
        <v>221</v>
      </c>
      <c r="B87" s="6">
        <v>10296</v>
      </c>
      <c r="C87" s="6">
        <v>0</v>
      </c>
      <c r="D87" s="6">
        <v>0</v>
      </c>
      <c r="E87" s="6">
        <v>0</v>
      </c>
      <c r="F87" s="6">
        <v>4</v>
      </c>
      <c r="G87" s="6">
        <v>5</v>
      </c>
      <c r="H87" s="6">
        <v>2</v>
      </c>
      <c r="I87" s="6">
        <v>0</v>
      </c>
      <c r="J87" s="6">
        <v>59124</v>
      </c>
      <c r="K87" s="6">
        <v>1</v>
      </c>
      <c r="L87" s="6">
        <v>19</v>
      </c>
      <c r="M87" s="6" t="s">
        <v>39</v>
      </c>
      <c r="N87" s="6" t="s">
        <v>40</v>
      </c>
      <c r="O87" s="6">
        <v>2458</v>
      </c>
      <c r="P87" s="7">
        <v>31120</v>
      </c>
      <c r="Q87" s="8">
        <v>40</v>
      </c>
      <c r="R87" s="8" t="s">
        <v>41</v>
      </c>
      <c r="S87" s="6" t="s">
        <v>64</v>
      </c>
      <c r="T87" s="6" t="s">
        <v>43</v>
      </c>
      <c r="U87" s="6" t="s">
        <v>44</v>
      </c>
      <c r="V87" s="6" t="s">
        <v>45</v>
      </c>
      <c r="W87" s="6" t="s">
        <v>46</v>
      </c>
      <c r="X87" s="7">
        <v>41687</v>
      </c>
      <c r="Y87" s="8">
        <f t="shared" ca="1" si="1"/>
        <v>12</v>
      </c>
      <c r="Z87" s="7">
        <v>43156</v>
      </c>
      <c r="AA87" s="6" t="s">
        <v>222</v>
      </c>
      <c r="AB87" s="6" t="s">
        <v>108</v>
      </c>
      <c r="AC87" s="6" t="s">
        <v>49</v>
      </c>
      <c r="AD87" s="6" t="s">
        <v>68</v>
      </c>
      <c r="AE87" s="6">
        <v>16</v>
      </c>
      <c r="AF87" s="6" t="s">
        <v>73</v>
      </c>
      <c r="AG87" s="6" t="s">
        <v>122</v>
      </c>
      <c r="AH87" s="6">
        <v>2.2999999999999998</v>
      </c>
      <c r="AI87" s="6">
        <v>3</v>
      </c>
      <c r="AJ87" s="6">
        <v>0</v>
      </c>
      <c r="AK87" s="7">
        <v>42750</v>
      </c>
      <c r="AL87" s="6">
        <v>19</v>
      </c>
    </row>
    <row r="88" spans="1:38" x14ac:dyDescent="0.35">
      <c r="A88" s="6" t="s">
        <v>223</v>
      </c>
      <c r="B88" s="6">
        <v>10290</v>
      </c>
      <c r="C88" s="6">
        <v>1</v>
      </c>
      <c r="D88" s="6">
        <v>1</v>
      </c>
      <c r="E88" s="6">
        <v>0</v>
      </c>
      <c r="F88" s="6">
        <v>4</v>
      </c>
      <c r="G88" s="6">
        <v>4</v>
      </c>
      <c r="H88" s="6">
        <v>2</v>
      </c>
      <c r="I88" s="6">
        <v>0</v>
      </c>
      <c r="J88" s="6">
        <v>99280</v>
      </c>
      <c r="K88" s="6">
        <v>1</v>
      </c>
      <c r="L88" s="6">
        <v>24</v>
      </c>
      <c r="M88" s="6" t="s">
        <v>77</v>
      </c>
      <c r="N88" s="6" t="s">
        <v>40</v>
      </c>
      <c r="O88" s="6">
        <v>1749</v>
      </c>
      <c r="P88" s="7">
        <v>28577</v>
      </c>
      <c r="Q88" s="8">
        <v>47</v>
      </c>
      <c r="R88" s="8" t="s">
        <v>41</v>
      </c>
      <c r="S88" s="6" t="s">
        <v>64</v>
      </c>
      <c r="T88" s="6" t="s">
        <v>55</v>
      </c>
      <c r="U88" s="6" t="s">
        <v>44</v>
      </c>
      <c r="V88" s="6" t="s">
        <v>45</v>
      </c>
      <c r="W88" s="6" t="s">
        <v>85</v>
      </c>
      <c r="X88" s="7">
        <v>40579</v>
      </c>
      <c r="Y88" s="8">
        <f t="shared" ca="1" si="1"/>
        <v>15</v>
      </c>
      <c r="Z88" s="7">
        <v>41400</v>
      </c>
      <c r="AA88" s="6" t="s">
        <v>107</v>
      </c>
      <c r="AB88" s="6" t="s">
        <v>108</v>
      </c>
      <c r="AC88" s="6" t="s">
        <v>78</v>
      </c>
      <c r="AD88" s="6" t="s">
        <v>79</v>
      </c>
      <c r="AE88" s="6">
        <v>10</v>
      </c>
      <c r="AF88" s="6" t="s">
        <v>60</v>
      </c>
      <c r="AG88" s="6" t="s">
        <v>122</v>
      </c>
      <c r="AH88" s="6">
        <v>2.1</v>
      </c>
      <c r="AI88" s="6">
        <v>5</v>
      </c>
      <c r="AJ88" s="6">
        <v>4</v>
      </c>
      <c r="AK88" s="7">
        <v>41190</v>
      </c>
      <c r="AL88" s="6">
        <v>19</v>
      </c>
    </row>
    <row r="89" spans="1:38" x14ac:dyDescent="0.35">
      <c r="A89" s="6" t="s">
        <v>224</v>
      </c>
      <c r="B89" s="6">
        <v>10263</v>
      </c>
      <c r="C89" s="6">
        <v>1</v>
      </c>
      <c r="D89" s="6">
        <v>1</v>
      </c>
      <c r="E89" s="6">
        <v>0</v>
      </c>
      <c r="F89" s="6">
        <v>1</v>
      </c>
      <c r="G89" s="6">
        <v>5</v>
      </c>
      <c r="H89" s="6">
        <v>3</v>
      </c>
      <c r="I89" s="6">
        <v>0</v>
      </c>
      <c r="J89" s="6">
        <v>71776</v>
      </c>
      <c r="K89" s="6">
        <v>0</v>
      </c>
      <c r="L89" s="6">
        <v>20</v>
      </c>
      <c r="M89" s="6" t="s">
        <v>63</v>
      </c>
      <c r="N89" s="6" t="s">
        <v>40</v>
      </c>
      <c r="O89" s="6">
        <v>1824</v>
      </c>
      <c r="P89" s="7">
        <v>24852</v>
      </c>
      <c r="Q89" s="8">
        <v>57</v>
      </c>
      <c r="R89" s="8" t="s">
        <v>41</v>
      </c>
      <c r="S89" s="6" t="s">
        <v>64</v>
      </c>
      <c r="T89" s="6" t="s">
        <v>55</v>
      </c>
      <c r="U89" s="6" t="s">
        <v>44</v>
      </c>
      <c r="V89" s="6" t="s">
        <v>45</v>
      </c>
      <c r="W89" s="6" t="s">
        <v>85</v>
      </c>
      <c r="X89" s="7">
        <v>41827</v>
      </c>
      <c r="Y89" s="8">
        <f t="shared" ca="1" si="1"/>
        <v>12</v>
      </c>
      <c r="Z89" s="7"/>
      <c r="AA89" s="6" t="s">
        <v>47</v>
      </c>
      <c r="AB89" s="6" t="s">
        <v>48</v>
      </c>
      <c r="AC89" s="6" t="s">
        <v>49</v>
      </c>
      <c r="AD89" s="6" t="s">
        <v>68</v>
      </c>
      <c r="AE89" s="6">
        <v>16</v>
      </c>
      <c r="AF89" s="6" t="s">
        <v>51</v>
      </c>
      <c r="AG89" s="6" t="s">
        <v>61</v>
      </c>
      <c r="AH89" s="6">
        <v>4.4000000000000004</v>
      </c>
      <c r="AI89" s="6">
        <v>5</v>
      </c>
      <c r="AJ89" s="6">
        <v>0</v>
      </c>
      <c r="AK89" s="7">
        <v>43518</v>
      </c>
      <c r="AL89" s="6">
        <v>17</v>
      </c>
    </row>
    <row r="90" spans="1:38" x14ac:dyDescent="0.35">
      <c r="A90" s="6" t="s">
        <v>225</v>
      </c>
      <c r="B90" s="6">
        <v>10136</v>
      </c>
      <c r="C90" s="6">
        <v>0</v>
      </c>
      <c r="D90" s="6">
        <v>0</v>
      </c>
      <c r="E90" s="6">
        <v>0</v>
      </c>
      <c r="F90" s="6">
        <v>1</v>
      </c>
      <c r="G90" s="6">
        <v>5</v>
      </c>
      <c r="H90" s="6">
        <v>3</v>
      </c>
      <c r="I90" s="6">
        <v>0</v>
      </c>
      <c r="J90" s="6">
        <v>65902</v>
      </c>
      <c r="K90" s="6">
        <v>0</v>
      </c>
      <c r="L90" s="6">
        <v>20</v>
      </c>
      <c r="M90" s="6" t="s">
        <v>63</v>
      </c>
      <c r="N90" s="6" t="s">
        <v>40</v>
      </c>
      <c r="O90" s="6">
        <v>2324</v>
      </c>
      <c r="P90" s="7">
        <v>30452</v>
      </c>
      <c r="Q90" s="8">
        <v>42</v>
      </c>
      <c r="R90" s="8" t="s">
        <v>41</v>
      </c>
      <c r="S90" s="6" t="s">
        <v>64</v>
      </c>
      <c r="T90" s="6" t="s">
        <v>43</v>
      </c>
      <c r="U90" s="6" t="s">
        <v>44</v>
      </c>
      <c r="V90" s="6" t="s">
        <v>45</v>
      </c>
      <c r="W90" s="6" t="s">
        <v>85</v>
      </c>
      <c r="X90" s="7">
        <v>41687</v>
      </c>
      <c r="Y90" s="8">
        <f t="shared" ca="1" si="1"/>
        <v>12</v>
      </c>
      <c r="Z90" s="7"/>
      <c r="AA90" s="6" t="s">
        <v>47</v>
      </c>
      <c r="AB90" s="6" t="s">
        <v>48</v>
      </c>
      <c r="AC90" s="6" t="s">
        <v>49</v>
      </c>
      <c r="AD90" s="6" t="s">
        <v>72</v>
      </c>
      <c r="AE90" s="6"/>
      <c r="AF90" s="6" t="s">
        <v>51</v>
      </c>
      <c r="AG90" s="6" t="s">
        <v>61</v>
      </c>
      <c r="AH90" s="6">
        <v>4</v>
      </c>
      <c r="AI90" s="6">
        <v>4</v>
      </c>
      <c r="AJ90" s="6">
        <v>0</v>
      </c>
      <c r="AK90" s="7">
        <v>43647</v>
      </c>
      <c r="AL90" s="6">
        <v>7</v>
      </c>
    </row>
    <row r="91" spans="1:38" x14ac:dyDescent="0.35">
      <c r="A91" s="6" t="s">
        <v>226</v>
      </c>
      <c r="B91" s="6">
        <v>10189</v>
      </c>
      <c r="C91" s="6">
        <v>1</v>
      </c>
      <c r="D91" s="6">
        <v>1</v>
      </c>
      <c r="E91" s="6">
        <v>0</v>
      </c>
      <c r="F91" s="6">
        <v>5</v>
      </c>
      <c r="G91" s="6">
        <v>5</v>
      </c>
      <c r="H91" s="6">
        <v>3</v>
      </c>
      <c r="I91" s="6">
        <v>0</v>
      </c>
      <c r="J91" s="6">
        <v>57748</v>
      </c>
      <c r="K91" s="6">
        <v>1</v>
      </c>
      <c r="L91" s="6">
        <v>19</v>
      </c>
      <c r="M91" s="6" t="s">
        <v>39</v>
      </c>
      <c r="N91" s="6" t="s">
        <v>40</v>
      </c>
      <c r="O91" s="6">
        <v>2176</v>
      </c>
      <c r="P91" s="7">
        <v>31121</v>
      </c>
      <c r="Q91" s="8">
        <v>40</v>
      </c>
      <c r="R91" s="8" t="s">
        <v>41</v>
      </c>
      <c r="S91" s="6" t="s">
        <v>64</v>
      </c>
      <c r="T91" s="6" t="s">
        <v>55</v>
      </c>
      <c r="U91" s="6" t="s">
        <v>44</v>
      </c>
      <c r="V91" s="6" t="s">
        <v>45</v>
      </c>
      <c r="W91" s="6" t="s">
        <v>46</v>
      </c>
      <c r="X91" s="7">
        <v>40735</v>
      </c>
      <c r="Y91" s="8">
        <f t="shared" ca="1" si="1"/>
        <v>15</v>
      </c>
      <c r="Z91" s="7">
        <v>42566</v>
      </c>
      <c r="AA91" s="6" t="s">
        <v>216</v>
      </c>
      <c r="AB91" s="6" t="s">
        <v>57</v>
      </c>
      <c r="AC91" s="6" t="s">
        <v>49</v>
      </c>
      <c r="AD91" s="6" t="s">
        <v>72</v>
      </c>
      <c r="AE91" s="6">
        <v>39</v>
      </c>
      <c r="AF91" s="6" t="s">
        <v>73</v>
      </c>
      <c r="AG91" s="6" t="s">
        <v>61</v>
      </c>
      <c r="AH91" s="6">
        <v>3.13</v>
      </c>
      <c r="AI91" s="6">
        <v>3</v>
      </c>
      <c r="AJ91" s="6">
        <v>0</v>
      </c>
      <c r="AK91" s="7">
        <v>42462</v>
      </c>
      <c r="AL91" s="6">
        <v>16</v>
      </c>
    </row>
    <row r="92" spans="1:38" x14ac:dyDescent="0.35">
      <c r="A92" s="6" t="s">
        <v>227</v>
      </c>
      <c r="B92" s="6">
        <v>10308</v>
      </c>
      <c r="C92" s="6">
        <v>1</v>
      </c>
      <c r="D92" s="6">
        <v>1</v>
      </c>
      <c r="E92" s="6">
        <v>1</v>
      </c>
      <c r="F92" s="6">
        <v>1</v>
      </c>
      <c r="G92" s="6">
        <v>5</v>
      </c>
      <c r="H92" s="6">
        <v>1</v>
      </c>
      <c r="I92" s="6">
        <v>0</v>
      </c>
      <c r="J92" s="6">
        <v>64057</v>
      </c>
      <c r="K92" s="6">
        <v>0</v>
      </c>
      <c r="L92" s="6">
        <v>19</v>
      </c>
      <c r="M92" s="6" t="s">
        <v>39</v>
      </c>
      <c r="N92" s="6" t="s">
        <v>40</v>
      </c>
      <c r="O92" s="6">
        <v>2132</v>
      </c>
      <c r="P92" s="7">
        <v>33381</v>
      </c>
      <c r="Q92" s="8">
        <v>34</v>
      </c>
      <c r="R92" s="8" t="s">
        <v>41</v>
      </c>
      <c r="S92" s="6" t="s">
        <v>42</v>
      </c>
      <c r="T92" s="6" t="s">
        <v>55</v>
      </c>
      <c r="U92" s="6" t="s">
        <v>44</v>
      </c>
      <c r="V92" s="6" t="s">
        <v>45</v>
      </c>
      <c r="W92" s="6" t="s">
        <v>46</v>
      </c>
      <c r="X92" s="7">
        <v>42313</v>
      </c>
      <c r="Y92" s="8">
        <f t="shared" ca="1" si="1"/>
        <v>10</v>
      </c>
      <c r="Z92" s="7"/>
      <c r="AA92" s="6" t="s">
        <v>47</v>
      </c>
      <c r="AB92" s="6" t="s">
        <v>48</v>
      </c>
      <c r="AC92" s="6" t="s">
        <v>49</v>
      </c>
      <c r="AD92" s="6" t="s">
        <v>75</v>
      </c>
      <c r="AE92" s="6">
        <v>11</v>
      </c>
      <c r="AF92" s="6" t="s">
        <v>60</v>
      </c>
      <c r="AG92" s="6" t="s">
        <v>195</v>
      </c>
      <c r="AH92" s="6">
        <v>1.56</v>
      </c>
      <c r="AI92" s="6">
        <v>5</v>
      </c>
      <c r="AJ92" s="6">
        <v>0</v>
      </c>
      <c r="AK92" s="7">
        <v>43525</v>
      </c>
      <c r="AL92" s="6">
        <v>15</v>
      </c>
    </row>
    <row r="93" spans="1:38" x14ac:dyDescent="0.35">
      <c r="A93" s="6" t="s">
        <v>228</v>
      </c>
      <c r="B93" s="6">
        <v>10309</v>
      </c>
      <c r="C93" s="6">
        <v>0</v>
      </c>
      <c r="D93" s="6">
        <v>0</v>
      </c>
      <c r="E93" s="6">
        <v>1</v>
      </c>
      <c r="F93" s="6">
        <v>1</v>
      </c>
      <c r="G93" s="6">
        <v>3</v>
      </c>
      <c r="H93" s="6">
        <v>1</v>
      </c>
      <c r="I93" s="6">
        <v>0</v>
      </c>
      <c r="J93" s="6">
        <v>53366</v>
      </c>
      <c r="K93" s="6">
        <v>0</v>
      </c>
      <c r="L93" s="6">
        <v>15</v>
      </c>
      <c r="M93" s="6" t="s">
        <v>229</v>
      </c>
      <c r="N93" s="6" t="s">
        <v>40</v>
      </c>
      <c r="O93" s="6">
        <v>2138</v>
      </c>
      <c r="P93" s="7">
        <v>20407</v>
      </c>
      <c r="Q93" s="8">
        <v>69</v>
      </c>
      <c r="R93" s="8" t="s">
        <v>96</v>
      </c>
      <c r="S93" s="6" t="s">
        <v>42</v>
      </c>
      <c r="T93" s="6" t="s">
        <v>43</v>
      </c>
      <c r="U93" s="6" t="s">
        <v>44</v>
      </c>
      <c r="V93" s="6" t="s">
        <v>45</v>
      </c>
      <c r="W93" s="6" t="s">
        <v>46</v>
      </c>
      <c r="X93" s="7">
        <v>42093</v>
      </c>
      <c r="Y93" s="8">
        <f t="shared" ca="1" si="1"/>
        <v>11</v>
      </c>
      <c r="Z93" s="7"/>
      <c r="AA93" s="6" t="s">
        <v>47</v>
      </c>
      <c r="AB93" s="6" t="s">
        <v>48</v>
      </c>
      <c r="AC93" s="6" t="s">
        <v>58</v>
      </c>
      <c r="AD93" s="6" t="s">
        <v>90</v>
      </c>
      <c r="AE93" s="6">
        <v>7</v>
      </c>
      <c r="AF93" s="6" t="s">
        <v>51</v>
      </c>
      <c r="AG93" s="6" t="s">
        <v>195</v>
      </c>
      <c r="AH93" s="6">
        <v>1.2</v>
      </c>
      <c r="AI93" s="6">
        <v>3</v>
      </c>
      <c r="AJ93" s="6">
        <v>6</v>
      </c>
      <c r="AK93" s="7">
        <v>43557</v>
      </c>
      <c r="AL93" s="6">
        <v>2</v>
      </c>
    </row>
    <row r="94" spans="1:38" x14ac:dyDescent="0.35">
      <c r="A94" s="6" t="s">
        <v>230</v>
      </c>
      <c r="B94" s="6">
        <v>10049</v>
      </c>
      <c r="C94" s="6">
        <v>1</v>
      </c>
      <c r="D94" s="6">
        <v>1</v>
      </c>
      <c r="E94" s="6">
        <v>0</v>
      </c>
      <c r="F94" s="6">
        <v>1</v>
      </c>
      <c r="G94" s="6">
        <v>5</v>
      </c>
      <c r="H94" s="6">
        <v>3</v>
      </c>
      <c r="I94" s="6">
        <v>0</v>
      </c>
      <c r="J94" s="6">
        <v>58530</v>
      </c>
      <c r="K94" s="6">
        <v>0</v>
      </c>
      <c r="L94" s="6">
        <v>19</v>
      </c>
      <c r="M94" s="6" t="s">
        <v>39</v>
      </c>
      <c r="N94" s="6" t="s">
        <v>40</v>
      </c>
      <c r="O94" s="6">
        <v>2155</v>
      </c>
      <c r="P94" s="7">
        <v>31921</v>
      </c>
      <c r="Q94" s="8">
        <v>38</v>
      </c>
      <c r="R94" s="8" t="s">
        <v>41</v>
      </c>
      <c r="S94" s="6" t="s">
        <v>64</v>
      </c>
      <c r="T94" s="6" t="s">
        <v>55</v>
      </c>
      <c r="U94" s="6" t="s">
        <v>44</v>
      </c>
      <c r="V94" s="6" t="s">
        <v>45</v>
      </c>
      <c r="W94" s="6" t="s">
        <v>46</v>
      </c>
      <c r="X94" s="7">
        <v>41153</v>
      </c>
      <c r="Y94" s="8">
        <f t="shared" ca="1" si="1"/>
        <v>13</v>
      </c>
      <c r="Z94" s="7"/>
      <c r="AA94" s="6" t="s">
        <v>47</v>
      </c>
      <c r="AB94" s="6" t="s">
        <v>48</v>
      </c>
      <c r="AC94" s="6" t="s">
        <v>49</v>
      </c>
      <c r="AD94" s="6" t="s">
        <v>86</v>
      </c>
      <c r="AE94" s="6">
        <v>12</v>
      </c>
      <c r="AF94" s="6" t="s">
        <v>73</v>
      </c>
      <c r="AG94" s="6" t="s">
        <v>61</v>
      </c>
      <c r="AH94" s="6">
        <v>5</v>
      </c>
      <c r="AI94" s="6">
        <v>5</v>
      </c>
      <c r="AJ94" s="6">
        <v>0</v>
      </c>
      <c r="AK94" s="7">
        <v>43494</v>
      </c>
      <c r="AL94" s="6">
        <v>19</v>
      </c>
    </row>
    <row r="95" spans="1:38" x14ac:dyDescent="0.35">
      <c r="A95" s="6" t="s">
        <v>231</v>
      </c>
      <c r="B95" s="6">
        <v>10093</v>
      </c>
      <c r="C95" s="6">
        <v>0</v>
      </c>
      <c r="D95" s="6">
        <v>0</v>
      </c>
      <c r="E95" s="6">
        <v>1</v>
      </c>
      <c r="F95" s="6">
        <v>5</v>
      </c>
      <c r="G95" s="6">
        <v>5</v>
      </c>
      <c r="H95" s="6">
        <v>3</v>
      </c>
      <c r="I95" s="6">
        <v>0</v>
      </c>
      <c r="J95" s="6">
        <v>72609</v>
      </c>
      <c r="K95" s="6">
        <v>1</v>
      </c>
      <c r="L95" s="6">
        <v>20</v>
      </c>
      <c r="M95" s="6" t="s">
        <v>63</v>
      </c>
      <c r="N95" s="6" t="s">
        <v>40</v>
      </c>
      <c r="O95" s="6">
        <v>2143</v>
      </c>
      <c r="P95" s="7">
        <v>29097</v>
      </c>
      <c r="Q95" s="8">
        <v>45</v>
      </c>
      <c r="R95" s="8" t="s">
        <v>41</v>
      </c>
      <c r="S95" s="6" t="s">
        <v>42</v>
      </c>
      <c r="T95" s="6" t="s">
        <v>43</v>
      </c>
      <c r="U95" s="6" t="s">
        <v>44</v>
      </c>
      <c r="V95" s="6" t="s">
        <v>92</v>
      </c>
      <c r="W95" s="6" t="s">
        <v>46</v>
      </c>
      <c r="X95" s="7">
        <v>40679</v>
      </c>
      <c r="Y95" s="8">
        <f t="shared" ca="1" si="1"/>
        <v>15</v>
      </c>
      <c r="Z95" s="7">
        <v>41449</v>
      </c>
      <c r="AA95" s="6" t="s">
        <v>65</v>
      </c>
      <c r="AB95" s="6" t="s">
        <v>57</v>
      </c>
      <c r="AC95" s="6" t="s">
        <v>49</v>
      </c>
      <c r="AD95" s="6" t="s">
        <v>75</v>
      </c>
      <c r="AE95" s="6">
        <v>11</v>
      </c>
      <c r="AF95" s="6" t="s">
        <v>73</v>
      </c>
      <c r="AG95" s="6" t="s">
        <v>61</v>
      </c>
      <c r="AH95" s="6">
        <v>4.76</v>
      </c>
      <c r="AI95" s="6">
        <v>5</v>
      </c>
      <c r="AJ95" s="6">
        <v>0</v>
      </c>
      <c r="AK95" s="7">
        <v>41398</v>
      </c>
      <c r="AL95" s="6">
        <v>20</v>
      </c>
    </row>
    <row r="96" spans="1:38" x14ac:dyDescent="0.35">
      <c r="A96" s="6" t="s">
        <v>232</v>
      </c>
      <c r="B96" s="6">
        <v>10163</v>
      </c>
      <c r="C96" s="6">
        <v>1</v>
      </c>
      <c r="D96" s="6">
        <v>1</v>
      </c>
      <c r="E96" s="6">
        <v>0</v>
      </c>
      <c r="F96" s="6">
        <v>5</v>
      </c>
      <c r="G96" s="6">
        <v>5</v>
      </c>
      <c r="H96" s="6">
        <v>3</v>
      </c>
      <c r="I96" s="6">
        <v>0</v>
      </c>
      <c r="J96" s="6">
        <v>55965</v>
      </c>
      <c r="K96" s="6">
        <v>1</v>
      </c>
      <c r="L96" s="6">
        <v>20</v>
      </c>
      <c r="M96" s="6" t="s">
        <v>63</v>
      </c>
      <c r="N96" s="6" t="s">
        <v>40</v>
      </c>
      <c r="O96" s="6">
        <v>2170</v>
      </c>
      <c r="P96" s="7">
        <v>28910</v>
      </c>
      <c r="Q96" s="8">
        <v>46</v>
      </c>
      <c r="R96" s="8" t="s">
        <v>41</v>
      </c>
      <c r="S96" s="6" t="s">
        <v>64</v>
      </c>
      <c r="T96" s="6" t="s">
        <v>55</v>
      </c>
      <c r="U96" s="6" t="s">
        <v>44</v>
      </c>
      <c r="V96" s="6" t="s">
        <v>45</v>
      </c>
      <c r="W96" s="6" t="s">
        <v>46</v>
      </c>
      <c r="X96" s="7">
        <v>40637</v>
      </c>
      <c r="Y96" s="8">
        <f t="shared" ca="1" si="1"/>
        <v>15</v>
      </c>
      <c r="Z96" s="7">
        <v>41518</v>
      </c>
      <c r="AA96" s="6" t="s">
        <v>56</v>
      </c>
      <c r="AB96" s="6" t="s">
        <v>57</v>
      </c>
      <c r="AC96" s="6" t="s">
        <v>49</v>
      </c>
      <c r="AD96" s="6" t="s">
        <v>82</v>
      </c>
      <c r="AE96" s="6">
        <v>19</v>
      </c>
      <c r="AF96" s="6" t="s">
        <v>73</v>
      </c>
      <c r="AG96" s="6" t="s">
        <v>61</v>
      </c>
      <c r="AH96" s="6">
        <v>3.66</v>
      </c>
      <c r="AI96" s="6">
        <v>3</v>
      </c>
      <c r="AJ96" s="6">
        <v>0</v>
      </c>
      <c r="AK96" s="7">
        <v>41091</v>
      </c>
      <c r="AL96" s="6">
        <v>6</v>
      </c>
    </row>
    <row r="97" spans="1:38" x14ac:dyDescent="0.35">
      <c r="A97" s="6" t="s">
        <v>233</v>
      </c>
      <c r="B97" s="6">
        <v>10305</v>
      </c>
      <c r="C97" s="6">
        <v>1</v>
      </c>
      <c r="D97" s="6">
        <v>1</v>
      </c>
      <c r="E97" s="6">
        <v>1</v>
      </c>
      <c r="F97" s="6">
        <v>1</v>
      </c>
      <c r="G97" s="6">
        <v>6</v>
      </c>
      <c r="H97" s="6">
        <v>3</v>
      </c>
      <c r="I97" s="6">
        <v>0</v>
      </c>
      <c r="J97" s="6">
        <v>70187</v>
      </c>
      <c r="K97" s="6">
        <v>1</v>
      </c>
      <c r="L97" s="6">
        <v>3</v>
      </c>
      <c r="M97" s="6" t="s">
        <v>143</v>
      </c>
      <c r="N97" s="6" t="s">
        <v>40</v>
      </c>
      <c r="O97" s="6">
        <v>2330</v>
      </c>
      <c r="P97" s="7">
        <v>28719</v>
      </c>
      <c r="Q97" s="8">
        <v>46</v>
      </c>
      <c r="R97" s="8" t="s">
        <v>41</v>
      </c>
      <c r="S97" s="6" t="s">
        <v>42</v>
      </c>
      <c r="T97" s="6" t="s">
        <v>55</v>
      </c>
      <c r="U97" s="6" t="s">
        <v>44</v>
      </c>
      <c r="V97" s="6" t="s">
        <v>45</v>
      </c>
      <c r="W97" s="6" t="s">
        <v>46</v>
      </c>
      <c r="X97" s="7">
        <v>41911</v>
      </c>
      <c r="Y97" s="8">
        <f t="shared" ca="1" si="1"/>
        <v>11</v>
      </c>
      <c r="Z97" s="7">
        <v>43361</v>
      </c>
      <c r="AA97" s="6" t="s">
        <v>234</v>
      </c>
      <c r="AB97" s="6" t="s">
        <v>108</v>
      </c>
      <c r="AC97" s="6" t="s">
        <v>145</v>
      </c>
      <c r="AD97" s="6" t="s">
        <v>164</v>
      </c>
      <c r="AE97" s="6">
        <v>21</v>
      </c>
      <c r="AF97" s="6" t="s">
        <v>83</v>
      </c>
      <c r="AG97" s="6" t="s">
        <v>195</v>
      </c>
      <c r="AH97" s="6">
        <v>2</v>
      </c>
      <c r="AI97" s="6">
        <v>5</v>
      </c>
      <c r="AJ97" s="6">
        <v>0</v>
      </c>
      <c r="AK97" s="7">
        <v>43493</v>
      </c>
      <c r="AL97" s="6">
        <v>7</v>
      </c>
    </row>
    <row r="98" spans="1:38" x14ac:dyDescent="0.35">
      <c r="A98" s="6" t="s">
        <v>235</v>
      </c>
      <c r="B98" s="6">
        <v>10015</v>
      </c>
      <c r="C98" s="6">
        <v>0</v>
      </c>
      <c r="D98" s="6">
        <v>0</v>
      </c>
      <c r="E98" s="6">
        <v>1</v>
      </c>
      <c r="F98" s="6">
        <v>1</v>
      </c>
      <c r="G98" s="6">
        <v>3</v>
      </c>
      <c r="H98" s="6">
        <v>4</v>
      </c>
      <c r="I98" s="6">
        <v>0</v>
      </c>
      <c r="J98" s="6">
        <v>178000</v>
      </c>
      <c r="K98" s="6">
        <v>0</v>
      </c>
      <c r="L98" s="6">
        <v>12</v>
      </c>
      <c r="M98" s="6" t="s">
        <v>236</v>
      </c>
      <c r="N98" s="6" t="s">
        <v>40</v>
      </c>
      <c r="O98" s="6">
        <v>1460</v>
      </c>
      <c r="P98" s="7">
        <v>29348</v>
      </c>
      <c r="Q98" s="8">
        <v>45</v>
      </c>
      <c r="R98" s="8" t="s">
        <v>41</v>
      </c>
      <c r="S98" s="6" t="s">
        <v>42</v>
      </c>
      <c r="T98" s="6" t="s">
        <v>43</v>
      </c>
      <c r="U98" s="6" t="s">
        <v>44</v>
      </c>
      <c r="V98" s="6" t="s">
        <v>45</v>
      </c>
      <c r="W98" s="6" t="s">
        <v>85</v>
      </c>
      <c r="X98" s="7">
        <v>40648</v>
      </c>
      <c r="Y98" s="8">
        <f t="shared" ca="1" si="1"/>
        <v>15</v>
      </c>
      <c r="Z98" s="7"/>
      <c r="AA98" s="6" t="s">
        <v>47</v>
      </c>
      <c r="AB98" s="6" t="s">
        <v>48</v>
      </c>
      <c r="AC98" s="6" t="s">
        <v>58</v>
      </c>
      <c r="AD98" s="6" t="s">
        <v>151</v>
      </c>
      <c r="AE98" s="6">
        <v>5</v>
      </c>
      <c r="AF98" s="6" t="s">
        <v>60</v>
      </c>
      <c r="AG98" s="6" t="s">
        <v>52</v>
      </c>
      <c r="AH98" s="6">
        <v>5</v>
      </c>
      <c r="AI98" s="6">
        <v>5</v>
      </c>
      <c r="AJ98" s="6">
        <v>5</v>
      </c>
      <c r="AK98" s="7">
        <v>43647</v>
      </c>
      <c r="AL98" s="6">
        <v>15</v>
      </c>
    </row>
    <row r="99" spans="1:38" x14ac:dyDescent="0.35">
      <c r="A99" s="6" t="s">
        <v>237</v>
      </c>
      <c r="B99" s="6">
        <v>10080</v>
      </c>
      <c r="C99" s="6">
        <v>1</v>
      </c>
      <c r="D99" s="6">
        <v>1</v>
      </c>
      <c r="E99" s="6">
        <v>0</v>
      </c>
      <c r="F99" s="6">
        <v>1</v>
      </c>
      <c r="G99" s="6">
        <v>1</v>
      </c>
      <c r="H99" s="6">
        <v>3</v>
      </c>
      <c r="I99" s="6">
        <v>0</v>
      </c>
      <c r="J99" s="6">
        <v>99351</v>
      </c>
      <c r="K99" s="6">
        <v>0</v>
      </c>
      <c r="L99" s="6">
        <v>26</v>
      </c>
      <c r="M99" s="6" t="s">
        <v>129</v>
      </c>
      <c r="N99" s="6" t="s">
        <v>40</v>
      </c>
      <c r="O99" s="6">
        <v>2050</v>
      </c>
      <c r="P99" s="7">
        <v>28961</v>
      </c>
      <c r="Q99" s="8">
        <v>46</v>
      </c>
      <c r="R99" s="8" t="s">
        <v>41</v>
      </c>
      <c r="S99" s="6" t="s">
        <v>64</v>
      </c>
      <c r="T99" s="6" t="s">
        <v>55</v>
      </c>
      <c r="U99" s="6" t="s">
        <v>44</v>
      </c>
      <c r="V99" s="6" t="s">
        <v>238</v>
      </c>
      <c r="W99" s="6" t="s">
        <v>46</v>
      </c>
      <c r="X99" s="7">
        <v>39934</v>
      </c>
      <c r="Y99" s="8">
        <f t="shared" ca="1" si="1"/>
        <v>17</v>
      </c>
      <c r="Z99" s="7"/>
      <c r="AA99" s="6" t="s">
        <v>47</v>
      </c>
      <c r="AB99" s="6" t="s">
        <v>48</v>
      </c>
      <c r="AC99" s="6" t="s">
        <v>130</v>
      </c>
      <c r="AD99" s="6" t="s">
        <v>239</v>
      </c>
      <c r="AE99" s="6">
        <v>9</v>
      </c>
      <c r="AF99" s="6" t="s">
        <v>240</v>
      </c>
      <c r="AG99" s="6" t="s">
        <v>61</v>
      </c>
      <c r="AH99" s="6">
        <v>5</v>
      </c>
      <c r="AI99" s="6">
        <v>3</v>
      </c>
      <c r="AJ99" s="6">
        <v>2</v>
      </c>
      <c r="AK99" s="7">
        <v>43679</v>
      </c>
      <c r="AL99" s="6">
        <v>3</v>
      </c>
    </row>
    <row r="100" spans="1:38" x14ac:dyDescent="0.35">
      <c r="A100" s="6" t="s">
        <v>241</v>
      </c>
      <c r="B100" s="6">
        <v>10258</v>
      </c>
      <c r="C100" s="6">
        <v>0</v>
      </c>
      <c r="D100" s="6">
        <v>0</v>
      </c>
      <c r="E100" s="6">
        <v>1</v>
      </c>
      <c r="F100" s="6">
        <v>1</v>
      </c>
      <c r="G100" s="6">
        <v>6</v>
      </c>
      <c r="H100" s="6">
        <v>3</v>
      </c>
      <c r="I100" s="6">
        <v>0</v>
      </c>
      <c r="J100" s="6">
        <v>67251</v>
      </c>
      <c r="K100" s="6">
        <v>0</v>
      </c>
      <c r="L100" s="6">
        <v>3</v>
      </c>
      <c r="M100" s="6" t="s">
        <v>143</v>
      </c>
      <c r="N100" s="6" t="s">
        <v>126</v>
      </c>
      <c r="O100" s="6">
        <v>6050</v>
      </c>
      <c r="P100" s="7">
        <v>23251</v>
      </c>
      <c r="Q100" s="8">
        <v>61</v>
      </c>
      <c r="R100" s="8" t="s">
        <v>96</v>
      </c>
      <c r="S100" s="6" t="s">
        <v>42</v>
      </c>
      <c r="T100" s="6" t="s">
        <v>43</v>
      </c>
      <c r="U100" s="6" t="s">
        <v>44</v>
      </c>
      <c r="V100" s="6" t="s">
        <v>45</v>
      </c>
      <c r="W100" s="6" t="s">
        <v>85</v>
      </c>
      <c r="X100" s="7">
        <v>40703</v>
      </c>
      <c r="Y100" s="8">
        <f t="shared" ca="1" si="1"/>
        <v>15</v>
      </c>
      <c r="Z100" s="7"/>
      <c r="AA100" s="6" t="s">
        <v>47</v>
      </c>
      <c r="AB100" s="6" t="s">
        <v>48</v>
      </c>
      <c r="AC100" s="6" t="s">
        <v>145</v>
      </c>
      <c r="AD100" s="6" t="s">
        <v>164</v>
      </c>
      <c r="AE100" s="6">
        <v>21</v>
      </c>
      <c r="AF100" s="6" t="s">
        <v>121</v>
      </c>
      <c r="AG100" s="6" t="s">
        <v>61</v>
      </c>
      <c r="AH100" s="6">
        <v>4.3</v>
      </c>
      <c r="AI100" s="6">
        <v>3</v>
      </c>
      <c r="AJ100" s="6">
        <v>0</v>
      </c>
      <c r="AK100" s="7">
        <v>43492</v>
      </c>
      <c r="AL100" s="6">
        <v>7</v>
      </c>
    </row>
    <row r="101" spans="1:38" x14ac:dyDescent="0.35">
      <c r="A101" s="6" t="s">
        <v>242</v>
      </c>
      <c r="B101" s="6">
        <v>10273</v>
      </c>
      <c r="C101" s="6">
        <v>0</v>
      </c>
      <c r="D101" s="6">
        <v>0</v>
      </c>
      <c r="E101" s="6">
        <v>0</v>
      </c>
      <c r="F101" s="6">
        <v>1</v>
      </c>
      <c r="G101" s="6">
        <v>3</v>
      </c>
      <c r="H101" s="6">
        <v>3</v>
      </c>
      <c r="I101" s="6">
        <v>0</v>
      </c>
      <c r="J101" s="6">
        <v>65707</v>
      </c>
      <c r="K101" s="6">
        <v>0</v>
      </c>
      <c r="L101" s="6">
        <v>14</v>
      </c>
      <c r="M101" s="6" t="s">
        <v>89</v>
      </c>
      <c r="N101" s="6" t="s">
        <v>126</v>
      </c>
      <c r="O101" s="6">
        <v>6040</v>
      </c>
      <c r="P101" s="7">
        <v>31305</v>
      </c>
      <c r="Q101" s="8">
        <v>39</v>
      </c>
      <c r="R101" s="8" t="s">
        <v>41</v>
      </c>
      <c r="S101" s="6" t="s">
        <v>64</v>
      </c>
      <c r="T101" s="6" t="s">
        <v>43</v>
      </c>
      <c r="U101" s="6" t="s">
        <v>44</v>
      </c>
      <c r="V101" s="6" t="s">
        <v>45</v>
      </c>
      <c r="W101" s="6" t="s">
        <v>46</v>
      </c>
      <c r="X101" s="7">
        <v>40183</v>
      </c>
      <c r="Y101" s="8">
        <f t="shared" ca="1" si="1"/>
        <v>16</v>
      </c>
      <c r="Z101" s="7"/>
      <c r="AA101" s="6" t="s">
        <v>47</v>
      </c>
      <c r="AB101" s="6" t="s">
        <v>48</v>
      </c>
      <c r="AC101" s="6" t="s">
        <v>58</v>
      </c>
      <c r="AD101" s="6" t="s">
        <v>170</v>
      </c>
      <c r="AE101" s="6">
        <v>6</v>
      </c>
      <c r="AF101" s="6" t="s">
        <v>51</v>
      </c>
      <c r="AG101" s="6" t="s">
        <v>61</v>
      </c>
      <c r="AH101" s="6">
        <v>4.7</v>
      </c>
      <c r="AI101" s="6">
        <v>4</v>
      </c>
      <c r="AJ101" s="6">
        <v>5</v>
      </c>
      <c r="AK101" s="7">
        <v>43467</v>
      </c>
      <c r="AL101" s="6">
        <v>1</v>
      </c>
    </row>
    <row r="102" spans="1:38" x14ac:dyDescent="0.35">
      <c r="A102" s="6" t="s">
        <v>243</v>
      </c>
      <c r="B102" s="6">
        <v>10111</v>
      </c>
      <c r="C102" s="6">
        <v>0</v>
      </c>
      <c r="D102" s="6">
        <v>0</v>
      </c>
      <c r="E102" s="6">
        <v>1</v>
      </c>
      <c r="F102" s="6">
        <v>1</v>
      </c>
      <c r="G102" s="6">
        <v>5</v>
      </c>
      <c r="H102" s="6">
        <v>3</v>
      </c>
      <c r="I102" s="6">
        <v>0</v>
      </c>
      <c r="J102" s="6">
        <v>52249</v>
      </c>
      <c r="K102" s="6">
        <v>0</v>
      </c>
      <c r="L102" s="6">
        <v>19</v>
      </c>
      <c r="M102" s="6" t="s">
        <v>39</v>
      </c>
      <c r="N102" s="6" t="s">
        <v>40</v>
      </c>
      <c r="O102" s="6">
        <v>1905</v>
      </c>
      <c r="P102" s="7">
        <v>25703</v>
      </c>
      <c r="Q102" s="8">
        <v>55</v>
      </c>
      <c r="R102" s="8" t="s">
        <v>41</v>
      </c>
      <c r="S102" s="6" t="s">
        <v>42</v>
      </c>
      <c r="T102" s="6" t="s">
        <v>43</v>
      </c>
      <c r="U102" s="6" t="s">
        <v>44</v>
      </c>
      <c r="V102" s="6" t="s">
        <v>92</v>
      </c>
      <c r="W102" s="6" t="s">
        <v>46</v>
      </c>
      <c r="X102" s="7">
        <v>42093</v>
      </c>
      <c r="Y102" s="8">
        <f t="shared" ca="1" si="1"/>
        <v>11</v>
      </c>
      <c r="Z102" s="7"/>
      <c r="AA102" s="6" t="s">
        <v>47</v>
      </c>
      <c r="AB102" s="6" t="s">
        <v>48</v>
      </c>
      <c r="AC102" s="6" t="s">
        <v>49</v>
      </c>
      <c r="AD102" s="6" t="s">
        <v>94</v>
      </c>
      <c r="AE102" s="6">
        <v>14</v>
      </c>
      <c r="AF102" s="6" t="s">
        <v>83</v>
      </c>
      <c r="AG102" s="6" t="s">
        <v>61</v>
      </c>
      <c r="AH102" s="6">
        <v>4.5</v>
      </c>
      <c r="AI102" s="6">
        <v>3</v>
      </c>
      <c r="AJ102" s="6">
        <v>0</v>
      </c>
      <c r="AK102" s="7">
        <v>43514</v>
      </c>
      <c r="AL102" s="6">
        <v>5</v>
      </c>
    </row>
    <row r="103" spans="1:38" x14ac:dyDescent="0.35">
      <c r="A103" s="6" t="s">
        <v>244</v>
      </c>
      <c r="B103" s="6">
        <v>10257</v>
      </c>
      <c r="C103" s="6">
        <v>0</v>
      </c>
      <c r="D103" s="6">
        <v>0</v>
      </c>
      <c r="E103" s="6">
        <v>0</v>
      </c>
      <c r="F103" s="6">
        <v>1</v>
      </c>
      <c r="G103" s="6">
        <v>5</v>
      </c>
      <c r="H103" s="6">
        <v>3</v>
      </c>
      <c r="I103" s="6">
        <v>0</v>
      </c>
      <c r="J103" s="6">
        <v>53171</v>
      </c>
      <c r="K103" s="6">
        <v>0</v>
      </c>
      <c r="L103" s="6">
        <v>19</v>
      </c>
      <c r="M103" s="6" t="s">
        <v>39</v>
      </c>
      <c r="N103" s="6" t="s">
        <v>40</v>
      </c>
      <c r="O103" s="6">
        <v>2121</v>
      </c>
      <c r="P103" s="7">
        <v>32773</v>
      </c>
      <c r="Q103" s="8">
        <v>35</v>
      </c>
      <c r="R103" s="8" t="s">
        <v>41</v>
      </c>
      <c r="S103" s="6" t="s">
        <v>64</v>
      </c>
      <c r="T103" s="6" t="s">
        <v>43</v>
      </c>
      <c r="U103" s="6" t="s">
        <v>44</v>
      </c>
      <c r="V103" s="6" t="s">
        <v>92</v>
      </c>
      <c r="W103" s="6" t="s">
        <v>85</v>
      </c>
      <c r="X103" s="7">
        <v>40679</v>
      </c>
      <c r="Y103" s="8">
        <f t="shared" ca="1" si="1"/>
        <v>15</v>
      </c>
      <c r="Z103" s="7"/>
      <c r="AA103" s="6" t="s">
        <v>47</v>
      </c>
      <c r="AB103" s="6" t="s">
        <v>48</v>
      </c>
      <c r="AC103" s="6" t="s">
        <v>49</v>
      </c>
      <c r="AD103" s="6" t="s">
        <v>103</v>
      </c>
      <c r="AE103" s="6">
        <v>18</v>
      </c>
      <c r="AF103" s="6" t="s">
        <v>51</v>
      </c>
      <c r="AG103" s="6" t="s">
        <v>61</v>
      </c>
      <c r="AH103" s="6">
        <v>4.2</v>
      </c>
      <c r="AI103" s="6">
        <v>4</v>
      </c>
      <c r="AJ103" s="6">
        <v>0</v>
      </c>
      <c r="AK103" s="7">
        <v>43522</v>
      </c>
      <c r="AL103" s="6">
        <v>12</v>
      </c>
    </row>
    <row r="104" spans="1:38" x14ac:dyDescent="0.35">
      <c r="A104" s="6" t="s">
        <v>245</v>
      </c>
      <c r="B104" s="6">
        <v>10159</v>
      </c>
      <c r="C104" s="6">
        <v>1</v>
      </c>
      <c r="D104" s="6">
        <v>1</v>
      </c>
      <c r="E104" s="6">
        <v>0</v>
      </c>
      <c r="F104" s="6">
        <v>1</v>
      </c>
      <c r="G104" s="6">
        <v>5</v>
      </c>
      <c r="H104" s="6">
        <v>3</v>
      </c>
      <c r="I104" s="6">
        <v>0</v>
      </c>
      <c r="J104" s="6">
        <v>51337</v>
      </c>
      <c r="K104" s="6">
        <v>0</v>
      </c>
      <c r="L104" s="6">
        <v>19</v>
      </c>
      <c r="M104" s="6" t="s">
        <v>39</v>
      </c>
      <c r="N104" s="6" t="s">
        <v>40</v>
      </c>
      <c r="O104" s="6">
        <v>2145</v>
      </c>
      <c r="P104" s="7">
        <v>26229</v>
      </c>
      <c r="Q104" s="8">
        <v>53</v>
      </c>
      <c r="R104" s="8" t="s">
        <v>41</v>
      </c>
      <c r="S104" s="6" t="s">
        <v>64</v>
      </c>
      <c r="T104" s="6" t="s">
        <v>55</v>
      </c>
      <c r="U104" s="6" t="s">
        <v>44</v>
      </c>
      <c r="V104" s="6" t="s">
        <v>45</v>
      </c>
      <c r="W104" s="6" t="s">
        <v>85</v>
      </c>
      <c r="X104" s="7">
        <v>42093</v>
      </c>
      <c r="Y104" s="8">
        <f t="shared" ca="1" si="1"/>
        <v>11</v>
      </c>
      <c r="Z104" s="7"/>
      <c r="AA104" s="6" t="s">
        <v>47</v>
      </c>
      <c r="AB104" s="6" t="s">
        <v>48</v>
      </c>
      <c r="AC104" s="6" t="s">
        <v>49</v>
      </c>
      <c r="AD104" s="6" t="s">
        <v>50</v>
      </c>
      <c r="AE104" s="6">
        <v>22</v>
      </c>
      <c r="AF104" s="6" t="s">
        <v>51</v>
      </c>
      <c r="AG104" s="6" t="s">
        <v>61</v>
      </c>
      <c r="AH104" s="6">
        <v>3.73</v>
      </c>
      <c r="AI104" s="6">
        <v>3</v>
      </c>
      <c r="AJ104" s="6">
        <v>0</v>
      </c>
      <c r="AK104" s="7">
        <v>43481</v>
      </c>
      <c r="AL104" s="6">
        <v>19</v>
      </c>
    </row>
    <row r="105" spans="1:38" x14ac:dyDescent="0.35">
      <c r="A105" s="6" t="s">
        <v>246</v>
      </c>
      <c r="B105" s="6">
        <v>10122</v>
      </c>
      <c r="C105" s="6">
        <v>0</v>
      </c>
      <c r="D105" s="6">
        <v>2</v>
      </c>
      <c r="E105" s="6">
        <v>0</v>
      </c>
      <c r="F105" s="6">
        <v>5</v>
      </c>
      <c r="G105" s="6">
        <v>5</v>
      </c>
      <c r="H105" s="6">
        <v>3</v>
      </c>
      <c r="I105" s="6">
        <v>1</v>
      </c>
      <c r="J105" s="6">
        <v>51505</v>
      </c>
      <c r="K105" s="6">
        <v>1</v>
      </c>
      <c r="L105" s="6">
        <v>19</v>
      </c>
      <c r="M105" s="6" t="s">
        <v>39</v>
      </c>
      <c r="N105" s="6" t="s">
        <v>40</v>
      </c>
      <c r="O105" s="6">
        <v>2330</v>
      </c>
      <c r="P105" s="7">
        <v>32836</v>
      </c>
      <c r="Q105" s="8">
        <v>35</v>
      </c>
      <c r="R105" s="8" t="s">
        <v>41</v>
      </c>
      <c r="S105" s="6" t="s">
        <v>64</v>
      </c>
      <c r="T105" s="6" t="s">
        <v>70</v>
      </c>
      <c r="U105" s="6" t="s">
        <v>44</v>
      </c>
      <c r="V105" s="6" t="s">
        <v>45</v>
      </c>
      <c r="W105" s="6" t="s">
        <v>85</v>
      </c>
      <c r="X105" s="7">
        <v>40735</v>
      </c>
      <c r="Y105" s="8">
        <f t="shared" ca="1" si="1"/>
        <v>15</v>
      </c>
      <c r="Z105" s="7">
        <v>42689</v>
      </c>
      <c r="AA105" s="6" t="s">
        <v>65</v>
      </c>
      <c r="AB105" s="6" t="s">
        <v>57</v>
      </c>
      <c r="AC105" s="6" t="s">
        <v>49</v>
      </c>
      <c r="AD105" s="6" t="s">
        <v>68</v>
      </c>
      <c r="AE105" s="6">
        <v>16</v>
      </c>
      <c r="AF105" s="6" t="s">
        <v>87</v>
      </c>
      <c r="AG105" s="6" t="s">
        <v>61</v>
      </c>
      <c r="AH105" s="6">
        <v>4.24</v>
      </c>
      <c r="AI105" s="6">
        <v>4</v>
      </c>
      <c r="AJ105" s="6">
        <v>0</v>
      </c>
      <c r="AK105" s="7">
        <v>42489</v>
      </c>
      <c r="AL105" s="6">
        <v>2</v>
      </c>
    </row>
    <row r="106" spans="1:38" x14ac:dyDescent="0.35">
      <c r="A106" s="6" t="s">
        <v>247</v>
      </c>
      <c r="B106" s="6">
        <v>10142</v>
      </c>
      <c r="C106" s="6">
        <v>0</v>
      </c>
      <c r="D106" s="6">
        <v>4</v>
      </c>
      <c r="E106" s="6">
        <v>0</v>
      </c>
      <c r="F106" s="6">
        <v>4</v>
      </c>
      <c r="G106" s="6">
        <v>6</v>
      </c>
      <c r="H106" s="6">
        <v>3</v>
      </c>
      <c r="I106" s="6">
        <v>0</v>
      </c>
      <c r="J106" s="6">
        <v>59370</v>
      </c>
      <c r="K106" s="6">
        <v>1</v>
      </c>
      <c r="L106" s="6">
        <v>3</v>
      </c>
      <c r="M106" s="6" t="s">
        <v>143</v>
      </c>
      <c r="N106" s="6" t="s">
        <v>248</v>
      </c>
      <c r="O106" s="6">
        <v>43050</v>
      </c>
      <c r="P106" s="7">
        <v>33773</v>
      </c>
      <c r="Q106" s="8">
        <v>33</v>
      </c>
      <c r="R106" s="8" t="s">
        <v>41</v>
      </c>
      <c r="S106" s="6" t="s">
        <v>64</v>
      </c>
      <c r="T106" s="6" t="s">
        <v>81</v>
      </c>
      <c r="U106" s="6" t="s">
        <v>44</v>
      </c>
      <c r="V106" s="6" t="s">
        <v>45</v>
      </c>
      <c r="W106" s="6" t="s">
        <v>85</v>
      </c>
      <c r="X106" s="7">
        <v>41827</v>
      </c>
      <c r="Y106" s="8">
        <f t="shared" ca="1" si="1"/>
        <v>12</v>
      </c>
      <c r="Z106" s="7">
        <v>42133</v>
      </c>
      <c r="AA106" s="6" t="s">
        <v>107</v>
      </c>
      <c r="AB106" s="6" t="s">
        <v>108</v>
      </c>
      <c r="AC106" s="6" t="s">
        <v>145</v>
      </c>
      <c r="AD106" s="6" t="s">
        <v>146</v>
      </c>
      <c r="AE106" s="6">
        <v>17</v>
      </c>
      <c r="AF106" s="6" t="s">
        <v>121</v>
      </c>
      <c r="AG106" s="6" t="s">
        <v>61</v>
      </c>
      <c r="AH106" s="6">
        <v>3.97</v>
      </c>
      <c r="AI106" s="6">
        <v>4</v>
      </c>
      <c r="AJ106" s="6">
        <v>0</v>
      </c>
      <c r="AK106" s="7">
        <v>41654</v>
      </c>
      <c r="AL106" s="6">
        <v>7</v>
      </c>
    </row>
    <row r="107" spans="1:38" x14ac:dyDescent="0.35">
      <c r="A107" s="6" t="s">
        <v>249</v>
      </c>
      <c r="B107" s="6">
        <v>10283</v>
      </c>
      <c r="C107" s="6">
        <v>1</v>
      </c>
      <c r="D107" s="6">
        <v>1</v>
      </c>
      <c r="E107" s="6">
        <v>1</v>
      </c>
      <c r="F107" s="6">
        <v>5</v>
      </c>
      <c r="G107" s="6">
        <v>5</v>
      </c>
      <c r="H107" s="6">
        <v>2</v>
      </c>
      <c r="I107" s="6">
        <v>1</v>
      </c>
      <c r="J107" s="6">
        <v>54933</v>
      </c>
      <c r="K107" s="6">
        <v>1</v>
      </c>
      <c r="L107" s="6">
        <v>19</v>
      </c>
      <c r="M107" s="6" t="s">
        <v>39</v>
      </c>
      <c r="N107" s="6" t="s">
        <v>40</v>
      </c>
      <c r="O107" s="6">
        <v>2062</v>
      </c>
      <c r="P107" s="7">
        <v>25475</v>
      </c>
      <c r="Q107" s="8">
        <v>55</v>
      </c>
      <c r="R107" s="8" t="s">
        <v>41</v>
      </c>
      <c r="S107" s="6" t="s">
        <v>42</v>
      </c>
      <c r="T107" s="6" t="s">
        <v>55</v>
      </c>
      <c r="U107" s="6" t="s">
        <v>44</v>
      </c>
      <c r="V107" s="6" t="s">
        <v>45</v>
      </c>
      <c r="W107" s="6" t="s">
        <v>85</v>
      </c>
      <c r="X107" s="7">
        <v>40943</v>
      </c>
      <c r="Y107" s="8">
        <f t="shared" ca="1" si="1"/>
        <v>14</v>
      </c>
      <c r="Z107" s="7">
        <v>42180</v>
      </c>
      <c r="AA107" s="6" t="s">
        <v>216</v>
      </c>
      <c r="AB107" s="6" t="s">
        <v>57</v>
      </c>
      <c r="AC107" s="6" t="s">
        <v>49</v>
      </c>
      <c r="AD107" s="6" t="s">
        <v>72</v>
      </c>
      <c r="AE107" s="6">
        <v>39</v>
      </c>
      <c r="AF107" s="6" t="s">
        <v>87</v>
      </c>
      <c r="AG107" s="6" t="s">
        <v>122</v>
      </c>
      <c r="AH107" s="6">
        <v>3.97</v>
      </c>
      <c r="AI107" s="6">
        <v>4</v>
      </c>
      <c r="AJ107" s="6">
        <v>0</v>
      </c>
      <c r="AK107" s="7">
        <v>42024</v>
      </c>
      <c r="AL107" s="6">
        <v>15</v>
      </c>
    </row>
    <row r="108" spans="1:38" x14ac:dyDescent="0.35">
      <c r="A108" s="6" t="s">
        <v>250</v>
      </c>
      <c r="B108" s="6">
        <v>10018</v>
      </c>
      <c r="C108" s="6">
        <v>0</v>
      </c>
      <c r="D108" s="6">
        <v>0</v>
      </c>
      <c r="E108" s="6">
        <v>0</v>
      </c>
      <c r="F108" s="6">
        <v>1</v>
      </c>
      <c r="G108" s="6">
        <v>5</v>
      </c>
      <c r="H108" s="6">
        <v>4</v>
      </c>
      <c r="I108" s="6">
        <v>0</v>
      </c>
      <c r="J108" s="6">
        <v>57815</v>
      </c>
      <c r="K108" s="6">
        <v>0</v>
      </c>
      <c r="L108" s="6">
        <v>19</v>
      </c>
      <c r="M108" s="6" t="s">
        <v>39</v>
      </c>
      <c r="N108" s="6" t="s">
        <v>40</v>
      </c>
      <c r="O108" s="6">
        <v>2451</v>
      </c>
      <c r="P108" s="7">
        <v>29692</v>
      </c>
      <c r="Q108" s="8">
        <v>44</v>
      </c>
      <c r="R108" s="8" t="s">
        <v>41</v>
      </c>
      <c r="S108" s="6" t="s">
        <v>64</v>
      </c>
      <c r="T108" s="6" t="s">
        <v>43</v>
      </c>
      <c r="U108" s="6" t="s">
        <v>44</v>
      </c>
      <c r="V108" s="6" t="s">
        <v>92</v>
      </c>
      <c r="W108" s="6" t="s">
        <v>102</v>
      </c>
      <c r="X108" s="7">
        <v>41911</v>
      </c>
      <c r="Y108" s="8">
        <f t="shared" ca="1" si="1"/>
        <v>11</v>
      </c>
      <c r="Z108" s="7"/>
      <c r="AA108" s="6" t="s">
        <v>47</v>
      </c>
      <c r="AB108" s="6" t="s">
        <v>48</v>
      </c>
      <c r="AC108" s="6" t="s">
        <v>49</v>
      </c>
      <c r="AD108" s="6" t="s">
        <v>75</v>
      </c>
      <c r="AE108" s="6">
        <v>11</v>
      </c>
      <c r="AF108" s="6" t="s">
        <v>60</v>
      </c>
      <c r="AG108" s="6" t="s">
        <v>52</v>
      </c>
      <c r="AH108" s="6">
        <v>3.9</v>
      </c>
      <c r="AI108" s="6">
        <v>4</v>
      </c>
      <c r="AJ108" s="6">
        <v>0</v>
      </c>
      <c r="AK108" s="7">
        <v>43648</v>
      </c>
      <c r="AL108" s="6">
        <v>3</v>
      </c>
    </row>
    <row r="109" spans="1:38" x14ac:dyDescent="0.35">
      <c r="A109" s="6" t="s">
        <v>251</v>
      </c>
      <c r="B109" s="6">
        <v>10255</v>
      </c>
      <c r="C109" s="6">
        <v>0</v>
      </c>
      <c r="D109" s="6">
        <v>0</v>
      </c>
      <c r="E109" s="6">
        <v>0</v>
      </c>
      <c r="F109" s="6">
        <v>1</v>
      </c>
      <c r="G109" s="6">
        <v>6</v>
      </c>
      <c r="H109" s="6">
        <v>3</v>
      </c>
      <c r="I109" s="6">
        <v>0</v>
      </c>
      <c r="J109" s="6">
        <v>61555</v>
      </c>
      <c r="K109" s="6">
        <v>0</v>
      </c>
      <c r="L109" s="6">
        <v>3</v>
      </c>
      <c r="M109" s="6" t="s">
        <v>143</v>
      </c>
      <c r="N109" s="6" t="s">
        <v>252</v>
      </c>
      <c r="O109" s="6">
        <v>46204</v>
      </c>
      <c r="P109" s="7">
        <v>31557</v>
      </c>
      <c r="Q109" s="8">
        <v>39</v>
      </c>
      <c r="R109" s="8" t="s">
        <v>41</v>
      </c>
      <c r="S109" s="6" t="s">
        <v>64</v>
      </c>
      <c r="T109" s="6" t="s">
        <v>43</v>
      </c>
      <c r="U109" s="6" t="s">
        <v>44</v>
      </c>
      <c r="V109" s="6" t="s">
        <v>45</v>
      </c>
      <c r="W109" s="6" t="s">
        <v>46</v>
      </c>
      <c r="X109" s="7">
        <v>42051</v>
      </c>
      <c r="Y109" s="8">
        <f t="shared" ca="1" si="1"/>
        <v>11</v>
      </c>
      <c r="Z109" s="7"/>
      <c r="AA109" s="6" t="s">
        <v>47</v>
      </c>
      <c r="AB109" s="6" t="s">
        <v>48</v>
      </c>
      <c r="AC109" s="6" t="s">
        <v>145</v>
      </c>
      <c r="AD109" s="6" t="s">
        <v>164</v>
      </c>
      <c r="AE109" s="6">
        <v>21</v>
      </c>
      <c r="AF109" s="6" t="s">
        <v>60</v>
      </c>
      <c r="AG109" s="6" t="s">
        <v>61</v>
      </c>
      <c r="AH109" s="6">
        <v>4.5</v>
      </c>
      <c r="AI109" s="6">
        <v>5</v>
      </c>
      <c r="AJ109" s="6">
        <v>0</v>
      </c>
      <c r="AK109" s="7">
        <v>43490</v>
      </c>
      <c r="AL109" s="6">
        <v>20</v>
      </c>
    </row>
    <row r="110" spans="1:38" x14ac:dyDescent="0.35">
      <c r="A110" s="6" t="s">
        <v>253</v>
      </c>
      <c r="B110" s="6">
        <v>10246</v>
      </c>
      <c r="C110" s="6">
        <v>0</v>
      </c>
      <c r="D110" s="6">
        <v>0</v>
      </c>
      <c r="E110" s="6">
        <v>0</v>
      </c>
      <c r="F110" s="6">
        <v>4</v>
      </c>
      <c r="G110" s="6">
        <v>3</v>
      </c>
      <c r="H110" s="6">
        <v>3</v>
      </c>
      <c r="I110" s="6">
        <v>0</v>
      </c>
      <c r="J110" s="6">
        <v>114800</v>
      </c>
      <c r="K110" s="6">
        <v>1</v>
      </c>
      <c r="L110" s="6">
        <v>8</v>
      </c>
      <c r="M110" s="6" t="s">
        <v>113</v>
      </c>
      <c r="N110" s="6" t="s">
        <v>40</v>
      </c>
      <c r="O110" s="6">
        <v>2127</v>
      </c>
      <c r="P110" s="7">
        <v>28996</v>
      </c>
      <c r="Q110" s="8">
        <v>46</v>
      </c>
      <c r="R110" s="8" t="s">
        <v>41</v>
      </c>
      <c r="S110" s="6" t="s">
        <v>64</v>
      </c>
      <c r="T110" s="6" t="s">
        <v>43</v>
      </c>
      <c r="U110" s="6" t="s">
        <v>44</v>
      </c>
      <c r="V110" s="6" t="s">
        <v>45</v>
      </c>
      <c r="W110" s="6" t="s">
        <v>46</v>
      </c>
      <c r="X110" s="7">
        <v>42051</v>
      </c>
      <c r="Y110" s="8">
        <f t="shared" ca="1" si="1"/>
        <v>11</v>
      </c>
      <c r="Z110" s="7">
        <v>42078</v>
      </c>
      <c r="AA110" s="6" t="s">
        <v>222</v>
      </c>
      <c r="AB110" s="6" t="s">
        <v>108</v>
      </c>
      <c r="AC110" s="6" t="s">
        <v>58</v>
      </c>
      <c r="AD110" s="6" t="s">
        <v>59</v>
      </c>
      <c r="AE110" s="6">
        <v>4</v>
      </c>
      <c r="AF110" s="6" t="s">
        <v>60</v>
      </c>
      <c r="AG110" s="6" t="s">
        <v>61</v>
      </c>
      <c r="AH110" s="6">
        <v>4.5999999999999996</v>
      </c>
      <c r="AI110" s="6">
        <v>4</v>
      </c>
      <c r="AJ110" s="6">
        <v>4</v>
      </c>
      <c r="AK110" s="7">
        <v>42024</v>
      </c>
      <c r="AL110" s="6">
        <v>10</v>
      </c>
    </row>
    <row r="111" spans="1:38" x14ac:dyDescent="0.35">
      <c r="A111" s="6" t="s">
        <v>254</v>
      </c>
      <c r="B111" s="6">
        <v>10228</v>
      </c>
      <c r="C111" s="6">
        <v>1</v>
      </c>
      <c r="D111" s="6">
        <v>1</v>
      </c>
      <c r="E111" s="6">
        <v>1</v>
      </c>
      <c r="F111" s="6">
        <v>1</v>
      </c>
      <c r="G111" s="6">
        <v>3</v>
      </c>
      <c r="H111" s="6">
        <v>3</v>
      </c>
      <c r="I111" s="6">
        <v>0</v>
      </c>
      <c r="J111" s="6">
        <v>74679</v>
      </c>
      <c r="K111" s="6">
        <v>0</v>
      </c>
      <c r="L111" s="6">
        <v>14</v>
      </c>
      <c r="M111" s="6" t="s">
        <v>89</v>
      </c>
      <c r="N111" s="6" t="s">
        <v>40</v>
      </c>
      <c r="O111" s="6">
        <v>2135</v>
      </c>
      <c r="P111" s="7">
        <v>30457</v>
      </c>
      <c r="Q111" s="8">
        <v>42</v>
      </c>
      <c r="R111" s="8" t="s">
        <v>41</v>
      </c>
      <c r="S111" s="6" t="s">
        <v>42</v>
      </c>
      <c r="T111" s="6" t="s">
        <v>55</v>
      </c>
      <c r="U111" s="6" t="s">
        <v>44</v>
      </c>
      <c r="V111" s="6" t="s">
        <v>92</v>
      </c>
      <c r="W111" s="6" t="s">
        <v>46</v>
      </c>
      <c r="X111" s="7">
        <v>42093</v>
      </c>
      <c r="Y111" s="8">
        <f t="shared" ca="1" si="1"/>
        <v>11</v>
      </c>
      <c r="Z111" s="7"/>
      <c r="AA111" s="6" t="s">
        <v>47</v>
      </c>
      <c r="AB111" s="6" t="s">
        <v>48</v>
      </c>
      <c r="AC111" s="6" t="s">
        <v>58</v>
      </c>
      <c r="AD111" s="6" t="s">
        <v>90</v>
      </c>
      <c r="AE111" s="6">
        <v>7</v>
      </c>
      <c r="AF111" s="6" t="s">
        <v>51</v>
      </c>
      <c r="AG111" s="6" t="s">
        <v>61</v>
      </c>
      <c r="AH111" s="6">
        <v>4.3</v>
      </c>
      <c r="AI111" s="6">
        <v>5</v>
      </c>
      <c r="AJ111" s="6">
        <v>7</v>
      </c>
      <c r="AK111" s="7">
        <v>43739</v>
      </c>
      <c r="AL111" s="6">
        <v>20</v>
      </c>
    </row>
    <row r="112" spans="1:38" x14ac:dyDescent="0.35">
      <c r="A112" s="6" t="s">
        <v>255</v>
      </c>
      <c r="B112" s="6">
        <v>10243</v>
      </c>
      <c r="C112" s="6">
        <v>0</v>
      </c>
      <c r="D112" s="6">
        <v>0</v>
      </c>
      <c r="E112" s="6">
        <v>0</v>
      </c>
      <c r="F112" s="6">
        <v>1</v>
      </c>
      <c r="G112" s="6">
        <v>5</v>
      </c>
      <c r="H112" s="6">
        <v>3</v>
      </c>
      <c r="I112" s="6">
        <v>0</v>
      </c>
      <c r="J112" s="6">
        <v>53018</v>
      </c>
      <c r="K112" s="6">
        <v>0</v>
      </c>
      <c r="L112" s="6">
        <v>19</v>
      </c>
      <c r="M112" s="6" t="s">
        <v>39</v>
      </c>
      <c r="N112" s="6" t="s">
        <v>40</v>
      </c>
      <c r="O112" s="6">
        <v>2451</v>
      </c>
      <c r="P112" s="7">
        <v>32689</v>
      </c>
      <c r="Q112" s="8">
        <v>36</v>
      </c>
      <c r="R112" s="8" t="s">
        <v>41</v>
      </c>
      <c r="S112" s="6" t="s">
        <v>64</v>
      </c>
      <c r="T112" s="6" t="s">
        <v>43</v>
      </c>
      <c r="U112" s="6" t="s">
        <v>44</v>
      </c>
      <c r="V112" s="6" t="s">
        <v>92</v>
      </c>
      <c r="W112" s="6" t="s">
        <v>46</v>
      </c>
      <c r="X112" s="7">
        <v>41589</v>
      </c>
      <c r="Y112" s="8">
        <f t="shared" ca="1" si="1"/>
        <v>12</v>
      </c>
      <c r="Z112" s="7"/>
      <c r="AA112" s="6" t="s">
        <v>47</v>
      </c>
      <c r="AB112" s="6" t="s">
        <v>48</v>
      </c>
      <c r="AC112" s="6" t="s">
        <v>49</v>
      </c>
      <c r="AD112" s="6" t="s">
        <v>82</v>
      </c>
      <c r="AE112" s="6">
        <v>19</v>
      </c>
      <c r="AF112" s="6" t="s">
        <v>60</v>
      </c>
      <c r="AG112" s="6" t="s">
        <v>61</v>
      </c>
      <c r="AH112" s="6">
        <v>4.3</v>
      </c>
      <c r="AI112" s="6">
        <v>5</v>
      </c>
      <c r="AJ112" s="6">
        <v>0</v>
      </c>
      <c r="AK112" s="7">
        <v>43514</v>
      </c>
      <c r="AL112" s="6">
        <v>7</v>
      </c>
    </row>
    <row r="113" spans="1:38" x14ac:dyDescent="0.35">
      <c r="A113" s="6" t="s">
        <v>256</v>
      </c>
      <c r="B113" s="6">
        <v>10031</v>
      </c>
      <c r="C113" s="6">
        <v>0</v>
      </c>
      <c r="D113" s="6">
        <v>2</v>
      </c>
      <c r="E113" s="6">
        <v>1</v>
      </c>
      <c r="F113" s="6">
        <v>1</v>
      </c>
      <c r="G113" s="6">
        <v>5</v>
      </c>
      <c r="H113" s="6">
        <v>4</v>
      </c>
      <c r="I113" s="6">
        <v>1</v>
      </c>
      <c r="J113" s="6">
        <v>59892</v>
      </c>
      <c r="K113" s="6">
        <v>0</v>
      </c>
      <c r="L113" s="6">
        <v>19</v>
      </c>
      <c r="M113" s="6" t="s">
        <v>39</v>
      </c>
      <c r="N113" s="6" t="s">
        <v>40</v>
      </c>
      <c r="O113" s="6">
        <v>2108</v>
      </c>
      <c r="P113" s="7">
        <v>28207</v>
      </c>
      <c r="Q113" s="8">
        <v>48</v>
      </c>
      <c r="R113" s="8" t="s">
        <v>41</v>
      </c>
      <c r="S113" s="6" t="s">
        <v>42</v>
      </c>
      <c r="T113" s="6" t="s">
        <v>70</v>
      </c>
      <c r="U113" s="6" t="s">
        <v>44</v>
      </c>
      <c r="V113" s="6" t="s">
        <v>45</v>
      </c>
      <c r="W113" s="6" t="s">
        <v>85</v>
      </c>
      <c r="X113" s="7">
        <v>40854</v>
      </c>
      <c r="Y113" s="8">
        <f t="shared" ca="1" si="1"/>
        <v>14</v>
      </c>
      <c r="Z113" s="7"/>
      <c r="AA113" s="6" t="s">
        <v>47</v>
      </c>
      <c r="AB113" s="6" t="s">
        <v>48</v>
      </c>
      <c r="AC113" s="6" t="s">
        <v>49</v>
      </c>
      <c r="AD113" s="6" t="s">
        <v>86</v>
      </c>
      <c r="AE113" s="6">
        <v>12</v>
      </c>
      <c r="AF113" s="6" t="s">
        <v>87</v>
      </c>
      <c r="AG113" s="6" t="s">
        <v>52</v>
      </c>
      <c r="AH113" s="6">
        <v>4.5</v>
      </c>
      <c r="AI113" s="6">
        <v>4</v>
      </c>
      <c r="AJ113" s="6">
        <v>0</v>
      </c>
      <c r="AK113" s="7">
        <v>43514</v>
      </c>
      <c r="AL113" s="6">
        <v>1</v>
      </c>
    </row>
    <row r="114" spans="1:38" x14ac:dyDescent="0.35">
      <c r="A114" s="6" t="s">
        <v>257</v>
      </c>
      <c r="B114" s="6">
        <v>10300</v>
      </c>
      <c r="C114" s="6">
        <v>1</v>
      </c>
      <c r="D114" s="6">
        <v>1</v>
      </c>
      <c r="E114" s="6">
        <v>1</v>
      </c>
      <c r="F114" s="6">
        <v>5</v>
      </c>
      <c r="G114" s="6">
        <v>5</v>
      </c>
      <c r="H114" s="6">
        <v>1</v>
      </c>
      <c r="I114" s="6">
        <v>1</v>
      </c>
      <c r="J114" s="6">
        <v>68898</v>
      </c>
      <c r="K114" s="6">
        <v>1</v>
      </c>
      <c r="L114" s="6">
        <v>20</v>
      </c>
      <c r="M114" s="6" t="s">
        <v>63</v>
      </c>
      <c r="N114" s="6" t="s">
        <v>40</v>
      </c>
      <c r="O114" s="6">
        <v>2128</v>
      </c>
      <c r="P114" s="7">
        <v>19224</v>
      </c>
      <c r="Q114" s="8">
        <v>72</v>
      </c>
      <c r="R114" s="8" t="s">
        <v>96</v>
      </c>
      <c r="S114" s="6" t="s">
        <v>42</v>
      </c>
      <c r="T114" s="6" t="s">
        <v>55</v>
      </c>
      <c r="U114" s="6" t="s">
        <v>44</v>
      </c>
      <c r="V114" s="6" t="s">
        <v>45</v>
      </c>
      <c r="W114" s="6" t="s">
        <v>85</v>
      </c>
      <c r="X114" s="7">
        <v>40659</v>
      </c>
      <c r="Y114" s="8">
        <f t="shared" ca="1" si="1"/>
        <v>15</v>
      </c>
      <c r="Z114" s="7">
        <v>40693</v>
      </c>
      <c r="AA114" s="6" t="s">
        <v>56</v>
      </c>
      <c r="AB114" s="6" t="s">
        <v>57</v>
      </c>
      <c r="AC114" s="6" t="s">
        <v>49</v>
      </c>
      <c r="AD114" s="6" t="s">
        <v>86</v>
      </c>
      <c r="AE114" s="6">
        <v>12</v>
      </c>
      <c r="AF114" s="6" t="s">
        <v>87</v>
      </c>
      <c r="AG114" s="6" t="s">
        <v>195</v>
      </c>
      <c r="AH114" s="6">
        <v>3</v>
      </c>
      <c r="AI114" s="6">
        <v>3</v>
      </c>
      <c r="AJ114" s="6">
        <v>0</v>
      </c>
      <c r="AK114" s="7">
        <v>40697</v>
      </c>
      <c r="AL114" s="6">
        <v>10</v>
      </c>
    </row>
    <row r="115" spans="1:38" x14ac:dyDescent="0.35">
      <c r="A115" s="6" t="s">
        <v>258</v>
      </c>
      <c r="B115" s="6">
        <v>10101</v>
      </c>
      <c r="C115" s="6">
        <v>0</v>
      </c>
      <c r="D115" s="6">
        <v>3</v>
      </c>
      <c r="E115" s="6">
        <v>0</v>
      </c>
      <c r="F115" s="6">
        <v>1</v>
      </c>
      <c r="G115" s="6">
        <v>3</v>
      </c>
      <c r="H115" s="6">
        <v>3</v>
      </c>
      <c r="I115" s="6">
        <v>0</v>
      </c>
      <c r="J115" s="6">
        <v>61242</v>
      </c>
      <c r="K115" s="6">
        <v>0</v>
      </c>
      <c r="L115" s="6">
        <v>14</v>
      </c>
      <c r="M115" s="6" t="s">
        <v>89</v>
      </c>
      <c r="N115" s="6" t="s">
        <v>40</v>
      </c>
      <c r="O115" s="6">
        <v>2472</v>
      </c>
      <c r="P115" s="7">
        <v>26538</v>
      </c>
      <c r="Q115" s="8">
        <v>52</v>
      </c>
      <c r="R115" s="8" t="s">
        <v>41</v>
      </c>
      <c r="S115" s="6" t="s">
        <v>64</v>
      </c>
      <c r="T115" s="6" t="s">
        <v>141</v>
      </c>
      <c r="U115" s="6" t="s">
        <v>44</v>
      </c>
      <c r="V115" s="6" t="s">
        <v>92</v>
      </c>
      <c r="W115" s="6" t="s">
        <v>46</v>
      </c>
      <c r="X115" s="7">
        <v>42125</v>
      </c>
      <c r="Y115" s="8">
        <f t="shared" ca="1" si="1"/>
        <v>11</v>
      </c>
      <c r="Z115" s="7"/>
      <c r="AA115" s="6" t="s">
        <v>47</v>
      </c>
      <c r="AB115" s="6" t="s">
        <v>48</v>
      </c>
      <c r="AC115" s="6" t="s">
        <v>58</v>
      </c>
      <c r="AD115" s="6" t="s">
        <v>90</v>
      </c>
      <c r="AE115" s="6">
        <v>7</v>
      </c>
      <c r="AF115" s="6" t="s">
        <v>83</v>
      </c>
      <c r="AG115" s="6" t="s">
        <v>61</v>
      </c>
      <c r="AH115" s="6">
        <v>4.6100000000000003</v>
      </c>
      <c r="AI115" s="6">
        <v>4</v>
      </c>
      <c r="AJ115" s="6">
        <v>5</v>
      </c>
      <c r="AK115" s="7">
        <v>43493</v>
      </c>
      <c r="AL115" s="6">
        <v>11</v>
      </c>
    </row>
    <row r="116" spans="1:38" x14ac:dyDescent="0.35">
      <c r="A116" s="6" t="s">
        <v>259</v>
      </c>
      <c r="B116" s="6">
        <v>10237</v>
      </c>
      <c r="C116" s="6">
        <v>1</v>
      </c>
      <c r="D116" s="6">
        <v>1</v>
      </c>
      <c r="E116" s="6">
        <v>0</v>
      </c>
      <c r="F116" s="6">
        <v>3</v>
      </c>
      <c r="G116" s="6">
        <v>5</v>
      </c>
      <c r="H116" s="6">
        <v>3</v>
      </c>
      <c r="I116" s="6">
        <v>0</v>
      </c>
      <c r="J116" s="6">
        <v>66825</v>
      </c>
      <c r="K116" s="6">
        <v>0</v>
      </c>
      <c r="L116" s="6">
        <v>20</v>
      </c>
      <c r="M116" s="6" t="s">
        <v>63</v>
      </c>
      <c r="N116" s="6" t="s">
        <v>40</v>
      </c>
      <c r="O116" s="6">
        <v>1886</v>
      </c>
      <c r="P116" s="7">
        <v>32400</v>
      </c>
      <c r="Q116" s="8">
        <v>36</v>
      </c>
      <c r="R116" s="8" t="s">
        <v>41</v>
      </c>
      <c r="S116" s="6" t="s">
        <v>64</v>
      </c>
      <c r="T116" s="6" t="s">
        <v>55</v>
      </c>
      <c r="U116" s="6" t="s">
        <v>44</v>
      </c>
      <c r="V116" s="6" t="s">
        <v>45</v>
      </c>
      <c r="W116" s="6" t="s">
        <v>46</v>
      </c>
      <c r="X116" s="7">
        <v>41978</v>
      </c>
      <c r="Y116" s="8">
        <f t="shared" ca="1" si="1"/>
        <v>11</v>
      </c>
      <c r="Z116" s="7"/>
      <c r="AA116" s="6" t="s">
        <v>47</v>
      </c>
      <c r="AB116" s="6" t="s">
        <v>48</v>
      </c>
      <c r="AC116" s="6" t="s">
        <v>49</v>
      </c>
      <c r="AD116" s="6" t="s">
        <v>94</v>
      </c>
      <c r="AE116" s="6">
        <v>14</v>
      </c>
      <c r="AF116" s="6" t="s">
        <v>51</v>
      </c>
      <c r="AG116" s="6" t="s">
        <v>61</v>
      </c>
      <c r="AH116" s="6">
        <v>4.5999999999999996</v>
      </c>
      <c r="AI116" s="6">
        <v>3</v>
      </c>
      <c r="AJ116" s="6">
        <v>0</v>
      </c>
      <c r="AK116" s="7">
        <v>43648</v>
      </c>
      <c r="AL116" s="6">
        <v>20</v>
      </c>
    </row>
    <row r="117" spans="1:38" x14ac:dyDescent="0.35">
      <c r="A117" s="6" t="s">
        <v>260</v>
      </c>
      <c r="B117" s="6">
        <v>10051</v>
      </c>
      <c r="C117" s="6">
        <v>1</v>
      </c>
      <c r="D117" s="6">
        <v>1</v>
      </c>
      <c r="E117" s="6">
        <v>1</v>
      </c>
      <c r="F117" s="6">
        <v>1</v>
      </c>
      <c r="G117" s="6">
        <v>5</v>
      </c>
      <c r="H117" s="6">
        <v>3</v>
      </c>
      <c r="I117" s="6">
        <v>0</v>
      </c>
      <c r="J117" s="6">
        <v>48285</v>
      </c>
      <c r="K117" s="6">
        <v>0</v>
      </c>
      <c r="L117" s="6">
        <v>19</v>
      </c>
      <c r="M117" s="6" t="s">
        <v>39</v>
      </c>
      <c r="N117" s="6" t="s">
        <v>40</v>
      </c>
      <c r="O117" s="6">
        <v>2169</v>
      </c>
      <c r="P117" s="7">
        <v>30728</v>
      </c>
      <c r="Q117" s="8">
        <v>41</v>
      </c>
      <c r="R117" s="8" t="s">
        <v>41</v>
      </c>
      <c r="S117" s="6" t="s">
        <v>42</v>
      </c>
      <c r="T117" s="6" t="s">
        <v>55</v>
      </c>
      <c r="U117" s="6" t="s">
        <v>44</v>
      </c>
      <c r="V117" s="6" t="s">
        <v>45</v>
      </c>
      <c r="W117" s="6" t="s">
        <v>46</v>
      </c>
      <c r="X117" s="7">
        <v>40946</v>
      </c>
      <c r="Y117" s="8">
        <f t="shared" ca="1" si="1"/>
        <v>14</v>
      </c>
      <c r="Z117" s="7"/>
      <c r="AA117" s="6" t="s">
        <v>47</v>
      </c>
      <c r="AB117" s="6" t="s">
        <v>48</v>
      </c>
      <c r="AC117" s="6" t="s">
        <v>49</v>
      </c>
      <c r="AD117" s="6" t="s">
        <v>94</v>
      </c>
      <c r="AE117" s="6">
        <v>14</v>
      </c>
      <c r="AF117" s="6" t="s">
        <v>51</v>
      </c>
      <c r="AG117" s="6" t="s">
        <v>61</v>
      </c>
      <c r="AH117" s="6">
        <v>5</v>
      </c>
      <c r="AI117" s="6">
        <v>3</v>
      </c>
      <c r="AJ117" s="6">
        <v>0</v>
      </c>
      <c r="AK117" s="7">
        <v>43479</v>
      </c>
      <c r="AL117" s="6">
        <v>2</v>
      </c>
    </row>
    <row r="118" spans="1:38" x14ac:dyDescent="0.35">
      <c r="A118" s="6" t="s">
        <v>261</v>
      </c>
      <c r="B118" s="6">
        <v>10218</v>
      </c>
      <c r="C118" s="6">
        <v>0</v>
      </c>
      <c r="D118" s="6">
        <v>3</v>
      </c>
      <c r="E118" s="6">
        <v>0</v>
      </c>
      <c r="F118" s="6">
        <v>3</v>
      </c>
      <c r="G118" s="6">
        <v>5</v>
      </c>
      <c r="H118" s="6">
        <v>3</v>
      </c>
      <c r="I118" s="6">
        <v>0</v>
      </c>
      <c r="J118" s="6">
        <v>66149</v>
      </c>
      <c r="K118" s="6">
        <v>0</v>
      </c>
      <c r="L118" s="6">
        <v>20</v>
      </c>
      <c r="M118" s="6" t="s">
        <v>63</v>
      </c>
      <c r="N118" s="6" t="s">
        <v>40</v>
      </c>
      <c r="O118" s="6">
        <v>1824</v>
      </c>
      <c r="P118" s="7">
        <v>30733</v>
      </c>
      <c r="Q118" s="8">
        <v>41</v>
      </c>
      <c r="R118" s="8" t="s">
        <v>41</v>
      </c>
      <c r="S118" s="6" t="s">
        <v>64</v>
      </c>
      <c r="T118" s="6" t="s">
        <v>141</v>
      </c>
      <c r="U118" s="6" t="s">
        <v>44</v>
      </c>
      <c r="V118" s="6" t="s">
        <v>45</v>
      </c>
      <c r="W118" s="6" t="s">
        <v>262</v>
      </c>
      <c r="X118" s="7">
        <v>41547</v>
      </c>
      <c r="Y118" s="8">
        <f t="shared" ca="1" si="1"/>
        <v>12</v>
      </c>
      <c r="Z118" s="7"/>
      <c r="AA118" s="6" t="s">
        <v>47</v>
      </c>
      <c r="AB118" s="6" t="s">
        <v>48</v>
      </c>
      <c r="AC118" s="6" t="s">
        <v>49</v>
      </c>
      <c r="AD118" s="6" t="s">
        <v>66</v>
      </c>
      <c r="AE118" s="6">
        <v>20</v>
      </c>
      <c r="AF118" s="6" t="s">
        <v>73</v>
      </c>
      <c r="AG118" s="6" t="s">
        <v>61</v>
      </c>
      <c r="AH118" s="6">
        <v>4.4000000000000004</v>
      </c>
      <c r="AI118" s="6">
        <v>5</v>
      </c>
      <c r="AJ118" s="6">
        <v>0</v>
      </c>
      <c r="AK118" s="7">
        <v>43517</v>
      </c>
      <c r="AL118" s="6">
        <v>1</v>
      </c>
    </row>
    <row r="119" spans="1:38" x14ac:dyDescent="0.35">
      <c r="A119" s="6" t="s">
        <v>263</v>
      </c>
      <c r="B119" s="6">
        <v>10256</v>
      </c>
      <c r="C119" s="6">
        <v>1</v>
      </c>
      <c r="D119" s="6">
        <v>1</v>
      </c>
      <c r="E119" s="6">
        <v>0</v>
      </c>
      <c r="F119" s="6">
        <v>3</v>
      </c>
      <c r="G119" s="6">
        <v>5</v>
      </c>
      <c r="H119" s="6">
        <v>3</v>
      </c>
      <c r="I119" s="6">
        <v>0</v>
      </c>
      <c r="J119" s="6">
        <v>49256</v>
      </c>
      <c r="K119" s="6">
        <v>0</v>
      </c>
      <c r="L119" s="6">
        <v>19</v>
      </c>
      <c r="M119" s="6" t="s">
        <v>39</v>
      </c>
      <c r="N119" s="6" t="s">
        <v>40</v>
      </c>
      <c r="O119" s="6">
        <v>1864</v>
      </c>
      <c r="P119" s="7">
        <v>24183</v>
      </c>
      <c r="Q119" s="8">
        <v>59</v>
      </c>
      <c r="R119" s="8" t="s">
        <v>41</v>
      </c>
      <c r="S119" s="6" t="s">
        <v>64</v>
      </c>
      <c r="T119" s="6" t="s">
        <v>55</v>
      </c>
      <c r="U119" s="6" t="s">
        <v>44</v>
      </c>
      <c r="V119" s="6" t="s">
        <v>45</v>
      </c>
      <c r="W119" s="6" t="s">
        <v>116</v>
      </c>
      <c r="X119" s="7">
        <v>41505</v>
      </c>
      <c r="Y119" s="8">
        <f t="shared" ca="1" si="1"/>
        <v>12</v>
      </c>
      <c r="Z119" s="7"/>
      <c r="AA119" s="6" t="s">
        <v>47</v>
      </c>
      <c r="AB119" s="6" t="s">
        <v>48</v>
      </c>
      <c r="AC119" s="6" t="s">
        <v>49</v>
      </c>
      <c r="AD119" s="6" t="s">
        <v>66</v>
      </c>
      <c r="AE119" s="6">
        <v>20</v>
      </c>
      <c r="AF119" s="6" t="s">
        <v>51</v>
      </c>
      <c r="AG119" s="6" t="s">
        <v>61</v>
      </c>
      <c r="AH119" s="6">
        <v>4.0999999999999996</v>
      </c>
      <c r="AI119" s="6">
        <v>5</v>
      </c>
      <c r="AJ119" s="6">
        <v>0</v>
      </c>
      <c r="AK119" s="7">
        <v>43511</v>
      </c>
      <c r="AL119" s="6">
        <v>3</v>
      </c>
    </row>
    <row r="120" spans="1:38" x14ac:dyDescent="0.35">
      <c r="A120" s="6" t="s">
        <v>264</v>
      </c>
      <c r="B120" s="6">
        <v>10098</v>
      </c>
      <c r="C120" s="6">
        <v>0</v>
      </c>
      <c r="D120" s="6">
        <v>2</v>
      </c>
      <c r="E120" s="6">
        <v>1</v>
      </c>
      <c r="F120" s="6">
        <v>1</v>
      </c>
      <c r="G120" s="6">
        <v>5</v>
      </c>
      <c r="H120" s="6">
        <v>3</v>
      </c>
      <c r="I120" s="6">
        <v>0</v>
      </c>
      <c r="J120" s="6">
        <v>62957</v>
      </c>
      <c r="K120" s="6">
        <v>0</v>
      </c>
      <c r="L120" s="6">
        <v>18</v>
      </c>
      <c r="M120" s="6" t="s">
        <v>133</v>
      </c>
      <c r="N120" s="6" t="s">
        <v>40</v>
      </c>
      <c r="O120" s="6">
        <v>1752</v>
      </c>
      <c r="P120" s="7">
        <v>31306</v>
      </c>
      <c r="Q120" s="8">
        <v>39</v>
      </c>
      <c r="R120" s="8" t="s">
        <v>41</v>
      </c>
      <c r="S120" s="6" t="s">
        <v>42</v>
      </c>
      <c r="T120" s="6" t="s">
        <v>70</v>
      </c>
      <c r="U120" s="6" t="s">
        <v>44</v>
      </c>
      <c r="V120" s="6" t="s">
        <v>45</v>
      </c>
      <c r="W120" s="6" t="s">
        <v>46</v>
      </c>
      <c r="X120" s="7">
        <v>42041</v>
      </c>
      <c r="Y120" s="8">
        <f t="shared" ca="1" si="1"/>
        <v>11</v>
      </c>
      <c r="Z120" s="7"/>
      <c r="AA120" s="6" t="s">
        <v>47</v>
      </c>
      <c r="AB120" s="6" t="s">
        <v>48</v>
      </c>
      <c r="AC120" s="6" t="s">
        <v>49</v>
      </c>
      <c r="AD120" s="6" t="s">
        <v>135</v>
      </c>
      <c r="AE120" s="6">
        <v>2</v>
      </c>
      <c r="AF120" s="6" t="s">
        <v>83</v>
      </c>
      <c r="AG120" s="6" t="s">
        <v>61</v>
      </c>
      <c r="AH120" s="6">
        <v>4.63</v>
      </c>
      <c r="AI120" s="6">
        <v>3</v>
      </c>
      <c r="AJ120" s="6">
        <v>0</v>
      </c>
      <c r="AK120" s="7">
        <v>43556</v>
      </c>
      <c r="AL120" s="6">
        <v>2</v>
      </c>
    </row>
    <row r="121" spans="1:38" x14ac:dyDescent="0.35">
      <c r="A121" s="6" t="s">
        <v>265</v>
      </c>
      <c r="B121" s="6">
        <v>10059</v>
      </c>
      <c r="C121" s="6">
        <v>0</v>
      </c>
      <c r="D121" s="6">
        <v>2</v>
      </c>
      <c r="E121" s="6">
        <v>0</v>
      </c>
      <c r="F121" s="6">
        <v>5</v>
      </c>
      <c r="G121" s="6">
        <v>5</v>
      </c>
      <c r="H121" s="6">
        <v>3</v>
      </c>
      <c r="I121" s="6">
        <v>0</v>
      </c>
      <c r="J121" s="6">
        <v>63813</v>
      </c>
      <c r="K121" s="6">
        <v>1</v>
      </c>
      <c r="L121" s="6">
        <v>19</v>
      </c>
      <c r="M121" s="6" t="s">
        <v>39</v>
      </c>
      <c r="N121" s="6" t="s">
        <v>40</v>
      </c>
      <c r="O121" s="6">
        <v>2176</v>
      </c>
      <c r="P121" s="7">
        <v>28025</v>
      </c>
      <c r="Q121" s="8">
        <v>48</v>
      </c>
      <c r="R121" s="8" t="s">
        <v>41</v>
      </c>
      <c r="S121" s="6" t="s">
        <v>64</v>
      </c>
      <c r="T121" s="6" t="s">
        <v>70</v>
      </c>
      <c r="U121" s="6" t="s">
        <v>44</v>
      </c>
      <c r="V121" s="6" t="s">
        <v>45</v>
      </c>
      <c r="W121" s="6" t="s">
        <v>46</v>
      </c>
      <c r="X121" s="7">
        <v>40595</v>
      </c>
      <c r="Y121" s="8">
        <f t="shared" ca="1" si="1"/>
        <v>15</v>
      </c>
      <c r="Z121" s="7">
        <v>41944</v>
      </c>
      <c r="AA121" s="6" t="s">
        <v>197</v>
      </c>
      <c r="AB121" s="6" t="s">
        <v>57</v>
      </c>
      <c r="AC121" s="6" t="s">
        <v>49</v>
      </c>
      <c r="AD121" s="6" t="s">
        <v>103</v>
      </c>
      <c r="AE121" s="6">
        <v>18</v>
      </c>
      <c r="AF121" s="6" t="s">
        <v>121</v>
      </c>
      <c r="AG121" s="6" t="s">
        <v>61</v>
      </c>
      <c r="AH121" s="6">
        <v>5</v>
      </c>
      <c r="AI121" s="6">
        <v>5</v>
      </c>
      <c r="AJ121" s="6">
        <v>0</v>
      </c>
      <c r="AK121" s="7">
        <v>41339</v>
      </c>
      <c r="AL121" s="6">
        <v>17</v>
      </c>
    </row>
    <row r="122" spans="1:38" x14ac:dyDescent="0.35">
      <c r="A122" s="6" t="s">
        <v>266</v>
      </c>
      <c r="B122" s="6">
        <v>10234</v>
      </c>
      <c r="C122" s="6">
        <v>1</v>
      </c>
      <c r="D122" s="6">
        <v>1</v>
      </c>
      <c r="E122" s="6">
        <v>1</v>
      </c>
      <c r="F122" s="6">
        <v>1</v>
      </c>
      <c r="G122" s="6">
        <v>3</v>
      </c>
      <c r="H122" s="6">
        <v>3</v>
      </c>
      <c r="I122" s="6">
        <v>0</v>
      </c>
      <c r="J122" s="6">
        <v>99020</v>
      </c>
      <c r="K122" s="6">
        <v>0</v>
      </c>
      <c r="L122" s="6">
        <v>4</v>
      </c>
      <c r="M122" s="6" t="s">
        <v>200</v>
      </c>
      <c r="N122" s="6" t="s">
        <v>40</v>
      </c>
      <c r="O122" s="6">
        <v>2134</v>
      </c>
      <c r="P122" s="7">
        <v>28079</v>
      </c>
      <c r="Q122" s="8">
        <v>48</v>
      </c>
      <c r="R122" s="8" t="s">
        <v>41</v>
      </c>
      <c r="S122" s="6" t="s">
        <v>42</v>
      </c>
      <c r="T122" s="6" t="s">
        <v>55</v>
      </c>
      <c r="U122" s="6" t="s">
        <v>44</v>
      </c>
      <c r="V122" s="6" t="s">
        <v>45</v>
      </c>
      <c r="W122" s="6" t="s">
        <v>85</v>
      </c>
      <c r="X122" s="7">
        <v>42845</v>
      </c>
      <c r="Y122" s="8">
        <f t="shared" ca="1" si="1"/>
        <v>9</v>
      </c>
      <c r="Z122" s="7"/>
      <c r="AA122" s="6" t="s">
        <v>47</v>
      </c>
      <c r="AB122" s="6" t="s">
        <v>48</v>
      </c>
      <c r="AC122" s="6" t="s">
        <v>58</v>
      </c>
      <c r="AD122" s="6" t="s">
        <v>201</v>
      </c>
      <c r="AE122" s="6">
        <v>13</v>
      </c>
      <c r="AF122" s="6" t="s">
        <v>60</v>
      </c>
      <c r="AG122" s="6" t="s">
        <v>61</v>
      </c>
      <c r="AH122" s="6">
        <v>4.2</v>
      </c>
      <c r="AI122" s="6">
        <v>5</v>
      </c>
      <c r="AJ122" s="6">
        <v>5</v>
      </c>
      <c r="AK122" s="7">
        <v>43493</v>
      </c>
      <c r="AL122" s="6">
        <v>8</v>
      </c>
    </row>
    <row r="123" spans="1:38" x14ac:dyDescent="0.35">
      <c r="A123" s="6" t="s">
        <v>267</v>
      </c>
      <c r="B123" s="6">
        <v>10109</v>
      </c>
      <c r="C123" s="6">
        <v>0</v>
      </c>
      <c r="D123" s="6">
        <v>0</v>
      </c>
      <c r="E123" s="6">
        <v>1</v>
      </c>
      <c r="F123" s="6">
        <v>5</v>
      </c>
      <c r="G123" s="6">
        <v>6</v>
      </c>
      <c r="H123" s="6">
        <v>3</v>
      </c>
      <c r="I123" s="6">
        <v>0</v>
      </c>
      <c r="J123" s="6">
        <v>71707</v>
      </c>
      <c r="K123" s="6">
        <v>1</v>
      </c>
      <c r="L123" s="6">
        <v>3</v>
      </c>
      <c r="M123" s="6" t="s">
        <v>143</v>
      </c>
      <c r="N123" s="6" t="s">
        <v>268</v>
      </c>
      <c r="O123" s="6">
        <v>37129</v>
      </c>
      <c r="P123" s="7">
        <v>33266</v>
      </c>
      <c r="Q123" s="8">
        <v>34</v>
      </c>
      <c r="R123" s="8" t="s">
        <v>41</v>
      </c>
      <c r="S123" s="6" t="s">
        <v>42</v>
      </c>
      <c r="T123" s="6" t="s">
        <v>43</v>
      </c>
      <c r="U123" s="6" t="s">
        <v>44</v>
      </c>
      <c r="V123" s="6" t="s">
        <v>45</v>
      </c>
      <c r="W123" s="6" t="s">
        <v>102</v>
      </c>
      <c r="X123" s="7">
        <v>41093</v>
      </c>
      <c r="Y123" s="8">
        <f t="shared" ca="1" si="1"/>
        <v>14</v>
      </c>
      <c r="Z123" s="7">
        <v>41943</v>
      </c>
      <c r="AA123" s="6" t="s">
        <v>166</v>
      </c>
      <c r="AB123" s="6" t="s">
        <v>57</v>
      </c>
      <c r="AC123" s="6" t="s">
        <v>145</v>
      </c>
      <c r="AD123" s="6" t="s">
        <v>146</v>
      </c>
      <c r="AE123" s="6">
        <v>17</v>
      </c>
      <c r="AF123" s="6" t="s">
        <v>51</v>
      </c>
      <c r="AG123" s="6" t="s">
        <v>61</v>
      </c>
      <c r="AH123" s="6">
        <v>4.5</v>
      </c>
      <c r="AI123" s="6">
        <v>5</v>
      </c>
      <c r="AJ123" s="6">
        <v>0</v>
      </c>
      <c r="AK123" s="7">
        <v>41276</v>
      </c>
      <c r="AL123" s="6">
        <v>20</v>
      </c>
    </row>
    <row r="124" spans="1:38" x14ac:dyDescent="0.35">
      <c r="A124" s="6" t="s">
        <v>269</v>
      </c>
      <c r="B124" s="6">
        <v>10125</v>
      </c>
      <c r="C124" s="6">
        <v>1</v>
      </c>
      <c r="D124" s="6">
        <v>1</v>
      </c>
      <c r="E124" s="6">
        <v>0</v>
      </c>
      <c r="F124" s="6">
        <v>1</v>
      </c>
      <c r="G124" s="6">
        <v>5</v>
      </c>
      <c r="H124" s="6">
        <v>3</v>
      </c>
      <c r="I124" s="6">
        <v>0</v>
      </c>
      <c r="J124" s="6">
        <v>54828</v>
      </c>
      <c r="K124" s="6">
        <v>0</v>
      </c>
      <c r="L124" s="6">
        <v>19</v>
      </c>
      <c r="M124" s="6" t="s">
        <v>39</v>
      </c>
      <c r="N124" s="6" t="s">
        <v>40</v>
      </c>
      <c r="O124" s="6">
        <v>2127</v>
      </c>
      <c r="P124" s="7">
        <v>24188</v>
      </c>
      <c r="Q124" s="8">
        <v>59</v>
      </c>
      <c r="R124" s="8" t="s">
        <v>41</v>
      </c>
      <c r="S124" s="6" t="s">
        <v>64</v>
      </c>
      <c r="T124" s="6" t="s">
        <v>55</v>
      </c>
      <c r="U124" s="6" t="s">
        <v>44</v>
      </c>
      <c r="V124" s="6" t="s">
        <v>45</v>
      </c>
      <c r="W124" s="6" t="s">
        <v>46</v>
      </c>
      <c r="X124" s="7">
        <v>40875</v>
      </c>
      <c r="Y124" s="8">
        <f t="shared" ca="1" si="1"/>
        <v>14</v>
      </c>
      <c r="Z124" s="7"/>
      <c r="AA124" s="6" t="s">
        <v>47</v>
      </c>
      <c r="AB124" s="6" t="s">
        <v>48</v>
      </c>
      <c r="AC124" s="6" t="s">
        <v>49</v>
      </c>
      <c r="AD124" s="6" t="s">
        <v>50</v>
      </c>
      <c r="AE124" s="6">
        <v>22</v>
      </c>
      <c r="AF124" s="6" t="s">
        <v>73</v>
      </c>
      <c r="AG124" s="6" t="s">
        <v>61</v>
      </c>
      <c r="AH124" s="6">
        <v>4.2</v>
      </c>
      <c r="AI124" s="6">
        <v>4</v>
      </c>
      <c r="AJ124" s="6">
        <v>0</v>
      </c>
      <c r="AK124" s="7">
        <v>43518</v>
      </c>
      <c r="AL124" s="6">
        <v>13</v>
      </c>
    </row>
    <row r="125" spans="1:38" x14ac:dyDescent="0.35">
      <c r="A125" s="6" t="s">
        <v>270</v>
      </c>
      <c r="B125" s="6">
        <v>10074</v>
      </c>
      <c r="C125" s="6">
        <v>0</v>
      </c>
      <c r="D125" s="6">
        <v>0</v>
      </c>
      <c r="E125" s="6">
        <v>1</v>
      </c>
      <c r="F125" s="6">
        <v>1</v>
      </c>
      <c r="G125" s="6">
        <v>5</v>
      </c>
      <c r="H125" s="6">
        <v>3</v>
      </c>
      <c r="I125" s="6">
        <v>0</v>
      </c>
      <c r="J125" s="6">
        <v>64246</v>
      </c>
      <c r="K125" s="6">
        <v>0</v>
      </c>
      <c r="L125" s="6">
        <v>20</v>
      </c>
      <c r="M125" s="6" t="s">
        <v>63</v>
      </c>
      <c r="N125" s="6" t="s">
        <v>40</v>
      </c>
      <c r="O125" s="6">
        <v>2155</v>
      </c>
      <c r="P125" s="7">
        <v>23480</v>
      </c>
      <c r="Q125" s="8">
        <v>61</v>
      </c>
      <c r="R125" s="8" t="s">
        <v>96</v>
      </c>
      <c r="S125" s="6" t="s">
        <v>42</v>
      </c>
      <c r="T125" s="6" t="s">
        <v>43</v>
      </c>
      <c r="U125" s="6" t="s">
        <v>44</v>
      </c>
      <c r="V125" s="6" t="s">
        <v>92</v>
      </c>
      <c r="W125" s="6" t="s">
        <v>46</v>
      </c>
      <c r="X125" s="7">
        <v>41589</v>
      </c>
      <c r="Y125" s="8">
        <f t="shared" ca="1" si="1"/>
        <v>12</v>
      </c>
      <c r="Z125" s="7"/>
      <c r="AA125" s="6" t="s">
        <v>47</v>
      </c>
      <c r="AB125" s="6" t="s">
        <v>48</v>
      </c>
      <c r="AC125" s="6" t="s">
        <v>49</v>
      </c>
      <c r="AD125" s="6" t="s">
        <v>103</v>
      </c>
      <c r="AE125" s="6">
        <v>18</v>
      </c>
      <c r="AF125" s="6" t="s">
        <v>51</v>
      </c>
      <c r="AG125" s="6" t="s">
        <v>61</v>
      </c>
      <c r="AH125" s="6">
        <v>5</v>
      </c>
      <c r="AI125" s="6">
        <v>3</v>
      </c>
      <c r="AJ125" s="6">
        <v>0</v>
      </c>
      <c r="AK125" s="7">
        <v>43678</v>
      </c>
      <c r="AL125" s="6">
        <v>20</v>
      </c>
    </row>
    <row r="126" spans="1:38" x14ac:dyDescent="0.35">
      <c r="A126" s="6" t="s">
        <v>271</v>
      </c>
      <c r="B126" s="6">
        <v>10097</v>
      </c>
      <c r="C126" s="6">
        <v>0</v>
      </c>
      <c r="D126" s="6">
        <v>0</v>
      </c>
      <c r="E126" s="6">
        <v>0</v>
      </c>
      <c r="F126" s="6">
        <v>5</v>
      </c>
      <c r="G126" s="6">
        <v>5</v>
      </c>
      <c r="H126" s="6">
        <v>3</v>
      </c>
      <c r="I126" s="6">
        <v>0</v>
      </c>
      <c r="J126" s="6">
        <v>52177</v>
      </c>
      <c r="K126" s="6">
        <v>1</v>
      </c>
      <c r="L126" s="6">
        <v>19</v>
      </c>
      <c r="M126" s="6" t="s">
        <v>39</v>
      </c>
      <c r="N126" s="6" t="s">
        <v>40</v>
      </c>
      <c r="O126" s="6">
        <v>2324</v>
      </c>
      <c r="P126" s="7">
        <v>21781</v>
      </c>
      <c r="Q126" s="8">
        <v>65</v>
      </c>
      <c r="R126" s="8" t="s">
        <v>96</v>
      </c>
      <c r="S126" s="6" t="s">
        <v>64</v>
      </c>
      <c r="T126" s="6" t="s">
        <v>43</v>
      </c>
      <c r="U126" s="6" t="s">
        <v>44</v>
      </c>
      <c r="V126" s="6" t="s">
        <v>45</v>
      </c>
      <c r="W126" s="6" t="s">
        <v>46</v>
      </c>
      <c r="X126" s="7">
        <v>41153</v>
      </c>
      <c r="Y126" s="8">
        <f t="shared" ca="1" si="1"/>
        <v>13</v>
      </c>
      <c r="Z126" s="7">
        <v>42353</v>
      </c>
      <c r="AA126" s="6" t="s">
        <v>134</v>
      </c>
      <c r="AB126" s="6" t="s">
        <v>57</v>
      </c>
      <c r="AC126" s="6" t="s">
        <v>49</v>
      </c>
      <c r="AD126" s="6" t="s">
        <v>72</v>
      </c>
      <c r="AE126" s="6">
        <v>39</v>
      </c>
      <c r="AF126" s="6" t="s">
        <v>121</v>
      </c>
      <c r="AG126" s="6" t="s">
        <v>61</v>
      </c>
      <c r="AH126" s="6">
        <v>4.6399999999999997</v>
      </c>
      <c r="AI126" s="6">
        <v>4</v>
      </c>
      <c r="AJ126" s="6">
        <v>0</v>
      </c>
      <c r="AK126" s="7">
        <v>42040</v>
      </c>
      <c r="AL126" s="6">
        <v>8</v>
      </c>
    </row>
    <row r="127" spans="1:38" x14ac:dyDescent="0.35">
      <c r="A127" s="6" t="s">
        <v>272</v>
      </c>
      <c r="B127" s="6">
        <v>10007</v>
      </c>
      <c r="C127" s="6">
        <v>1</v>
      </c>
      <c r="D127" s="6">
        <v>1</v>
      </c>
      <c r="E127" s="6">
        <v>0</v>
      </c>
      <c r="F127" s="6">
        <v>1</v>
      </c>
      <c r="G127" s="6">
        <v>5</v>
      </c>
      <c r="H127" s="6">
        <v>4</v>
      </c>
      <c r="I127" s="6">
        <v>0</v>
      </c>
      <c r="J127" s="6">
        <v>62065</v>
      </c>
      <c r="K127" s="6">
        <v>0</v>
      </c>
      <c r="L127" s="6">
        <v>19</v>
      </c>
      <c r="M127" s="6" t="s">
        <v>39</v>
      </c>
      <c r="N127" s="6" t="s">
        <v>40</v>
      </c>
      <c r="O127" s="6">
        <v>1886</v>
      </c>
      <c r="P127" s="7">
        <v>31519</v>
      </c>
      <c r="Q127" s="8">
        <v>39</v>
      </c>
      <c r="R127" s="8" t="s">
        <v>41</v>
      </c>
      <c r="S127" s="6" t="s">
        <v>64</v>
      </c>
      <c r="T127" s="6" t="s">
        <v>55</v>
      </c>
      <c r="U127" s="6" t="s">
        <v>44</v>
      </c>
      <c r="V127" s="6" t="s">
        <v>45</v>
      </c>
      <c r="W127" s="6" t="s">
        <v>46</v>
      </c>
      <c r="X127" s="7">
        <v>41978</v>
      </c>
      <c r="Y127" s="8">
        <f t="shared" ca="1" si="1"/>
        <v>11</v>
      </c>
      <c r="Z127" s="7"/>
      <c r="AA127" s="6" t="s">
        <v>47</v>
      </c>
      <c r="AB127" s="6" t="s">
        <v>48</v>
      </c>
      <c r="AC127" s="6" t="s">
        <v>49</v>
      </c>
      <c r="AD127" s="6" t="s">
        <v>75</v>
      </c>
      <c r="AE127" s="6">
        <v>11</v>
      </c>
      <c r="AF127" s="6" t="s">
        <v>121</v>
      </c>
      <c r="AG127" s="6" t="s">
        <v>52</v>
      </c>
      <c r="AH127" s="6">
        <v>4.76</v>
      </c>
      <c r="AI127" s="6">
        <v>4</v>
      </c>
      <c r="AJ127" s="6">
        <v>0</v>
      </c>
      <c r="AK127" s="7">
        <v>43511</v>
      </c>
      <c r="AL127" s="6">
        <v>5</v>
      </c>
    </row>
    <row r="128" spans="1:38" x14ac:dyDescent="0.35">
      <c r="A128" s="6" t="s">
        <v>273</v>
      </c>
      <c r="B128" s="6">
        <v>10129</v>
      </c>
      <c r="C128" s="6">
        <v>0</v>
      </c>
      <c r="D128" s="6">
        <v>0</v>
      </c>
      <c r="E128" s="6">
        <v>1</v>
      </c>
      <c r="F128" s="6">
        <v>1</v>
      </c>
      <c r="G128" s="6">
        <v>5</v>
      </c>
      <c r="H128" s="6">
        <v>3</v>
      </c>
      <c r="I128" s="6">
        <v>0</v>
      </c>
      <c r="J128" s="6">
        <v>46998</v>
      </c>
      <c r="K128" s="6">
        <v>0</v>
      </c>
      <c r="L128" s="6">
        <v>19</v>
      </c>
      <c r="M128" s="6" t="s">
        <v>39</v>
      </c>
      <c r="N128" s="6" t="s">
        <v>40</v>
      </c>
      <c r="O128" s="6">
        <v>2149</v>
      </c>
      <c r="P128" s="7">
        <v>27778</v>
      </c>
      <c r="Q128" s="8">
        <v>49</v>
      </c>
      <c r="R128" s="8" t="s">
        <v>41</v>
      </c>
      <c r="S128" s="6" t="s">
        <v>42</v>
      </c>
      <c r="T128" s="6" t="s">
        <v>43</v>
      </c>
      <c r="U128" s="6" t="s">
        <v>44</v>
      </c>
      <c r="V128" s="6" t="s">
        <v>45</v>
      </c>
      <c r="W128" s="6" t="s">
        <v>46</v>
      </c>
      <c r="X128" s="7">
        <v>41134</v>
      </c>
      <c r="Y128" s="8">
        <f t="shared" ca="1" si="1"/>
        <v>13</v>
      </c>
      <c r="Z128" s="7"/>
      <c r="AA128" s="6" t="s">
        <v>47</v>
      </c>
      <c r="AB128" s="6" t="s">
        <v>48</v>
      </c>
      <c r="AC128" s="6" t="s">
        <v>49</v>
      </c>
      <c r="AD128" s="6" t="s">
        <v>82</v>
      </c>
      <c r="AE128" s="6">
        <v>19</v>
      </c>
      <c r="AF128" s="6" t="s">
        <v>73</v>
      </c>
      <c r="AG128" s="6" t="s">
        <v>61</v>
      </c>
      <c r="AH128" s="6">
        <v>4.17</v>
      </c>
      <c r="AI128" s="6">
        <v>4</v>
      </c>
      <c r="AJ128" s="6">
        <v>0</v>
      </c>
      <c r="AK128" s="7">
        <v>43771</v>
      </c>
      <c r="AL128" s="6">
        <v>1</v>
      </c>
    </row>
    <row r="129" spans="1:38" x14ac:dyDescent="0.35">
      <c r="A129" s="6" t="s">
        <v>274</v>
      </c>
      <c r="B129" s="6">
        <v>10075</v>
      </c>
      <c r="C129" s="6">
        <v>0</v>
      </c>
      <c r="D129" s="6">
        <v>0</v>
      </c>
      <c r="E129" s="6">
        <v>0</v>
      </c>
      <c r="F129" s="6">
        <v>5</v>
      </c>
      <c r="G129" s="6">
        <v>5</v>
      </c>
      <c r="H129" s="6">
        <v>3</v>
      </c>
      <c r="I129" s="6">
        <v>0</v>
      </c>
      <c r="J129" s="6">
        <v>68099</v>
      </c>
      <c r="K129" s="6">
        <v>1</v>
      </c>
      <c r="L129" s="6">
        <v>20</v>
      </c>
      <c r="M129" s="6" t="s">
        <v>63</v>
      </c>
      <c r="N129" s="6" t="s">
        <v>40</v>
      </c>
      <c r="O129" s="6">
        <v>2021</v>
      </c>
      <c r="P129" s="7">
        <v>29186</v>
      </c>
      <c r="Q129" s="8">
        <v>45</v>
      </c>
      <c r="R129" s="8" t="s">
        <v>41</v>
      </c>
      <c r="S129" s="6" t="s">
        <v>64</v>
      </c>
      <c r="T129" s="6" t="s">
        <v>43</v>
      </c>
      <c r="U129" s="6" t="s">
        <v>44</v>
      </c>
      <c r="V129" s="6" t="s">
        <v>45</v>
      </c>
      <c r="W129" s="6" t="s">
        <v>46</v>
      </c>
      <c r="X129" s="7">
        <v>40817</v>
      </c>
      <c r="Y129" s="8">
        <f t="shared" ca="1" si="1"/>
        <v>14</v>
      </c>
      <c r="Z129" s="7">
        <v>41502</v>
      </c>
      <c r="AA129" s="6" t="s">
        <v>65</v>
      </c>
      <c r="AB129" s="6" t="s">
        <v>57</v>
      </c>
      <c r="AC129" s="6" t="s">
        <v>49</v>
      </c>
      <c r="AD129" s="6" t="s">
        <v>103</v>
      </c>
      <c r="AE129" s="6">
        <v>18</v>
      </c>
      <c r="AF129" s="6" t="s">
        <v>121</v>
      </c>
      <c r="AG129" s="6" t="s">
        <v>61</v>
      </c>
      <c r="AH129" s="6">
        <v>5</v>
      </c>
      <c r="AI129" s="6">
        <v>3</v>
      </c>
      <c r="AJ129" s="6">
        <v>0</v>
      </c>
      <c r="AK129" s="7">
        <v>41304</v>
      </c>
      <c r="AL129" s="6">
        <v>15</v>
      </c>
    </row>
    <row r="130" spans="1:38" x14ac:dyDescent="0.35">
      <c r="A130" s="6" t="s">
        <v>275</v>
      </c>
      <c r="B130" s="6">
        <v>10167</v>
      </c>
      <c r="C130" s="6">
        <v>1</v>
      </c>
      <c r="D130" s="6">
        <v>1</v>
      </c>
      <c r="E130" s="6">
        <v>1</v>
      </c>
      <c r="F130" s="6">
        <v>1</v>
      </c>
      <c r="G130" s="6">
        <v>6</v>
      </c>
      <c r="H130" s="6">
        <v>3</v>
      </c>
      <c r="I130" s="6">
        <v>0</v>
      </c>
      <c r="J130" s="6">
        <v>70545</v>
      </c>
      <c r="K130" s="6">
        <v>0</v>
      </c>
      <c r="L130" s="6">
        <v>3</v>
      </c>
      <c r="M130" s="6" t="s">
        <v>143</v>
      </c>
      <c r="N130" s="6" t="s">
        <v>276</v>
      </c>
      <c r="O130" s="6">
        <v>3062</v>
      </c>
      <c r="P130" s="7">
        <v>19988</v>
      </c>
      <c r="Q130" s="8">
        <v>70</v>
      </c>
      <c r="R130" s="8" t="s">
        <v>96</v>
      </c>
      <c r="S130" s="6" t="s">
        <v>42</v>
      </c>
      <c r="T130" s="6" t="s">
        <v>55</v>
      </c>
      <c r="U130" s="6" t="s">
        <v>44</v>
      </c>
      <c r="V130" s="6" t="s">
        <v>45</v>
      </c>
      <c r="W130" s="6" t="s">
        <v>262</v>
      </c>
      <c r="X130" s="7">
        <v>41869</v>
      </c>
      <c r="Y130" s="8">
        <f t="shared" ca="1" si="1"/>
        <v>11</v>
      </c>
      <c r="Z130" s="7"/>
      <c r="AA130" s="6" t="s">
        <v>47</v>
      </c>
      <c r="AB130" s="6" t="s">
        <v>48</v>
      </c>
      <c r="AC130" s="6" t="s">
        <v>145</v>
      </c>
      <c r="AD130" s="6" t="s">
        <v>146</v>
      </c>
      <c r="AE130" s="6">
        <v>17</v>
      </c>
      <c r="AF130" s="6" t="s">
        <v>60</v>
      </c>
      <c r="AG130" s="6" t="s">
        <v>61</v>
      </c>
      <c r="AH130" s="6">
        <v>3.6</v>
      </c>
      <c r="AI130" s="6">
        <v>5</v>
      </c>
      <c r="AJ130" s="6">
        <v>0</v>
      </c>
      <c r="AK130" s="7">
        <v>43495</v>
      </c>
      <c r="AL130" s="6">
        <v>9</v>
      </c>
    </row>
    <row r="131" spans="1:38" x14ac:dyDescent="0.35">
      <c r="A131" s="6" t="s">
        <v>277</v>
      </c>
      <c r="B131" s="6">
        <v>10195</v>
      </c>
      <c r="C131" s="6">
        <v>1</v>
      </c>
      <c r="D131" s="6">
        <v>1</v>
      </c>
      <c r="E131" s="6">
        <v>0</v>
      </c>
      <c r="F131" s="6">
        <v>5</v>
      </c>
      <c r="G131" s="6">
        <v>5</v>
      </c>
      <c r="H131" s="6">
        <v>3</v>
      </c>
      <c r="I131" s="6">
        <v>0</v>
      </c>
      <c r="J131" s="6">
        <v>63478</v>
      </c>
      <c r="K131" s="6">
        <v>1</v>
      </c>
      <c r="L131" s="6">
        <v>20</v>
      </c>
      <c r="M131" s="6" t="s">
        <v>63</v>
      </c>
      <c r="N131" s="6" t="s">
        <v>40</v>
      </c>
      <c r="O131" s="6">
        <v>2445</v>
      </c>
      <c r="P131" s="7">
        <v>25258</v>
      </c>
      <c r="Q131" s="8">
        <v>56</v>
      </c>
      <c r="R131" s="8" t="s">
        <v>41</v>
      </c>
      <c r="S131" s="6" t="s">
        <v>64</v>
      </c>
      <c r="T131" s="6" t="s">
        <v>55</v>
      </c>
      <c r="U131" s="6" t="s">
        <v>168</v>
      </c>
      <c r="V131" s="6" t="s">
        <v>45</v>
      </c>
      <c r="W131" s="6" t="s">
        <v>46</v>
      </c>
      <c r="X131" s="7">
        <v>40770</v>
      </c>
      <c r="Y131" s="8">
        <f t="shared" ref="Y131:Y194" ca="1" si="2">INT(YEARFRAC(X131,TODAY()))</f>
        <v>14</v>
      </c>
      <c r="Z131" s="7">
        <v>41094</v>
      </c>
      <c r="AA131" s="6" t="s">
        <v>166</v>
      </c>
      <c r="AB131" s="6" t="s">
        <v>57</v>
      </c>
      <c r="AC131" s="6" t="s">
        <v>49</v>
      </c>
      <c r="AD131" s="6" t="s">
        <v>50</v>
      </c>
      <c r="AE131" s="6">
        <v>30</v>
      </c>
      <c r="AF131" s="6" t="s">
        <v>60</v>
      </c>
      <c r="AG131" s="6" t="s">
        <v>61</v>
      </c>
      <c r="AH131" s="6">
        <v>3.03</v>
      </c>
      <c r="AI131" s="6">
        <v>5</v>
      </c>
      <c r="AJ131" s="6">
        <v>0</v>
      </c>
      <c r="AK131" s="7">
        <v>41032</v>
      </c>
      <c r="AL131" s="6">
        <v>16</v>
      </c>
    </row>
    <row r="132" spans="1:38" x14ac:dyDescent="0.35">
      <c r="A132" s="6" t="s">
        <v>278</v>
      </c>
      <c r="B132" s="6">
        <v>10112</v>
      </c>
      <c r="C132" s="6">
        <v>0</v>
      </c>
      <c r="D132" s="6">
        <v>0</v>
      </c>
      <c r="E132" s="6">
        <v>0</v>
      </c>
      <c r="F132" s="6">
        <v>1</v>
      </c>
      <c r="G132" s="6">
        <v>3</v>
      </c>
      <c r="H132" s="6">
        <v>3</v>
      </c>
      <c r="I132" s="6">
        <v>0</v>
      </c>
      <c r="J132" s="6">
        <v>97999</v>
      </c>
      <c r="K132" s="6">
        <v>0</v>
      </c>
      <c r="L132" s="6">
        <v>8</v>
      </c>
      <c r="M132" s="6" t="s">
        <v>113</v>
      </c>
      <c r="N132" s="6" t="s">
        <v>40</v>
      </c>
      <c r="O132" s="6">
        <v>2493</v>
      </c>
      <c r="P132" s="7">
        <v>31525</v>
      </c>
      <c r="Q132" s="8">
        <v>39</v>
      </c>
      <c r="R132" s="8" t="s">
        <v>41</v>
      </c>
      <c r="S132" s="6" t="s">
        <v>64</v>
      </c>
      <c r="T132" s="6" t="s">
        <v>43</v>
      </c>
      <c r="U132" s="6" t="s">
        <v>44</v>
      </c>
      <c r="V132" s="6" t="s">
        <v>45</v>
      </c>
      <c r="W132" s="6" t="s">
        <v>46</v>
      </c>
      <c r="X132" s="7">
        <v>42093</v>
      </c>
      <c r="Y132" s="8">
        <f t="shared" ca="1" si="2"/>
        <v>11</v>
      </c>
      <c r="Z132" s="7"/>
      <c r="AA132" s="6" t="s">
        <v>47</v>
      </c>
      <c r="AB132" s="6" t="s">
        <v>48</v>
      </c>
      <c r="AC132" s="6" t="s">
        <v>58</v>
      </c>
      <c r="AD132" s="6" t="s">
        <v>59</v>
      </c>
      <c r="AE132" s="6">
        <v>4</v>
      </c>
      <c r="AF132" s="6" t="s">
        <v>60</v>
      </c>
      <c r="AG132" s="6" t="s">
        <v>61</v>
      </c>
      <c r="AH132" s="6">
        <v>4.4800000000000004</v>
      </c>
      <c r="AI132" s="6">
        <v>5</v>
      </c>
      <c r="AJ132" s="6">
        <v>6</v>
      </c>
      <c r="AK132" s="7">
        <v>43525</v>
      </c>
      <c r="AL132" s="6">
        <v>4</v>
      </c>
    </row>
    <row r="133" spans="1:38" x14ac:dyDescent="0.35">
      <c r="A133" s="6" t="s">
        <v>279</v>
      </c>
      <c r="B133" s="6">
        <v>10272</v>
      </c>
      <c r="C133" s="6">
        <v>1</v>
      </c>
      <c r="D133" s="6">
        <v>1</v>
      </c>
      <c r="E133" s="6">
        <v>0</v>
      </c>
      <c r="F133" s="6">
        <v>1</v>
      </c>
      <c r="G133" s="6">
        <v>6</v>
      </c>
      <c r="H133" s="6">
        <v>3</v>
      </c>
      <c r="I133" s="6">
        <v>0</v>
      </c>
      <c r="J133" s="6">
        <v>180000</v>
      </c>
      <c r="K133" s="6">
        <v>0</v>
      </c>
      <c r="L133" s="6">
        <v>11</v>
      </c>
      <c r="M133" s="6" t="s">
        <v>280</v>
      </c>
      <c r="N133" s="6" t="s">
        <v>281</v>
      </c>
      <c r="O133" s="6">
        <v>2908</v>
      </c>
      <c r="P133" s="7">
        <v>29061</v>
      </c>
      <c r="Q133" s="8">
        <v>45</v>
      </c>
      <c r="R133" s="8" t="s">
        <v>41</v>
      </c>
      <c r="S133" s="6" t="s">
        <v>64</v>
      </c>
      <c r="T133" s="6" t="s">
        <v>55</v>
      </c>
      <c r="U133" s="6" t="s">
        <v>44</v>
      </c>
      <c r="V133" s="6" t="s">
        <v>45</v>
      </c>
      <c r="W133" s="6" t="s">
        <v>46</v>
      </c>
      <c r="X133" s="7">
        <v>41764</v>
      </c>
      <c r="Y133" s="8">
        <f t="shared" ca="1" si="2"/>
        <v>12</v>
      </c>
      <c r="Z133" s="7"/>
      <c r="AA133" s="6" t="s">
        <v>47</v>
      </c>
      <c r="AB133" s="6" t="s">
        <v>48</v>
      </c>
      <c r="AC133" s="6" t="s">
        <v>145</v>
      </c>
      <c r="AD133" s="6" t="s">
        <v>135</v>
      </c>
      <c r="AE133" s="6">
        <v>2</v>
      </c>
      <c r="AF133" s="6" t="s">
        <v>51</v>
      </c>
      <c r="AG133" s="6" t="s">
        <v>61</v>
      </c>
      <c r="AH133" s="6">
        <v>4.5</v>
      </c>
      <c r="AI133" s="6">
        <v>4</v>
      </c>
      <c r="AJ133" s="6">
        <v>0</v>
      </c>
      <c r="AK133" s="7">
        <v>43486</v>
      </c>
      <c r="AL133" s="6">
        <v>19</v>
      </c>
    </row>
    <row r="134" spans="1:38" x14ac:dyDescent="0.35">
      <c r="A134" s="6" t="s">
        <v>282</v>
      </c>
      <c r="B134" s="6">
        <v>10182</v>
      </c>
      <c r="C134" s="6">
        <v>1</v>
      </c>
      <c r="D134" s="6">
        <v>1</v>
      </c>
      <c r="E134" s="6">
        <v>0</v>
      </c>
      <c r="F134" s="6">
        <v>1</v>
      </c>
      <c r="G134" s="6">
        <v>1</v>
      </c>
      <c r="H134" s="6">
        <v>3</v>
      </c>
      <c r="I134" s="6">
        <v>0</v>
      </c>
      <c r="J134" s="6">
        <v>49920</v>
      </c>
      <c r="K134" s="6">
        <v>1</v>
      </c>
      <c r="L134" s="6">
        <v>2</v>
      </c>
      <c r="M134" s="6" t="s">
        <v>283</v>
      </c>
      <c r="N134" s="6" t="s">
        <v>40</v>
      </c>
      <c r="O134" s="6">
        <v>2170</v>
      </c>
      <c r="P134" s="7">
        <v>30798</v>
      </c>
      <c r="Q134" s="8">
        <v>41</v>
      </c>
      <c r="R134" s="8" t="s">
        <v>41</v>
      </c>
      <c r="S134" s="6" t="s">
        <v>64</v>
      </c>
      <c r="T134" s="6" t="s">
        <v>55</v>
      </c>
      <c r="U134" s="6" t="s">
        <v>44</v>
      </c>
      <c r="V134" s="6" t="s">
        <v>45</v>
      </c>
      <c r="W134" s="6" t="s">
        <v>85</v>
      </c>
      <c r="X134" s="7">
        <v>42051</v>
      </c>
      <c r="Y134" s="8">
        <f t="shared" ca="1" si="2"/>
        <v>11</v>
      </c>
      <c r="Z134" s="7">
        <v>42109</v>
      </c>
      <c r="AA134" s="6" t="s">
        <v>222</v>
      </c>
      <c r="AB134" s="6" t="s">
        <v>108</v>
      </c>
      <c r="AC134" s="6" t="s">
        <v>130</v>
      </c>
      <c r="AD134" s="6" t="s">
        <v>131</v>
      </c>
      <c r="AE134" s="6">
        <v>1</v>
      </c>
      <c r="AF134" s="6" t="s">
        <v>60</v>
      </c>
      <c r="AG134" s="6" t="s">
        <v>61</v>
      </c>
      <c r="AH134" s="6">
        <v>3.24</v>
      </c>
      <c r="AI134" s="6">
        <v>3</v>
      </c>
      <c r="AJ134" s="6">
        <v>4</v>
      </c>
      <c r="AK134" s="7">
        <v>42109</v>
      </c>
      <c r="AL134" s="6">
        <v>6</v>
      </c>
    </row>
    <row r="135" spans="1:38" x14ac:dyDescent="0.35">
      <c r="A135" s="6" t="s">
        <v>284</v>
      </c>
      <c r="B135" s="6">
        <v>10248</v>
      </c>
      <c r="C135" s="6">
        <v>0</v>
      </c>
      <c r="D135" s="6">
        <v>0</v>
      </c>
      <c r="E135" s="6">
        <v>0</v>
      </c>
      <c r="F135" s="6">
        <v>1</v>
      </c>
      <c r="G135" s="6">
        <v>5</v>
      </c>
      <c r="H135" s="6">
        <v>3</v>
      </c>
      <c r="I135" s="6">
        <v>0</v>
      </c>
      <c r="J135" s="6">
        <v>55425</v>
      </c>
      <c r="K135" s="6">
        <v>0</v>
      </c>
      <c r="L135" s="6">
        <v>19</v>
      </c>
      <c r="M135" s="6" t="s">
        <v>39</v>
      </c>
      <c r="N135" s="6" t="s">
        <v>40</v>
      </c>
      <c r="O135" s="6">
        <v>2176</v>
      </c>
      <c r="P135" s="7">
        <v>31942</v>
      </c>
      <c r="Q135" s="8">
        <v>38</v>
      </c>
      <c r="R135" s="8" t="s">
        <v>41</v>
      </c>
      <c r="S135" s="6" t="s">
        <v>64</v>
      </c>
      <c r="T135" s="6" t="s">
        <v>43</v>
      </c>
      <c r="U135" s="6" t="s">
        <v>44</v>
      </c>
      <c r="V135" s="6" t="s">
        <v>45</v>
      </c>
      <c r="W135" s="6" t="s">
        <v>46</v>
      </c>
      <c r="X135" s="7">
        <v>40959</v>
      </c>
      <c r="Y135" s="8">
        <f t="shared" ca="1" si="2"/>
        <v>14</v>
      </c>
      <c r="Z135" s="7"/>
      <c r="AA135" s="6" t="s">
        <v>47</v>
      </c>
      <c r="AB135" s="6" t="s">
        <v>48</v>
      </c>
      <c r="AC135" s="6" t="s">
        <v>49</v>
      </c>
      <c r="AD135" s="6" t="s">
        <v>82</v>
      </c>
      <c r="AE135" s="6">
        <v>19</v>
      </c>
      <c r="AF135" s="6" t="s">
        <v>51</v>
      </c>
      <c r="AG135" s="6" t="s">
        <v>61</v>
      </c>
      <c r="AH135" s="6">
        <v>4.8</v>
      </c>
      <c r="AI135" s="6">
        <v>4</v>
      </c>
      <c r="AJ135" s="6">
        <v>0</v>
      </c>
      <c r="AK135" s="7">
        <v>43647</v>
      </c>
      <c r="AL135" s="6">
        <v>4</v>
      </c>
    </row>
    <row r="136" spans="1:38" x14ac:dyDescent="0.35">
      <c r="A136" s="6" t="s">
        <v>285</v>
      </c>
      <c r="B136" s="6">
        <v>10201</v>
      </c>
      <c r="C136" s="6">
        <v>0</v>
      </c>
      <c r="D136" s="6">
        <v>0</v>
      </c>
      <c r="E136" s="6">
        <v>0</v>
      </c>
      <c r="F136" s="6">
        <v>2</v>
      </c>
      <c r="G136" s="6">
        <v>5</v>
      </c>
      <c r="H136" s="6">
        <v>3</v>
      </c>
      <c r="I136" s="6">
        <v>0</v>
      </c>
      <c r="J136" s="6">
        <v>69340</v>
      </c>
      <c r="K136" s="6">
        <v>0</v>
      </c>
      <c r="L136" s="6">
        <v>20</v>
      </c>
      <c r="M136" s="6" t="s">
        <v>63</v>
      </c>
      <c r="N136" s="6" t="s">
        <v>40</v>
      </c>
      <c r="O136" s="6">
        <v>2021</v>
      </c>
      <c r="P136" s="7">
        <v>31064</v>
      </c>
      <c r="Q136" s="8">
        <v>40</v>
      </c>
      <c r="R136" s="8" t="s">
        <v>41</v>
      </c>
      <c r="S136" s="6" t="s">
        <v>64</v>
      </c>
      <c r="T136" s="6" t="s">
        <v>43</v>
      </c>
      <c r="U136" s="6" t="s">
        <v>44</v>
      </c>
      <c r="V136" s="6" t="s">
        <v>45</v>
      </c>
      <c r="W136" s="6" t="s">
        <v>46</v>
      </c>
      <c r="X136" s="7">
        <v>42527</v>
      </c>
      <c r="Y136" s="8">
        <f t="shared" ca="1" si="2"/>
        <v>10</v>
      </c>
      <c r="Z136" s="7"/>
      <c r="AA136" s="6" t="s">
        <v>47</v>
      </c>
      <c r="AB136" s="6" t="s">
        <v>48</v>
      </c>
      <c r="AC136" s="6" t="s">
        <v>49</v>
      </c>
      <c r="AD136" s="6" t="s">
        <v>68</v>
      </c>
      <c r="AE136" s="6">
        <v>16</v>
      </c>
      <c r="AF136" s="6" t="s">
        <v>51</v>
      </c>
      <c r="AG136" s="6" t="s">
        <v>61</v>
      </c>
      <c r="AH136" s="6">
        <v>3</v>
      </c>
      <c r="AI136" s="6">
        <v>5</v>
      </c>
      <c r="AJ136" s="6">
        <v>0</v>
      </c>
      <c r="AK136" s="7">
        <v>43483</v>
      </c>
      <c r="AL136" s="6">
        <v>4</v>
      </c>
    </row>
    <row r="137" spans="1:38" x14ac:dyDescent="0.35">
      <c r="A137" s="6" t="s">
        <v>286</v>
      </c>
      <c r="B137" s="6">
        <v>10214</v>
      </c>
      <c r="C137" s="6">
        <v>0</v>
      </c>
      <c r="D137" s="6">
        <v>3</v>
      </c>
      <c r="E137" s="6">
        <v>0</v>
      </c>
      <c r="F137" s="6">
        <v>2</v>
      </c>
      <c r="G137" s="6">
        <v>5</v>
      </c>
      <c r="H137" s="6">
        <v>3</v>
      </c>
      <c r="I137" s="6">
        <v>0</v>
      </c>
      <c r="J137" s="6">
        <v>64995</v>
      </c>
      <c r="K137" s="6">
        <v>0</v>
      </c>
      <c r="L137" s="6">
        <v>20</v>
      </c>
      <c r="M137" s="6" t="s">
        <v>63</v>
      </c>
      <c r="N137" s="6" t="s">
        <v>40</v>
      </c>
      <c r="O137" s="6">
        <v>2351</v>
      </c>
      <c r="P137" s="7">
        <v>32504</v>
      </c>
      <c r="Q137" s="8">
        <v>36</v>
      </c>
      <c r="R137" s="8" t="s">
        <v>41</v>
      </c>
      <c r="S137" s="6" t="s">
        <v>64</v>
      </c>
      <c r="T137" s="6" t="s">
        <v>141</v>
      </c>
      <c r="U137" s="6" t="s">
        <v>44</v>
      </c>
      <c r="V137" s="6" t="s">
        <v>45</v>
      </c>
      <c r="W137" s="6" t="s">
        <v>46</v>
      </c>
      <c r="X137" s="7">
        <v>42130</v>
      </c>
      <c r="Y137" s="8">
        <f t="shared" ca="1" si="2"/>
        <v>11</v>
      </c>
      <c r="Z137" s="7"/>
      <c r="AA137" s="6" t="s">
        <v>47</v>
      </c>
      <c r="AB137" s="6" t="s">
        <v>48</v>
      </c>
      <c r="AC137" s="6" t="s">
        <v>49</v>
      </c>
      <c r="AD137" s="6" t="s">
        <v>72</v>
      </c>
      <c r="AE137" s="6"/>
      <c r="AF137" s="6" t="s">
        <v>60</v>
      </c>
      <c r="AG137" s="6" t="s">
        <v>61</v>
      </c>
      <c r="AH137" s="6">
        <v>4.5</v>
      </c>
      <c r="AI137" s="6">
        <v>3</v>
      </c>
      <c r="AJ137" s="6">
        <v>0</v>
      </c>
      <c r="AK137" s="7">
        <v>43510</v>
      </c>
      <c r="AL137" s="6">
        <v>6</v>
      </c>
    </row>
    <row r="138" spans="1:38" x14ac:dyDescent="0.35">
      <c r="A138" s="6" t="s">
        <v>287</v>
      </c>
      <c r="B138" s="6">
        <v>10160</v>
      </c>
      <c r="C138" s="6">
        <v>0</v>
      </c>
      <c r="D138" s="6">
        <v>2</v>
      </c>
      <c r="E138" s="6">
        <v>0</v>
      </c>
      <c r="F138" s="6">
        <v>5</v>
      </c>
      <c r="G138" s="6">
        <v>5</v>
      </c>
      <c r="H138" s="6">
        <v>3</v>
      </c>
      <c r="I138" s="6">
        <v>0</v>
      </c>
      <c r="J138" s="6">
        <v>68182</v>
      </c>
      <c r="K138" s="6">
        <v>1</v>
      </c>
      <c r="L138" s="6">
        <v>20</v>
      </c>
      <c r="M138" s="6" t="s">
        <v>63</v>
      </c>
      <c r="N138" s="6" t="s">
        <v>40</v>
      </c>
      <c r="O138" s="6">
        <v>1742</v>
      </c>
      <c r="P138" s="7">
        <v>29885</v>
      </c>
      <c r="Q138" s="8">
        <v>43</v>
      </c>
      <c r="R138" s="8" t="s">
        <v>41</v>
      </c>
      <c r="S138" s="6" t="s">
        <v>64</v>
      </c>
      <c r="T138" s="6" t="s">
        <v>70</v>
      </c>
      <c r="U138" s="6" t="s">
        <v>44</v>
      </c>
      <c r="V138" s="6" t="s">
        <v>45</v>
      </c>
      <c r="W138" s="6" t="s">
        <v>46</v>
      </c>
      <c r="X138" s="7">
        <v>40595</v>
      </c>
      <c r="Y138" s="8">
        <f t="shared" ca="1" si="2"/>
        <v>15</v>
      </c>
      <c r="Z138" s="7">
        <v>41278</v>
      </c>
      <c r="AA138" s="6" t="s">
        <v>97</v>
      </c>
      <c r="AB138" s="6" t="s">
        <v>57</v>
      </c>
      <c r="AC138" s="6" t="s">
        <v>49</v>
      </c>
      <c r="AD138" s="6" t="s">
        <v>75</v>
      </c>
      <c r="AE138" s="6">
        <v>11</v>
      </c>
      <c r="AF138" s="6" t="s">
        <v>73</v>
      </c>
      <c r="AG138" s="6" t="s">
        <v>61</v>
      </c>
      <c r="AH138" s="6">
        <v>3.72</v>
      </c>
      <c r="AI138" s="6">
        <v>3</v>
      </c>
      <c r="AJ138" s="6">
        <v>0</v>
      </c>
      <c r="AK138" s="7">
        <v>41276</v>
      </c>
      <c r="AL138" s="6">
        <v>18</v>
      </c>
    </row>
    <row r="139" spans="1:38" x14ac:dyDescent="0.35">
      <c r="A139" s="6" t="s">
        <v>288</v>
      </c>
      <c r="B139" s="6">
        <v>10289</v>
      </c>
      <c r="C139" s="6">
        <v>1</v>
      </c>
      <c r="D139" s="6">
        <v>1</v>
      </c>
      <c r="E139" s="6">
        <v>1</v>
      </c>
      <c r="F139" s="6">
        <v>5</v>
      </c>
      <c r="G139" s="6">
        <v>5</v>
      </c>
      <c r="H139" s="6">
        <v>2</v>
      </c>
      <c r="I139" s="6">
        <v>0</v>
      </c>
      <c r="J139" s="6">
        <v>83082</v>
      </c>
      <c r="K139" s="6">
        <v>1</v>
      </c>
      <c r="L139" s="6">
        <v>18</v>
      </c>
      <c r="M139" s="6" t="s">
        <v>133</v>
      </c>
      <c r="N139" s="6" t="s">
        <v>40</v>
      </c>
      <c r="O139" s="6">
        <v>2128</v>
      </c>
      <c r="P139" s="7">
        <v>29671</v>
      </c>
      <c r="Q139" s="8">
        <v>44</v>
      </c>
      <c r="R139" s="8" t="s">
        <v>41</v>
      </c>
      <c r="S139" s="6" t="s">
        <v>42</v>
      </c>
      <c r="T139" s="6" t="s">
        <v>55</v>
      </c>
      <c r="U139" s="6" t="s">
        <v>44</v>
      </c>
      <c r="V139" s="6" t="s">
        <v>45</v>
      </c>
      <c r="W139" s="6" t="s">
        <v>116</v>
      </c>
      <c r="X139" s="7">
        <v>40595</v>
      </c>
      <c r="Y139" s="8">
        <f t="shared" ca="1" si="2"/>
        <v>15</v>
      </c>
      <c r="Z139" s="7">
        <v>41176</v>
      </c>
      <c r="AA139" s="6" t="s">
        <v>97</v>
      </c>
      <c r="AB139" s="6" t="s">
        <v>57</v>
      </c>
      <c r="AC139" s="6" t="s">
        <v>49</v>
      </c>
      <c r="AD139" s="6" t="s">
        <v>135</v>
      </c>
      <c r="AE139" s="6">
        <v>2</v>
      </c>
      <c r="AF139" s="6" t="s">
        <v>60</v>
      </c>
      <c r="AG139" s="6" t="s">
        <v>122</v>
      </c>
      <c r="AH139" s="6">
        <v>2.34</v>
      </c>
      <c r="AI139" s="6">
        <v>2</v>
      </c>
      <c r="AJ139" s="6">
        <v>0</v>
      </c>
      <c r="AK139" s="7">
        <v>41247</v>
      </c>
      <c r="AL139" s="6">
        <v>4</v>
      </c>
    </row>
    <row r="140" spans="1:38" x14ac:dyDescent="0.35">
      <c r="A140" s="6" t="s">
        <v>289</v>
      </c>
      <c r="B140" s="6">
        <v>10139</v>
      </c>
      <c r="C140" s="6">
        <v>0</v>
      </c>
      <c r="D140" s="6">
        <v>0</v>
      </c>
      <c r="E140" s="6">
        <v>0</v>
      </c>
      <c r="F140" s="6">
        <v>1</v>
      </c>
      <c r="G140" s="6">
        <v>5</v>
      </c>
      <c r="H140" s="6">
        <v>3</v>
      </c>
      <c r="I140" s="6">
        <v>0</v>
      </c>
      <c r="J140" s="6">
        <v>51908</v>
      </c>
      <c r="K140" s="6">
        <v>0</v>
      </c>
      <c r="L140" s="6">
        <v>19</v>
      </c>
      <c r="M140" s="6" t="s">
        <v>39</v>
      </c>
      <c r="N140" s="6" t="s">
        <v>40</v>
      </c>
      <c r="O140" s="6">
        <v>1775</v>
      </c>
      <c r="P140" s="7">
        <v>28933</v>
      </c>
      <c r="Q140" s="8">
        <v>46</v>
      </c>
      <c r="R140" s="8" t="s">
        <v>41</v>
      </c>
      <c r="S140" s="6" t="s">
        <v>64</v>
      </c>
      <c r="T140" s="6" t="s">
        <v>43</v>
      </c>
      <c r="U140" s="6" t="s">
        <v>44</v>
      </c>
      <c r="V140" s="6" t="s">
        <v>45</v>
      </c>
      <c r="W140" s="6" t="s">
        <v>46</v>
      </c>
      <c r="X140" s="7">
        <v>41505</v>
      </c>
      <c r="Y140" s="8">
        <f t="shared" ca="1" si="2"/>
        <v>12</v>
      </c>
      <c r="Z140" s="7"/>
      <c r="AA140" s="6" t="s">
        <v>47</v>
      </c>
      <c r="AB140" s="6" t="s">
        <v>48</v>
      </c>
      <c r="AC140" s="6" t="s">
        <v>49</v>
      </c>
      <c r="AD140" s="6" t="s">
        <v>86</v>
      </c>
      <c r="AE140" s="6">
        <v>12</v>
      </c>
      <c r="AF140" s="6" t="s">
        <v>60</v>
      </c>
      <c r="AG140" s="6" t="s">
        <v>61</v>
      </c>
      <c r="AH140" s="6">
        <v>3.99</v>
      </c>
      <c r="AI140" s="6">
        <v>3</v>
      </c>
      <c r="AJ140" s="6">
        <v>0</v>
      </c>
      <c r="AK140" s="7">
        <v>43479</v>
      </c>
      <c r="AL140" s="6">
        <v>14</v>
      </c>
    </row>
    <row r="141" spans="1:38" x14ac:dyDescent="0.35">
      <c r="A141" s="6" t="s">
        <v>290</v>
      </c>
      <c r="B141" s="6">
        <v>10227</v>
      </c>
      <c r="C141" s="6">
        <v>0</v>
      </c>
      <c r="D141" s="6">
        <v>0</v>
      </c>
      <c r="E141" s="6">
        <v>0</v>
      </c>
      <c r="F141" s="6">
        <v>1</v>
      </c>
      <c r="G141" s="6">
        <v>5</v>
      </c>
      <c r="H141" s="6">
        <v>3</v>
      </c>
      <c r="I141" s="6">
        <v>0</v>
      </c>
      <c r="J141" s="6">
        <v>61242</v>
      </c>
      <c r="K141" s="6">
        <v>0</v>
      </c>
      <c r="L141" s="6">
        <v>19</v>
      </c>
      <c r="M141" s="6" t="s">
        <v>39</v>
      </c>
      <c r="N141" s="6" t="s">
        <v>40</v>
      </c>
      <c r="O141" s="6">
        <v>2081</v>
      </c>
      <c r="P141" s="7">
        <v>28120</v>
      </c>
      <c r="Q141" s="8">
        <v>48</v>
      </c>
      <c r="R141" s="8" t="s">
        <v>41</v>
      </c>
      <c r="S141" s="6" t="s">
        <v>64</v>
      </c>
      <c r="T141" s="6" t="s">
        <v>43</v>
      </c>
      <c r="U141" s="6" t="s">
        <v>44</v>
      </c>
      <c r="V141" s="6" t="s">
        <v>45</v>
      </c>
      <c r="W141" s="6" t="s">
        <v>85</v>
      </c>
      <c r="X141" s="7">
        <v>41040</v>
      </c>
      <c r="Y141" s="8">
        <f t="shared" ca="1" si="2"/>
        <v>14</v>
      </c>
      <c r="Z141" s="7"/>
      <c r="AA141" s="6" t="s">
        <v>47</v>
      </c>
      <c r="AB141" s="6" t="s">
        <v>48</v>
      </c>
      <c r="AC141" s="6" t="s">
        <v>49</v>
      </c>
      <c r="AD141" s="6" t="s">
        <v>94</v>
      </c>
      <c r="AE141" s="6">
        <v>14</v>
      </c>
      <c r="AF141" s="6" t="s">
        <v>51</v>
      </c>
      <c r="AG141" s="6" t="s">
        <v>61</v>
      </c>
      <c r="AH141" s="6">
        <v>4.0999999999999996</v>
      </c>
      <c r="AI141" s="6">
        <v>3</v>
      </c>
      <c r="AJ141" s="6">
        <v>0</v>
      </c>
      <c r="AK141" s="7">
        <v>43482</v>
      </c>
      <c r="AL141" s="6">
        <v>7</v>
      </c>
    </row>
    <row r="142" spans="1:38" x14ac:dyDescent="0.35">
      <c r="A142" s="6" t="s">
        <v>291</v>
      </c>
      <c r="B142" s="6">
        <v>10236</v>
      </c>
      <c r="C142" s="6">
        <v>0</v>
      </c>
      <c r="D142" s="6">
        <v>2</v>
      </c>
      <c r="E142" s="6">
        <v>0</v>
      </c>
      <c r="F142" s="6">
        <v>1</v>
      </c>
      <c r="G142" s="6">
        <v>5</v>
      </c>
      <c r="H142" s="6">
        <v>3</v>
      </c>
      <c r="I142" s="6">
        <v>0</v>
      </c>
      <c r="J142" s="6">
        <v>45069</v>
      </c>
      <c r="K142" s="6">
        <v>0</v>
      </c>
      <c r="L142" s="6">
        <v>19</v>
      </c>
      <c r="M142" s="6" t="s">
        <v>39</v>
      </c>
      <c r="N142" s="6" t="s">
        <v>40</v>
      </c>
      <c r="O142" s="6">
        <v>1778</v>
      </c>
      <c r="P142" s="7">
        <v>30038</v>
      </c>
      <c r="Q142" s="8">
        <v>43</v>
      </c>
      <c r="R142" s="8" t="s">
        <v>41</v>
      </c>
      <c r="S142" s="6" t="s">
        <v>64</v>
      </c>
      <c r="T142" s="6" t="s">
        <v>70</v>
      </c>
      <c r="U142" s="6" t="s">
        <v>44</v>
      </c>
      <c r="V142" s="6" t="s">
        <v>45</v>
      </c>
      <c r="W142" s="6" t="s">
        <v>46</v>
      </c>
      <c r="X142" s="7">
        <v>41547</v>
      </c>
      <c r="Y142" s="8">
        <f t="shared" ca="1" si="2"/>
        <v>12</v>
      </c>
      <c r="Z142" s="7"/>
      <c r="AA142" s="6" t="s">
        <v>47</v>
      </c>
      <c r="AB142" s="6" t="s">
        <v>48</v>
      </c>
      <c r="AC142" s="6" t="s">
        <v>49</v>
      </c>
      <c r="AD142" s="6" t="s">
        <v>66</v>
      </c>
      <c r="AE142" s="6">
        <v>20</v>
      </c>
      <c r="AF142" s="6" t="s">
        <v>83</v>
      </c>
      <c r="AG142" s="6" t="s">
        <v>61</v>
      </c>
      <c r="AH142" s="6">
        <v>4.3</v>
      </c>
      <c r="AI142" s="6">
        <v>5</v>
      </c>
      <c r="AJ142" s="6">
        <v>0</v>
      </c>
      <c r="AK142" s="7">
        <v>43518</v>
      </c>
      <c r="AL142" s="6">
        <v>7</v>
      </c>
    </row>
    <row r="143" spans="1:38" x14ac:dyDescent="0.35">
      <c r="A143" s="6" t="s">
        <v>292</v>
      </c>
      <c r="B143" s="6">
        <v>10009</v>
      </c>
      <c r="C143" s="6">
        <v>0</v>
      </c>
      <c r="D143" s="6">
        <v>2</v>
      </c>
      <c r="E143" s="6">
        <v>0</v>
      </c>
      <c r="F143" s="6">
        <v>1</v>
      </c>
      <c r="G143" s="6">
        <v>5</v>
      </c>
      <c r="H143" s="6">
        <v>4</v>
      </c>
      <c r="I143" s="6">
        <v>0</v>
      </c>
      <c r="J143" s="6">
        <v>60724</v>
      </c>
      <c r="K143" s="6">
        <v>0</v>
      </c>
      <c r="L143" s="6">
        <v>20</v>
      </c>
      <c r="M143" s="6" t="s">
        <v>63</v>
      </c>
      <c r="N143" s="6" t="s">
        <v>40</v>
      </c>
      <c r="O143" s="6">
        <v>1821</v>
      </c>
      <c r="P143" s="7">
        <v>27689</v>
      </c>
      <c r="Q143" s="8">
        <v>49</v>
      </c>
      <c r="R143" s="8" t="s">
        <v>41</v>
      </c>
      <c r="S143" s="6" t="s">
        <v>64</v>
      </c>
      <c r="T143" s="6" t="s">
        <v>70</v>
      </c>
      <c r="U143" s="6" t="s">
        <v>44</v>
      </c>
      <c r="V143" s="6" t="s">
        <v>45</v>
      </c>
      <c r="W143" s="6" t="s">
        <v>262</v>
      </c>
      <c r="X143" s="7">
        <v>40670</v>
      </c>
      <c r="Y143" s="8">
        <f t="shared" ca="1" si="2"/>
        <v>15</v>
      </c>
      <c r="Z143" s="7"/>
      <c r="AA143" s="6" t="s">
        <v>47</v>
      </c>
      <c r="AB143" s="6" t="s">
        <v>48</v>
      </c>
      <c r="AC143" s="6" t="s">
        <v>49</v>
      </c>
      <c r="AD143" s="6" t="s">
        <v>82</v>
      </c>
      <c r="AE143" s="6">
        <v>19</v>
      </c>
      <c r="AF143" s="6" t="s">
        <v>51</v>
      </c>
      <c r="AG143" s="6" t="s">
        <v>52</v>
      </c>
      <c r="AH143" s="6">
        <v>4.5999999999999996</v>
      </c>
      <c r="AI143" s="6">
        <v>4</v>
      </c>
      <c r="AJ143" s="6">
        <v>0</v>
      </c>
      <c r="AK143" s="7">
        <v>43521</v>
      </c>
      <c r="AL143" s="6">
        <v>11</v>
      </c>
    </row>
    <row r="144" spans="1:38" x14ac:dyDescent="0.35">
      <c r="A144" s="6" t="s">
        <v>293</v>
      </c>
      <c r="B144" s="6">
        <v>10060</v>
      </c>
      <c r="C144" s="6">
        <v>0</v>
      </c>
      <c r="D144" s="6">
        <v>3</v>
      </c>
      <c r="E144" s="6">
        <v>0</v>
      </c>
      <c r="F144" s="6">
        <v>1</v>
      </c>
      <c r="G144" s="6">
        <v>5</v>
      </c>
      <c r="H144" s="6">
        <v>3</v>
      </c>
      <c r="I144" s="6">
        <v>0</v>
      </c>
      <c r="J144" s="6">
        <v>60436</v>
      </c>
      <c r="K144" s="6">
        <v>0</v>
      </c>
      <c r="L144" s="6">
        <v>19</v>
      </c>
      <c r="M144" s="6" t="s">
        <v>39</v>
      </c>
      <c r="N144" s="6" t="s">
        <v>40</v>
      </c>
      <c r="O144" s="6">
        <v>2109</v>
      </c>
      <c r="P144" s="7">
        <v>26709</v>
      </c>
      <c r="Q144" s="8">
        <v>52</v>
      </c>
      <c r="R144" s="8" t="s">
        <v>41</v>
      </c>
      <c r="S144" s="6" t="s">
        <v>64</v>
      </c>
      <c r="T144" s="6" t="s">
        <v>141</v>
      </c>
      <c r="U144" s="6" t="s">
        <v>44</v>
      </c>
      <c r="V144" s="6" t="s">
        <v>45</v>
      </c>
      <c r="W144" s="6" t="s">
        <v>46</v>
      </c>
      <c r="X144" s="7">
        <v>41791</v>
      </c>
      <c r="Y144" s="8">
        <f t="shared" ca="1" si="2"/>
        <v>12</v>
      </c>
      <c r="Z144" s="7"/>
      <c r="AA144" s="6" t="s">
        <v>47</v>
      </c>
      <c r="AB144" s="6" t="s">
        <v>48</v>
      </c>
      <c r="AC144" s="6" t="s">
        <v>49</v>
      </c>
      <c r="AD144" s="6" t="s">
        <v>103</v>
      </c>
      <c r="AE144" s="6">
        <v>18</v>
      </c>
      <c r="AF144" s="6" t="s">
        <v>51</v>
      </c>
      <c r="AG144" s="6" t="s">
        <v>61</v>
      </c>
      <c r="AH144" s="6">
        <v>5</v>
      </c>
      <c r="AI144" s="6">
        <v>5</v>
      </c>
      <c r="AJ144" s="6">
        <v>0</v>
      </c>
      <c r="AK144" s="7">
        <v>43486</v>
      </c>
      <c r="AL144" s="6">
        <v>9</v>
      </c>
    </row>
    <row r="145" spans="1:38" x14ac:dyDescent="0.35">
      <c r="A145" s="6" t="s">
        <v>294</v>
      </c>
      <c r="B145" s="6">
        <v>10034</v>
      </c>
      <c r="C145" s="6">
        <v>1</v>
      </c>
      <c r="D145" s="6">
        <v>1</v>
      </c>
      <c r="E145" s="6">
        <v>1</v>
      </c>
      <c r="F145" s="6">
        <v>5</v>
      </c>
      <c r="G145" s="6">
        <v>5</v>
      </c>
      <c r="H145" s="6">
        <v>4</v>
      </c>
      <c r="I145" s="6">
        <v>0</v>
      </c>
      <c r="J145" s="6">
        <v>46837</v>
      </c>
      <c r="K145" s="6">
        <v>1</v>
      </c>
      <c r="L145" s="6">
        <v>19</v>
      </c>
      <c r="M145" s="6" t="s">
        <v>39</v>
      </c>
      <c r="N145" s="6" t="s">
        <v>40</v>
      </c>
      <c r="O145" s="6">
        <v>2445</v>
      </c>
      <c r="P145" s="7">
        <v>27997</v>
      </c>
      <c r="Q145" s="8">
        <v>48</v>
      </c>
      <c r="R145" s="8" t="s">
        <v>41</v>
      </c>
      <c r="S145" s="6" t="s">
        <v>42</v>
      </c>
      <c r="T145" s="6" t="s">
        <v>55</v>
      </c>
      <c r="U145" s="6" t="s">
        <v>44</v>
      </c>
      <c r="V145" s="6" t="s">
        <v>45</v>
      </c>
      <c r="W145" s="6" t="s">
        <v>46</v>
      </c>
      <c r="X145" s="7">
        <v>40735</v>
      </c>
      <c r="Y145" s="8">
        <f t="shared" ca="1" si="2"/>
        <v>15</v>
      </c>
      <c r="Z145" s="7">
        <v>43219</v>
      </c>
      <c r="AA145" s="6" t="s">
        <v>197</v>
      </c>
      <c r="AB145" s="6" t="s">
        <v>57</v>
      </c>
      <c r="AC145" s="6" t="s">
        <v>49</v>
      </c>
      <c r="AD145" s="6" t="s">
        <v>50</v>
      </c>
      <c r="AE145" s="6">
        <v>22</v>
      </c>
      <c r="AF145" s="6" t="s">
        <v>121</v>
      </c>
      <c r="AG145" s="6" t="s">
        <v>52</v>
      </c>
      <c r="AH145" s="6">
        <v>4.7</v>
      </c>
      <c r="AI145" s="6">
        <v>4</v>
      </c>
      <c r="AJ145" s="6">
        <v>0</v>
      </c>
      <c r="AK145" s="7">
        <v>43145</v>
      </c>
      <c r="AL145" s="6">
        <v>9</v>
      </c>
    </row>
    <row r="146" spans="1:38" x14ac:dyDescent="0.35">
      <c r="A146" s="6" t="s">
        <v>295</v>
      </c>
      <c r="B146" s="6">
        <v>10156</v>
      </c>
      <c r="C146" s="6">
        <v>1</v>
      </c>
      <c r="D146" s="6">
        <v>1</v>
      </c>
      <c r="E146" s="6">
        <v>0</v>
      </c>
      <c r="F146" s="6">
        <v>3</v>
      </c>
      <c r="G146" s="6">
        <v>3</v>
      </c>
      <c r="H146" s="6">
        <v>3</v>
      </c>
      <c r="I146" s="6">
        <v>0</v>
      </c>
      <c r="J146" s="6">
        <v>105700</v>
      </c>
      <c r="K146" s="6">
        <v>0</v>
      </c>
      <c r="L146" s="6">
        <v>8</v>
      </c>
      <c r="M146" s="6" t="s">
        <v>113</v>
      </c>
      <c r="N146" s="6" t="s">
        <v>40</v>
      </c>
      <c r="O146" s="6">
        <v>2301</v>
      </c>
      <c r="P146" s="7">
        <v>28451</v>
      </c>
      <c r="Q146" s="8">
        <v>47</v>
      </c>
      <c r="R146" s="8" t="s">
        <v>41</v>
      </c>
      <c r="S146" s="6" t="s">
        <v>64</v>
      </c>
      <c r="T146" s="6" t="s">
        <v>55</v>
      </c>
      <c r="U146" s="6" t="s">
        <v>44</v>
      </c>
      <c r="V146" s="6" t="s">
        <v>45</v>
      </c>
      <c r="W146" s="6" t="s">
        <v>116</v>
      </c>
      <c r="X146" s="7">
        <v>42125</v>
      </c>
      <c r="Y146" s="8">
        <f t="shared" ca="1" si="2"/>
        <v>11</v>
      </c>
      <c r="Z146" s="7"/>
      <c r="AA146" s="6" t="s">
        <v>47</v>
      </c>
      <c r="AB146" s="6" t="s">
        <v>48</v>
      </c>
      <c r="AC146" s="6" t="s">
        <v>58</v>
      </c>
      <c r="AD146" s="6" t="s">
        <v>59</v>
      </c>
      <c r="AE146" s="6">
        <v>4</v>
      </c>
      <c r="AF146" s="6" t="s">
        <v>60</v>
      </c>
      <c r="AG146" s="6" t="s">
        <v>61</v>
      </c>
      <c r="AH146" s="6">
        <v>3.75</v>
      </c>
      <c r="AI146" s="6">
        <v>3</v>
      </c>
      <c r="AJ146" s="6">
        <v>5</v>
      </c>
      <c r="AK146" s="7">
        <v>43771</v>
      </c>
      <c r="AL146" s="6">
        <v>2</v>
      </c>
    </row>
    <row r="147" spans="1:38" x14ac:dyDescent="0.35">
      <c r="A147" s="6" t="s">
        <v>296</v>
      </c>
      <c r="B147" s="6">
        <v>10036</v>
      </c>
      <c r="C147" s="6">
        <v>0</v>
      </c>
      <c r="D147" s="6">
        <v>0</v>
      </c>
      <c r="E147" s="6">
        <v>0</v>
      </c>
      <c r="F147" s="6">
        <v>1</v>
      </c>
      <c r="G147" s="6">
        <v>5</v>
      </c>
      <c r="H147" s="6">
        <v>4</v>
      </c>
      <c r="I147" s="6">
        <v>0</v>
      </c>
      <c r="J147" s="6">
        <v>63322</v>
      </c>
      <c r="K147" s="6">
        <v>0</v>
      </c>
      <c r="L147" s="6">
        <v>20</v>
      </c>
      <c r="M147" s="6" t="s">
        <v>63</v>
      </c>
      <c r="N147" s="6" t="s">
        <v>40</v>
      </c>
      <c r="O147" s="6">
        <v>2128</v>
      </c>
      <c r="P147" s="7">
        <v>31918</v>
      </c>
      <c r="Q147" s="8">
        <v>38</v>
      </c>
      <c r="R147" s="8" t="s">
        <v>41</v>
      </c>
      <c r="S147" s="6" t="s">
        <v>64</v>
      </c>
      <c r="T147" s="6" t="s">
        <v>43</v>
      </c>
      <c r="U147" s="6" t="s">
        <v>44</v>
      </c>
      <c r="V147" s="6" t="s">
        <v>45</v>
      </c>
      <c r="W147" s="6" t="s">
        <v>46</v>
      </c>
      <c r="X147" s="7">
        <v>41827</v>
      </c>
      <c r="Y147" s="8">
        <f t="shared" ca="1" si="2"/>
        <v>12</v>
      </c>
      <c r="Z147" s="7"/>
      <c r="AA147" s="6" t="s">
        <v>47</v>
      </c>
      <c r="AB147" s="6" t="s">
        <v>48</v>
      </c>
      <c r="AC147" s="6" t="s">
        <v>49</v>
      </c>
      <c r="AD147" s="6" t="s">
        <v>86</v>
      </c>
      <c r="AE147" s="6">
        <v>12</v>
      </c>
      <c r="AF147" s="6" t="s">
        <v>51</v>
      </c>
      <c r="AG147" s="6" t="s">
        <v>52</v>
      </c>
      <c r="AH147" s="6">
        <v>4.3</v>
      </c>
      <c r="AI147" s="6">
        <v>3</v>
      </c>
      <c r="AJ147" s="6">
        <v>0</v>
      </c>
      <c r="AK147" s="7">
        <v>43770</v>
      </c>
      <c r="AL147" s="6">
        <v>1</v>
      </c>
    </row>
    <row r="148" spans="1:38" x14ac:dyDescent="0.35">
      <c r="A148" s="6" t="s">
        <v>297</v>
      </c>
      <c r="B148" s="6">
        <v>10138</v>
      </c>
      <c r="C148" s="6">
        <v>1</v>
      </c>
      <c r="D148" s="6">
        <v>1</v>
      </c>
      <c r="E148" s="6">
        <v>0</v>
      </c>
      <c r="F148" s="6">
        <v>5</v>
      </c>
      <c r="G148" s="6">
        <v>5</v>
      </c>
      <c r="H148" s="6">
        <v>3</v>
      </c>
      <c r="I148" s="6">
        <v>0</v>
      </c>
      <c r="J148" s="6">
        <v>61154</v>
      </c>
      <c r="K148" s="6">
        <v>1</v>
      </c>
      <c r="L148" s="6">
        <v>19</v>
      </c>
      <c r="M148" s="6" t="s">
        <v>39</v>
      </c>
      <c r="N148" s="6" t="s">
        <v>40</v>
      </c>
      <c r="O148" s="6">
        <v>2446</v>
      </c>
      <c r="P148" s="7">
        <v>24988</v>
      </c>
      <c r="Q148" s="8">
        <v>57</v>
      </c>
      <c r="R148" s="8" t="s">
        <v>41</v>
      </c>
      <c r="S148" s="6" t="s">
        <v>64</v>
      </c>
      <c r="T148" s="6" t="s">
        <v>55</v>
      </c>
      <c r="U148" s="6" t="s">
        <v>44</v>
      </c>
      <c r="V148" s="6" t="s">
        <v>45</v>
      </c>
      <c r="W148" s="6" t="s">
        <v>85</v>
      </c>
      <c r="X148" s="7">
        <v>40817</v>
      </c>
      <c r="Y148" s="8">
        <f t="shared" ca="1" si="2"/>
        <v>14</v>
      </c>
      <c r="Z148" s="7">
        <v>42373</v>
      </c>
      <c r="AA148" s="6" t="s">
        <v>97</v>
      </c>
      <c r="AB148" s="6" t="s">
        <v>57</v>
      </c>
      <c r="AC148" s="6" t="s">
        <v>49</v>
      </c>
      <c r="AD148" s="6" t="s">
        <v>68</v>
      </c>
      <c r="AE148" s="6">
        <v>16</v>
      </c>
      <c r="AF148" s="6" t="s">
        <v>121</v>
      </c>
      <c r="AG148" s="6" t="s">
        <v>61</v>
      </c>
      <c r="AH148" s="6">
        <v>4</v>
      </c>
      <c r="AI148" s="6">
        <v>4</v>
      </c>
      <c r="AJ148" s="6">
        <v>0</v>
      </c>
      <c r="AK148" s="7">
        <v>42431</v>
      </c>
      <c r="AL148" s="6">
        <v>4</v>
      </c>
    </row>
    <row r="149" spans="1:38" x14ac:dyDescent="0.35">
      <c r="A149" s="6" t="s">
        <v>298</v>
      </c>
      <c r="B149" s="6">
        <v>10244</v>
      </c>
      <c r="C149" s="6">
        <v>0</v>
      </c>
      <c r="D149" s="6">
        <v>0</v>
      </c>
      <c r="E149" s="6">
        <v>0</v>
      </c>
      <c r="F149" s="6">
        <v>5</v>
      </c>
      <c r="G149" s="6">
        <v>6</v>
      </c>
      <c r="H149" s="6">
        <v>3</v>
      </c>
      <c r="I149" s="6">
        <v>0</v>
      </c>
      <c r="J149" s="6">
        <v>68999</v>
      </c>
      <c r="K149" s="6">
        <v>1</v>
      </c>
      <c r="L149" s="6">
        <v>21</v>
      </c>
      <c r="M149" s="6" t="s">
        <v>185</v>
      </c>
      <c r="N149" s="6" t="s">
        <v>299</v>
      </c>
      <c r="O149" s="6">
        <v>19444</v>
      </c>
      <c r="P149" s="7">
        <v>28025</v>
      </c>
      <c r="Q149" s="8">
        <v>48</v>
      </c>
      <c r="R149" s="8" t="s">
        <v>41</v>
      </c>
      <c r="S149" s="6" t="s">
        <v>64</v>
      </c>
      <c r="T149" s="6" t="s">
        <v>43</v>
      </c>
      <c r="U149" s="6" t="s">
        <v>44</v>
      </c>
      <c r="V149" s="6" t="s">
        <v>45</v>
      </c>
      <c r="W149" s="6" t="s">
        <v>46</v>
      </c>
      <c r="X149" s="7">
        <v>40735</v>
      </c>
      <c r="Y149" s="8">
        <f t="shared" ca="1" si="2"/>
        <v>15</v>
      </c>
      <c r="Z149" s="7">
        <v>41753</v>
      </c>
      <c r="AA149" s="6" t="s">
        <v>300</v>
      </c>
      <c r="AB149" s="6" t="s">
        <v>57</v>
      </c>
      <c r="AC149" s="6" t="s">
        <v>145</v>
      </c>
      <c r="AD149" s="6" t="s">
        <v>186</v>
      </c>
      <c r="AE149" s="6">
        <v>15</v>
      </c>
      <c r="AF149" s="6" t="s">
        <v>73</v>
      </c>
      <c r="AG149" s="6" t="s">
        <v>61</v>
      </c>
      <c r="AH149" s="6">
        <v>4.5</v>
      </c>
      <c r="AI149" s="6">
        <v>5</v>
      </c>
      <c r="AJ149" s="6">
        <v>0</v>
      </c>
      <c r="AK149" s="7">
        <v>41363</v>
      </c>
      <c r="AL149" s="6">
        <v>2</v>
      </c>
    </row>
    <row r="150" spans="1:38" x14ac:dyDescent="0.35">
      <c r="A150" s="6" t="s">
        <v>301</v>
      </c>
      <c r="B150" s="6">
        <v>10192</v>
      </c>
      <c r="C150" s="6">
        <v>0</v>
      </c>
      <c r="D150" s="6">
        <v>0</v>
      </c>
      <c r="E150" s="6">
        <v>1</v>
      </c>
      <c r="F150" s="6">
        <v>1</v>
      </c>
      <c r="G150" s="6">
        <v>5</v>
      </c>
      <c r="H150" s="6">
        <v>3</v>
      </c>
      <c r="I150" s="6">
        <v>0</v>
      </c>
      <c r="J150" s="6">
        <v>50482</v>
      </c>
      <c r="K150" s="6">
        <v>0</v>
      </c>
      <c r="L150" s="6">
        <v>19</v>
      </c>
      <c r="M150" s="6" t="s">
        <v>39</v>
      </c>
      <c r="N150" s="6" t="s">
        <v>40</v>
      </c>
      <c r="O150" s="6">
        <v>1887</v>
      </c>
      <c r="P150" s="7">
        <v>31227</v>
      </c>
      <c r="Q150" s="8">
        <v>40</v>
      </c>
      <c r="R150" s="8" t="s">
        <v>41</v>
      </c>
      <c r="S150" s="6" t="s">
        <v>42</v>
      </c>
      <c r="T150" s="6" t="s">
        <v>43</v>
      </c>
      <c r="U150" s="6" t="s">
        <v>44</v>
      </c>
      <c r="V150" s="6" t="s">
        <v>45</v>
      </c>
      <c r="W150" s="6" t="s">
        <v>46</v>
      </c>
      <c r="X150" s="7">
        <v>41547</v>
      </c>
      <c r="Y150" s="8">
        <f t="shared" ca="1" si="2"/>
        <v>12</v>
      </c>
      <c r="Z150" s="7"/>
      <c r="AA150" s="6" t="s">
        <v>47</v>
      </c>
      <c r="AB150" s="6" t="s">
        <v>48</v>
      </c>
      <c r="AC150" s="6" t="s">
        <v>49</v>
      </c>
      <c r="AD150" s="6" t="s">
        <v>50</v>
      </c>
      <c r="AE150" s="6">
        <v>22</v>
      </c>
      <c r="AF150" s="6" t="s">
        <v>60</v>
      </c>
      <c r="AG150" s="6" t="s">
        <v>61</v>
      </c>
      <c r="AH150" s="6">
        <v>3.07</v>
      </c>
      <c r="AI150" s="6">
        <v>4</v>
      </c>
      <c r="AJ150" s="6">
        <v>0</v>
      </c>
      <c r="AK150" s="7">
        <v>43488</v>
      </c>
      <c r="AL150" s="6">
        <v>10</v>
      </c>
    </row>
    <row r="151" spans="1:38" x14ac:dyDescent="0.35">
      <c r="A151" s="6" t="s">
        <v>302</v>
      </c>
      <c r="B151" s="6">
        <v>10231</v>
      </c>
      <c r="C151" s="6">
        <v>0</v>
      </c>
      <c r="D151" s="6">
        <v>0</v>
      </c>
      <c r="E151" s="6">
        <v>1</v>
      </c>
      <c r="F151" s="6">
        <v>1</v>
      </c>
      <c r="G151" s="6">
        <v>6</v>
      </c>
      <c r="H151" s="6">
        <v>3</v>
      </c>
      <c r="I151" s="6">
        <v>0</v>
      </c>
      <c r="J151" s="6">
        <v>65310</v>
      </c>
      <c r="K151" s="6">
        <v>0</v>
      </c>
      <c r="L151" s="6">
        <v>3</v>
      </c>
      <c r="M151" s="6" t="s">
        <v>143</v>
      </c>
      <c r="N151" s="6" t="s">
        <v>303</v>
      </c>
      <c r="O151" s="6">
        <v>80820</v>
      </c>
      <c r="P151" s="7">
        <v>33833</v>
      </c>
      <c r="Q151" s="8">
        <v>32</v>
      </c>
      <c r="R151" s="8" t="s">
        <v>41</v>
      </c>
      <c r="S151" s="6" t="s">
        <v>42</v>
      </c>
      <c r="T151" s="6" t="s">
        <v>43</v>
      </c>
      <c r="U151" s="6" t="s">
        <v>44</v>
      </c>
      <c r="V151" s="6" t="s">
        <v>45</v>
      </c>
      <c r="W151" s="6" t="s">
        <v>46</v>
      </c>
      <c r="X151" s="7">
        <v>41505</v>
      </c>
      <c r="Y151" s="8">
        <f t="shared" ca="1" si="2"/>
        <v>12</v>
      </c>
      <c r="Z151" s="7"/>
      <c r="AA151" s="6" t="s">
        <v>47</v>
      </c>
      <c r="AB151" s="6" t="s">
        <v>48</v>
      </c>
      <c r="AC151" s="6" t="s">
        <v>145</v>
      </c>
      <c r="AD151" s="6" t="s">
        <v>164</v>
      </c>
      <c r="AE151" s="6">
        <v>21</v>
      </c>
      <c r="AF151" s="6" t="s">
        <v>60</v>
      </c>
      <c r="AG151" s="6" t="s">
        <v>61</v>
      </c>
      <c r="AH151" s="6">
        <v>4.3</v>
      </c>
      <c r="AI151" s="6">
        <v>5</v>
      </c>
      <c r="AJ151" s="6">
        <v>0</v>
      </c>
      <c r="AK151" s="7">
        <v>43487</v>
      </c>
      <c r="AL151" s="6">
        <v>13</v>
      </c>
    </row>
    <row r="152" spans="1:38" x14ac:dyDescent="0.35">
      <c r="A152" s="6" t="s">
        <v>304</v>
      </c>
      <c r="B152" s="6">
        <v>10089</v>
      </c>
      <c r="C152" s="6">
        <v>1</v>
      </c>
      <c r="D152" s="6">
        <v>1</v>
      </c>
      <c r="E152" s="6">
        <v>0</v>
      </c>
      <c r="F152" s="6">
        <v>1</v>
      </c>
      <c r="G152" s="6">
        <v>2</v>
      </c>
      <c r="H152" s="6">
        <v>3</v>
      </c>
      <c r="I152" s="6">
        <v>0</v>
      </c>
      <c r="J152" s="6">
        <v>250000</v>
      </c>
      <c r="K152" s="6">
        <v>0</v>
      </c>
      <c r="L152" s="6">
        <v>16</v>
      </c>
      <c r="M152" s="6" t="s">
        <v>305</v>
      </c>
      <c r="N152" s="6" t="s">
        <v>40</v>
      </c>
      <c r="O152" s="6">
        <v>1902</v>
      </c>
      <c r="P152" s="7">
        <v>25682</v>
      </c>
      <c r="Q152" s="8">
        <v>55</v>
      </c>
      <c r="R152" s="8" t="s">
        <v>41</v>
      </c>
      <c r="S152" s="6" t="s">
        <v>64</v>
      </c>
      <c r="T152" s="6" t="s">
        <v>55</v>
      </c>
      <c r="U152" s="6" t="s">
        <v>44</v>
      </c>
      <c r="V152" s="6" t="s">
        <v>92</v>
      </c>
      <c r="W152" s="6" t="s">
        <v>46</v>
      </c>
      <c r="X152" s="7">
        <v>40946</v>
      </c>
      <c r="Y152" s="8">
        <f t="shared" ca="1" si="2"/>
        <v>14</v>
      </c>
      <c r="Z152" s="7"/>
      <c r="AA152" s="6" t="s">
        <v>47</v>
      </c>
      <c r="AB152" s="6" t="s">
        <v>48</v>
      </c>
      <c r="AC152" s="6" t="s">
        <v>306</v>
      </c>
      <c r="AD152" s="6" t="s">
        <v>239</v>
      </c>
      <c r="AE152" s="6">
        <v>9</v>
      </c>
      <c r="AF152" s="6" t="s">
        <v>60</v>
      </c>
      <c r="AG152" s="6" t="s">
        <v>61</v>
      </c>
      <c r="AH152" s="6">
        <v>4.83</v>
      </c>
      <c r="AI152" s="6">
        <v>3</v>
      </c>
      <c r="AJ152" s="6">
        <v>0</v>
      </c>
      <c r="AK152" s="7">
        <v>43482</v>
      </c>
      <c r="AL152" s="6">
        <v>10</v>
      </c>
    </row>
    <row r="153" spans="1:38" x14ac:dyDescent="0.35">
      <c r="A153" s="6" t="s">
        <v>307</v>
      </c>
      <c r="B153" s="6">
        <v>10166</v>
      </c>
      <c r="C153" s="6">
        <v>1</v>
      </c>
      <c r="D153" s="6">
        <v>1</v>
      </c>
      <c r="E153" s="6">
        <v>0</v>
      </c>
      <c r="F153" s="6">
        <v>5</v>
      </c>
      <c r="G153" s="6">
        <v>5</v>
      </c>
      <c r="H153" s="6">
        <v>3</v>
      </c>
      <c r="I153" s="6">
        <v>0</v>
      </c>
      <c r="J153" s="6">
        <v>54005</v>
      </c>
      <c r="K153" s="6">
        <v>1</v>
      </c>
      <c r="L153" s="6">
        <v>19</v>
      </c>
      <c r="M153" s="6" t="s">
        <v>39</v>
      </c>
      <c r="N153" s="6" t="s">
        <v>40</v>
      </c>
      <c r="O153" s="6">
        <v>2170</v>
      </c>
      <c r="P153" s="7">
        <v>29329</v>
      </c>
      <c r="Q153" s="8">
        <v>45</v>
      </c>
      <c r="R153" s="8" t="s">
        <v>41</v>
      </c>
      <c r="S153" s="6" t="s">
        <v>64</v>
      </c>
      <c r="T153" s="6" t="s">
        <v>55</v>
      </c>
      <c r="U153" s="6" t="s">
        <v>44</v>
      </c>
      <c r="V153" s="6" t="s">
        <v>45</v>
      </c>
      <c r="W153" s="6" t="s">
        <v>46</v>
      </c>
      <c r="X153" s="7">
        <v>40812</v>
      </c>
      <c r="Y153" s="8">
        <f t="shared" ca="1" si="2"/>
        <v>14</v>
      </c>
      <c r="Z153" s="7">
        <v>42100</v>
      </c>
      <c r="AA153" s="6" t="s">
        <v>197</v>
      </c>
      <c r="AB153" s="6" t="s">
        <v>57</v>
      </c>
      <c r="AC153" s="6" t="s">
        <v>49</v>
      </c>
      <c r="AD153" s="6" t="s">
        <v>72</v>
      </c>
      <c r="AE153" s="6">
        <v>39</v>
      </c>
      <c r="AF153" s="6" t="s">
        <v>73</v>
      </c>
      <c r="AG153" s="6" t="s">
        <v>61</v>
      </c>
      <c r="AH153" s="6">
        <v>3.6</v>
      </c>
      <c r="AI153" s="6">
        <v>5</v>
      </c>
      <c r="AJ153" s="6">
        <v>0</v>
      </c>
      <c r="AK153" s="7">
        <v>42007</v>
      </c>
      <c r="AL153" s="6">
        <v>16</v>
      </c>
    </row>
    <row r="154" spans="1:38" x14ac:dyDescent="0.35">
      <c r="A154" s="6" t="s">
        <v>308</v>
      </c>
      <c r="B154" s="6">
        <v>10170</v>
      </c>
      <c r="C154" s="6">
        <v>1</v>
      </c>
      <c r="D154" s="6">
        <v>1</v>
      </c>
      <c r="E154" s="6">
        <v>0</v>
      </c>
      <c r="F154" s="6">
        <v>5</v>
      </c>
      <c r="G154" s="6">
        <v>5</v>
      </c>
      <c r="H154" s="6">
        <v>3</v>
      </c>
      <c r="I154" s="6">
        <v>0</v>
      </c>
      <c r="J154" s="6">
        <v>45433</v>
      </c>
      <c r="K154" s="6">
        <v>1</v>
      </c>
      <c r="L154" s="6">
        <v>19</v>
      </c>
      <c r="M154" s="6" t="s">
        <v>39</v>
      </c>
      <c r="N154" s="6" t="s">
        <v>40</v>
      </c>
      <c r="O154" s="6">
        <v>2127</v>
      </c>
      <c r="P154" s="7">
        <v>25683</v>
      </c>
      <c r="Q154" s="8">
        <v>55</v>
      </c>
      <c r="R154" s="8" t="s">
        <v>41</v>
      </c>
      <c r="S154" s="6" t="s">
        <v>64</v>
      </c>
      <c r="T154" s="6" t="s">
        <v>55</v>
      </c>
      <c r="U154" s="6" t="s">
        <v>44</v>
      </c>
      <c r="V154" s="6" t="s">
        <v>45</v>
      </c>
      <c r="W154" s="6" t="s">
        <v>46</v>
      </c>
      <c r="X154" s="7">
        <v>40812</v>
      </c>
      <c r="Y154" s="8">
        <f t="shared" ca="1" si="2"/>
        <v>14</v>
      </c>
      <c r="Z154" s="7">
        <v>41883</v>
      </c>
      <c r="AA154" s="6" t="s">
        <v>197</v>
      </c>
      <c r="AB154" s="6" t="s">
        <v>57</v>
      </c>
      <c r="AC154" s="6" t="s">
        <v>49</v>
      </c>
      <c r="AD154" s="6" t="s">
        <v>75</v>
      </c>
      <c r="AE154" s="6">
        <v>11</v>
      </c>
      <c r="AF154" s="6" t="s">
        <v>73</v>
      </c>
      <c r="AG154" s="6" t="s">
        <v>61</v>
      </c>
      <c r="AH154" s="6">
        <v>3.49</v>
      </c>
      <c r="AI154" s="6">
        <v>4</v>
      </c>
      <c r="AJ154" s="6">
        <v>0</v>
      </c>
      <c r="AK154" s="7">
        <v>41304</v>
      </c>
      <c r="AL154" s="6">
        <v>6</v>
      </c>
    </row>
    <row r="155" spans="1:38" x14ac:dyDescent="0.35">
      <c r="A155" s="6" t="s">
        <v>309</v>
      </c>
      <c r="B155" s="6">
        <v>10208</v>
      </c>
      <c r="C155" s="6">
        <v>0</v>
      </c>
      <c r="D155" s="6">
        <v>0</v>
      </c>
      <c r="E155" s="6">
        <v>1</v>
      </c>
      <c r="F155" s="6">
        <v>1</v>
      </c>
      <c r="G155" s="6">
        <v>5</v>
      </c>
      <c r="H155" s="6">
        <v>3</v>
      </c>
      <c r="I155" s="6">
        <v>0</v>
      </c>
      <c r="J155" s="6">
        <v>46654</v>
      </c>
      <c r="K155" s="6">
        <v>0</v>
      </c>
      <c r="L155" s="6">
        <v>19</v>
      </c>
      <c r="M155" s="6" t="s">
        <v>39</v>
      </c>
      <c r="N155" s="6" t="s">
        <v>40</v>
      </c>
      <c r="O155" s="6">
        <v>1721</v>
      </c>
      <c r="P155" s="7">
        <v>30403</v>
      </c>
      <c r="Q155" s="8">
        <v>42</v>
      </c>
      <c r="R155" s="8" t="s">
        <v>41</v>
      </c>
      <c r="S155" s="6" t="s">
        <v>42</v>
      </c>
      <c r="T155" s="6" t="s">
        <v>43</v>
      </c>
      <c r="U155" s="6" t="s">
        <v>44</v>
      </c>
      <c r="V155" s="6" t="s">
        <v>45</v>
      </c>
      <c r="W155" s="6" t="s">
        <v>85</v>
      </c>
      <c r="X155" s="7">
        <v>41687</v>
      </c>
      <c r="Y155" s="8">
        <f t="shared" ca="1" si="2"/>
        <v>12</v>
      </c>
      <c r="Z155" s="7"/>
      <c r="AA155" s="6" t="s">
        <v>47</v>
      </c>
      <c r="AB155" s="6" t="s">
        <v>48</v>
      </c>
      <c r="AC155" s="6" t="s">
        <v>49</v>
      </c>
      <c r="AD155" s="6" t="s">
        <v>82</v>
      </c>
      <c r="AE155" s="6">
        <v>19</v>
      </c>
      <c r="AF155" s="6" t="s">
        <v>51</v>
      </c>
      <c r="AG155" s="6" t="s">
        <v>61</v>
      </c>
      <c r="AH155" s="6">
        <v>3.1</v>
      </c>
      <c r="AI155" s="6">
        <v>3</v>
      </c>
      <c r="AJ155" s="6">
        <v>0</v>
      </c>
      <c r="AK155" s="7">
        <v>43618</v>
      </c>
      <c r="AL155" s="6">
        <v>3</v>
      </c>
    </row>
    <row r="156" spans="1:38" x14ac:dyDescent="0.35">
      <c r="A156" s="6" t="s">
        <v>310</v>
      </c>
      <c r="B156" s="6">
        <v>10176</v>
      </c>
      <c r="C156" s="6">
        <v>1</v>
      </c>
      <c r="D156" s="6">
        <v>1</v>
      </c>
      <c r="E156" s="6">
        <v>1</v>
      </c>
      <c r="F156" s="6">
        <v>1</v>
      </c>
      <c r="G156" s="6">
        <v>5</v>
      </c>
      <c r="H156" s="6">
        <v>3</v>
      </c>
      <c r="I156" s="6">
        <v>0</v>
      </c>
      <c r="J156" s="6">
        <v>63973</v>
      </c>
      <c r="K156" s="6">
        <v>0</v>
      </c>
      <c r="L156" s="6">
        <v>19</v>
      </c>
      <c r="M156" s="6" t="s">
        <v>39</v>
      </c>
      <c r="N156" s="6" t="s">
        <v>40</v>
      </c>
      <c r="O156" s="6">
        <v>1801</v>
      </c>
      <c r="P156" s="7">
        <v>32598</v>
      </c>
      <c r="Q156" s="8">
        <v>36</v>
      </c>
      <c r="R156" s="8" t="s">
        <v>41</v>
      </c>
      <c r="S156" s="6" t="s">
        <v>42</v>
      </c>
      <c r="T156" s="6" t="s">
        <v>55</v>
      </c>
      <c r="U156" s="6" t="s">
        <v>44</v>
      </c>
      <c r="V156" s="6" t="s">
        <v>45</v>
      </c>
      <c r="W156" s="6" t="s">
        <v>116</v>
      </c>
      <c r="X156" s="7">
        <v>40817</v>
      </c>
      <c r="Y156" s="8">
        <f t="shared" ca="1" si="2"/>
        <v>14</v>
      </c>
      <c r="Z156" s="7"/>
      <c r="AA156" s="6" t="s">
        <v>47</v>
      </c>
      <c r="AB156" s="6" t="s">
        <v>48</v>
      </c>
      <c r="AC156" s="6" t="s">
        <v>49</v>
      </c>
      <c r="AD156" s="6" t="s">
        <v>86</v>
      </c>
      <c r="AE156" s="6">
        <v>12</v>
      </c>
      <c r="AF156" s="6" t="s">
        <v>60</v>
      </c>
      <c r="AG156" s="6" t="s">
        <v>61</v>
      </c>
      <c r="AH156" s="6">
        <v>3.38</v>
      </c>
      <c r="AI156" s="6">
        <v>3</v>
      </c>
      <c r="AJ156" s="6">
        <v>0</v>
      </c>
      <c r="AK156" s="7">
        <v>43486</v>
      </c>
      <c r="AL156" s="6">
        <v>17</v>
      </c>
    </row>
    <row r="157" spans="1:38" x14ac:dyDescent="0.35">
      <c r="A157" s="6" t="s">
        <v>311</v>
      </c>
      <c r="B157" s="6">
        <v>10165</v>
      </c>
      <c r="C157" s="6">
        <v>0</v>
      </c>
      <c r="D157" s="6">
        <v>0</v>
      </c>
      <c r="E157" s="6">
        <v>1</v>
      </c>
      <c r="F157" s="6">
        <v>1</v>
      </c>
      <c r="G157" s="6">
        <v>6</v>
      </c>
      <c r="H157" s="6">
        <v>3</v>
      </c>
      <c r="I157" s="6">
        <v>1</v>
      </c>
      <c r="J157" s="6">
        <v>71339</v>
      </c>
      <c r="K157" s="6">
        <v>0</v>
      </c>
      <c r="L157" s="6">
        <v>3</v>
      </c>
      <c r="M157" s="6" t="s">
        <v>143</v>
      </c>
      <c r="N157" s="6" t="s">
        <v>312</v>
      </c>
      <c r="O157" s="6">
        <v>10171</v>
      </c>
      <c r="P157" s="7">
        <v>31374</v>
      </c>
      <c r="Q157" s="8">
        <v>39</v>
      </c>
      <c r="R157" s="8" t="s">
        <v>41</v>
      </c>
      <c r="S157" s="6" t="s">
        <v>42</v>
      </c>
      <c r="T157" s="6" t="s">
        <v>43</v>
      </c>
      <c r="U157" s="6" t="s">
        <v>44</v>
      </c>
      <c r="V157" s="6" t="s">
        <v>92</v>
      </c>
      <c r="W157" s="6" t="s">
        <v>85</v>
      </c>
      <c r="X157" s="7">
        <v>40727</v>
      </c>
      <c r="Y157" s="8">
        <f t="shared" ca="1" si="2"/>
        <v>15</v>
      </c>
      <c r="Z157" s="7"/>
      <c r="AA157" s="6" t="s">
        <v>47</v>
      </c>
      <c r="AB157" s="6" t="s">
        <v>48</v>
      </c>
      <c r="AC157" s="6" t="s">
        <v>145</v>
      </c>
      <c r="AD157" s="6" t="s">
        <v>146</v>
      </c>
      <c r="AE157" s="6">
        <v>17</v>
      </c>
      <c r="AF157" s="6" t="s">
        <v>87</v>
      </c>
      <c r="AG157" s="6" t="s">
        <v>61</v>
      </c>
      <c r="AH157" s="6">
        <v>3.65</v>
      </c>
      <c r="AI157" s="6">
        <v>5</v>
      </c>
      <c r="AJ157" s="6">
        <v>0</v>
      </c>
      <c r="AK157" s="7">
        <v>43482</v>
      </c>
      <c r="AL157" s="6">
        <v>20</v>
      </c>
    </row>
    <row r="158" spans="1:38" x14ac:dyDescent="0.35">
      <c r="A158" s="6" t="s">
        <v>313</v>
      </c>
      <c r="B158" s="6">
        <v>10113</v>
      </c>
      <c r="C158" s="6">
        <v>1</v>
      </c>
      <c r="D158" s="6">
        <v>1</v>
      </c>
      <c r="E158" s="6">
        <v>1</v>
      </c>
      <c r="F158" s="6">
        <v>3</v>
      </c>
      <c r="G158" s="6">
        <v>3</v>
      </c>
      <c r="H158" s="6">
        <v>3</v>
      </c>
      <c r="I158" s="6">
        <v>0</v>
      </c>
      <c r="J158" s="6">
        <v>93206</v>
      </c>
      <c r="K158" s="6">
        <v>0</v>
      </c>
      <c r="L158" s="6">
        <v>28</v>
      </c>
      <c r="M158" s="6" t="s">
        <v>183</v>
      </c>
      <c r="N158" s="6" t="s">
        <v>40</v>
      </c>
      <c r="O158" s="6">
        <v>2169</v>
      </c>
      <c r="P158" s="7">
        <v>29494</v>
      </c>
      <c r="Q158" s="8">
        <v>44</v>
      </c>
      <c r="R158" s="8" t="s">
        <v>41</v>
      </c>
      <c r="S158" s="6" t="s">
        <v>42</v>
      </c>
      <c r="T158" s="6" t="s">
        <v>55</v>
      </c>
      <c r="U158" s="6" t="s">
        <v>44</v>
      </c>
      <c r="V158" s="6" t="s">
        <v>45</v>
      </c>
      <c r="W158" s="6" t="s">
        <v>46</v>
      </c>
      <c r="X158" s="7">
        <v>41923</v>
      </c>
      <c r="Y158" s="8">
        <f t="shared" ca="1" si="2"/>
        <v>11</v>
      </c>
      <c r="Z158" s="7"/>
      <c r="AA158" s="6" t="s">
        <v>47</v>
      </c>
      <c r="AB158" s="6" t="s">
        <v>48</v>
      </c>
      <c r="AC158" s="6" t="s">
        <v>58</v>
      </c>
      <c r="AD158" s="6" t="s">
        <v>90</v>
      </c>
      <c r="AE158" s="6">
        <v>7</v>
      </c>
      <c r="AF158" s="6" t="s">
        <v>83</v>
      </c>
      <c r="AG158" s="6" t="s">
        <v>61</v>
      </c>
      <c r="AH158" s="6">
        <v>4.46</v>
      </c>
      <c r="AI158" s="6">
        <v>5</v>
      </c>
      <c r="AJ158" s="6">
        <v>6</v>
      </c>
      <c r="AK158" s="7">
        <v>43647</v>
      </c>
      <c r="AL158" s="6">
        <v>7</v>
      </c>
    </row>
    <row r="159" spans="1:38" x14ac:dyDescent="0.35">
      <c r="A159" s="6" t="s">
        <v>314</v>
      </c>
      <c r="B159" s="6">
        <v>10092</v>
      </c>
      <c r="C159" s="6">
        <v>1</v>
      </c>
      <c r="D159" s="6">
        <v>1</v>
      </c>
      <c r="E159" s="6">
        <v>1</v>
      </c>
      <c r="F159" s="6">
        <v>4</v>
      </c>
      <c r="G159" s="6">
        <v>5</v>
      </c>
      <c r="H159" s="6">
        <v>3</v>
      </c>
      <c r="I159" s="6">
        <v>0</v>
      </c>
      <c r="J159" s="6">
        <v>82758</v>
      </c>
      <c r="K159" s="6">
        <v>1</v>
      </c>
      <c r="L159" s="6">
        <v>18</v>
      </c>
      <c r="M159" s="6" t="s">
        <v>133</v>
      </c>
      <c r="N159" s="6" t="s">
        <v>40</v>
      </c>
      <c r="O159" s="6">
        <v>1890</v>
      </c>
      <c r="P159" s="7">
        <v>29183</v>
      </c>
      <c r="Q159" s="8">
        <v>45</v>
      </c>
      <c r="R159" s="8" t="s">
        <v>41</v>
      </c>
      <c r="S159" s="6" t="s">
        <v>42</v>
      </c>
      <c r="T159" s="6" t="s">
        <v>55</v>
      </c>
      <c r="U159" s="6" t="s">
        <v>44</v>
      </c>
      <c r="V159" s="6" t="s">
        <v>45</v>
      </c>
      <c r="W159" s="6" t="s">
        <v>46</v>
      </c>
      <c r="X159" s="7">
        <v>40817</v>
      </c>
      <c r="Y159" s="8">
        <f t="shared" ca="1" si="2"/>
        <v>14</v>
      </c>
      <c r="Z159" s="7">
        <v>42350</v>
      </c>
      <c r="AA159" s="6" t="s">
        <v>107</v>
      </c>
      <c r="AB159" s="6" t="s">
        <v>108</v>
      </c>
      <c r="AC159" s="6" t="s">
        <v>49</v>
      </c>
      <c r="AD159" s="6" t="s">
        <v>135</v>
      </c>
      <c r="AE159" s="6">
        <v>2</v>
      </c>
      <c r="AF159" s="6" t="s">
        <v>83</v>
      </c>
      <c r="AG159" s="6" t="s">
        <v>61</v>
      </c>
      <c r="AH159" s="6">
        <v>4.78</v>
      </c>
      <c r="AI159" s="6">
        <v>4</v>
      </c>
      <c r="AJ159" s="6">
        <v>0</v>
      </c>
      <c r="AK159" s="7">
        <v>42050</v>
      </c>
      <c r="AL159" s="6">
        <v>9</v>
      </c>
    </row>
    <row r="160" spans="1:38" x14ac:dyDescent="0.35">
      <c r="A160" s="6" t="s">
        <v>315</v>
      </c>
      <c r="B160" s="6">
        <v>10106</v>
      </c>
      <c r="C160" s="6">
        <v>0</v>
      </c>
      <c r="D160" s="6">
        <v>2</v>
      </c>
      <c r="E160" s="6">
        <v>0</v>
      </c>
      <c r="F160" s="6">
        <v>5</v>
      </c>
      <c r="G160" s="6">
        <v>5</v>
      </c>
      <c r="H160" s="6">
        <v>3</v>
      </c>
      <c r="I160" s="6">
        <v>0</v>
      </c>
      <c r="J160" s="6">
        <v>66074</v>
      </c>
      <c r="K160" s="6">
        <v>1</v>
      </c>
      <c r="L160" s="6">
        <v>20</v>
      </c>
      <c r="M160" s="6" t="s">
        <v>63</v>
      </c>
      <c r="N160" s="6" t="s">
        <v>40</v>
      </c>
      <c r="O160" s="6">
        <v>2090</v>
      </c>
      <c r="P160" s="7">
        <v>30090</v>
      </c>
      <c r="Q160" s="8">
        <v>43</v>
      </c>
      <c r="R160" s="8" t="s">
        <v>41</v>
      </c>
      <c r="S160" s="6" t="s">
        <v>64</v>
      </c>
      <c r="T160" s="6" t="s">
        <v>70</v>
      </c>
      <c r="U160" s="6" t="s">
        <v>44</v>
      </c>
      <c r="V160" s="6" t="s">
        <v>45</v>
      </c>
      <c r="W160" s="6" t="s">
        <v>116</v>
      </c>
      <c r="X160" s="7">
        <v>41456</v>
      </c>
      <c r="Y160" s="8">
        <f t="shared" ca="1" si="2"/>
        <v>13</v>
      </c>
      <c r="Z160" s="7">
        <v>41729</v>
      </c>
      <c r="AA160" s="6" t="s">
        <v>93</v>
      </c>
      <c r="AB160" s="6" t="s">
        <v>57</v>
      </c>
      <c r="AC160" s="6" t="s">
        <v>49</v>
      </c>
      <c r="AD160" s="6" t="s">
        <v>94</v>
      </c>
      <c r="AE160" s="6">
        <v>14</v>
      </c>
      <c r="AF160" s="6" t="s">
        <v>60</v>
      </c>
      <c r="AG160" s="6" t="s">
        <v>61</v>
      </c>
      <c r="AH160" s="6">
        <v>4.5199999999999996</v>
      </c>
      <c r="AI160" s="6">
        <v>3</v>
      </c>
      <c r="AJ160" s="6">
        <v>0</v>
      </c>
      <c r="AK160" s="7">
        <v>41690</v>
      </c>
      <c r="AL160" s="6">
        <v>20</v>
      </c>
    </row>
    <row r="161" spans="1:38" x14ac:dyDescent="0.35">
      <c r="A161" s="6" t="s">
        <v>316</v>
      </c>
      <c r="B161" s="6">
        <v>10052</v>
      </c>
      <c r="C161" s="6">
        <v>1</v>
      </c>
      <c r="D161" s="6">
        <v>1</v>
      </c>
      <c r="E161" s="6">
        <v>1</v>
      </c>
      <c r="F161" s="6">
        <v>1</v>
      </c>
      <c r="G161" s="6">
        <v>5</v>
      </c>
      <c r="H161" s="6">
        <v>3</v>
      </c>
      <c r="I161" s="6">
        <v>0</v>
      </c>
      <c r="J161" s="6">
        <v>46120</v>
      </c>
      <c r="K161" s="6">
        <v>0</v>
      </c>
      <c r="L161" s="6">
        <v>19</v>
      </c>
      <c r="M161" s="6" t="s">
        <v>39</v>
      </c>
      <c r="N161" s="6" t="s">
        <v>40</v>
      </c>
      <c r="O161" s="6">
        <v>2048</v>
      </c>
      <c r="P161" s="7">
        <v>28906</v>
      </c>
      <c r="Q161" s="8">
        <v>46</v>
      </c>
      <c r="R161" s="8" t="s">
        <v>41</v>
      </c>
      <c r="S161" s="6" t="s">
        <v>42</v>
      </c>
      <c r="T161" s="6" t="s">
        <v>55</v>
      </c>
      <c r="U161" s="6" t="s">
        <v>44</v>
      </c>
      <c r="V161" s="6" t="s">
        <v>45</v>
      </c>
      <c r="W161" s="6" t="s">
        <v>46</v>
      </c>
      <c r="X161" s="7">
        <v>41159</v>
      </c>
      <c r="Y161" s="8">
        <f t="shared" ca="1" si="2"/>
        <v>13</v>
      </c>
      <c r="Z161" s="7"/>
      <c r="AA161" s="6" t="s">
        <v>47</v>
      </c>
      <c r="AB161" s="6" t="s">
        <v>48</v>
      </c>
      <c r="AC161" s="6" t="s">
        <v>49</v>
      </c>
      <c r="AD161" s="6" t="s">
        <v>94</v>
      </c>
      <c r="AE161" s="6">
        <v>14</v>
      </c>
      <c r="AF161" s="6" t="s">
        <v>51</v>
      </c>
      <c r="AG161" s="6" t="s">
        <v>61</v>
      </c>
      <c r="AH161" s="6">
        <v>5</v>
      </c>
      <c r="AI161" s="6">
        <v>5</v>
      </c>
      <c r="AJ161" s="6">
        <v>0</v>
      </c>
      <c r="AK161" s="7">
        <v>43557</v>
      </c>
      <c r="AL161" s="6">
        <v>13</v>
      </c>
    </row>
    <row r="162" spans="1:38" x14ac:dyDescent="0.35">
      <c r="A162" s="6" t="s">
        <v>317</v>
      </c>
      <c r="B162" s="6">
        <v>10038</v>
      </c>
      <c r="C162" s="6">
        <v>0</v>
      </c>
      <c r="D162" s="6">
        <v>2</v>
      </c>
      <c r="E162" s="6">
        <v>1</v>
      </c>
      <c r="F162" s="6">
        <v>1</v>
      </c>
      <c r="G162" s="6">
        <v>1</v>
      </c>
      <c r="H162" s="6">
        <v>3</v>
      </c>
      <c r="I162" s="6">
        <v>0</v>
      </c>
      <c r="J162" s="6">
        <v>64520</v>
      </c>
      <c r="K162" s="6">
        <v>0</v>
      </c>
      <c r="L162" s="6">
        <v>1</v>
      </c>
      <c r="M162" s="6" t="s">
        <v>138</v>
      </c>
      <c r="N162" s="6" t="s">
        <v>40</v>
      </c>
      <c r="O162" s="6">
        <v>1460</v>
      </c>
      <c r="P162" s="7">
        <v>32219</v>
      </c>
      <c r="Q162" s="8">
        <v>37</v>
      </c>
      <c r="R162" s="8" t="s">
        <v>41</v>
      </c>
      <c r="S162" s="6" t="s">
        <v>42</v>
      </c>
      <c r="T162" s="6" t="s">
        <v>70</v>
      </c>
      <c r="U162" s="6" t="s">
        <v>44</v>
      </c>
      <c r="V162" s="6" t="s">
        <v>45</v>
      </c>
      <c r="W162" s="6" t="s">
        <v>85</v>
      </c>
      <c r="X162" s="7">
        <v>41791</v>
      </c>
      <c r="Y162" s="8">
        <f t="shared" ca="1" si="2"/>
        <v>12</v>
      </c>
      <c r="Z162" s="7"/>
      <c r="AA162" s="6" t="s">
        <v>47</v>
      </c>
      <c r="AB162" s="6" t="s">
        <v>48</v>
      </c>
      <c r="AC162" s="6" t="s">
        <v>130</v>
      </c>
      <c r="AD162" s="6" t="s">
        <v>131</v>
      </c>
      <c r="AE162" s="6">
        <v>1</v>
      </c>
      <c r="AF162" s="6" t="s">
        <v>205</v>
      </c>
      <c r="AG162" s="6" t="s">
        <v>61</v>
      </c>
      <c r="AH162" s="6">
        <v>5</v>
      </c>
      <c r="AI162" s="6">
        <v>4</v>
      </c>
      <c r="AJ162" s="6">
        <v>4</v>
      </c>
      <c r="AK162" s="7">
        <v>43482</v>
      </c>
      <c r="AL162" s="6">
        <v>3</v>
      </c>
    </row>
    <row r="163" spans="1:38" x14ac:dyDescent="0.35">
      <c r="A163" s="6" t="s">
        <v>318</v>
      </c>
      <c r="B163" s="6">
        <v>10249</v>
      </c>
      <c r="C163" s="6">
        <v>1</v>
      </c>
      <c r="D163" s="6">
        <v>1</v>
      </c>
      <c r="E163" s="6">
        <v>1</v>
      </c>
      <c r="F163" s="6">
        <v>5</v>
      </c>
      <c r="G163" s="6">
        <v>5</v>
      </c>
      <c r="H163" s="6">
        <v>3</v>
      </c>
      <c r="I163" s="6">
        <v>0</v>
      </c>
      <c r="J163" s="6">
        <v>61962</v>
      </c>
      <c r="K163" s="6">
        <v>1</v>
      </c>
      <c r="L163" s="6">
        <v>20</v>
      </c>
      <c r="M163" s="6" t="s">
        <v>63</v>
      </c>
      <c r="N163" s="6" t="s">
        <v>40</v>
      </c>
      <c r="O163" s="6">
        <v>2126</v>
      </c>
      <c r="P163" s="7">
        <v>32707</v>
      </c>
      <c r="Q163" s="8">
        <v>36</v>
      </c>
      <c r="R163" s="8" t="s">
        <v>41</v>
      </c>
      <c r="S163" s="6" t="s">
        <v>42</v>
      </c>
      <c r="T163" s="6" t="s">
        <v>55</v>
      </c>
      <c r="U163" s="6" t="s">
        <v>44</v>
      </c>
      <c r="V163" s="6" t="s">
        <v>45</v>
      </c>
      <c r="W163" s="6" t="s">
        <v>46</v>
      </c>
      <c r="X163" s="7">
        <v>40943</v>
      </c>
      <c r="Y163" s="8">
        <f t="shared" ca="1" si="2"/>
        <v>14</v>
      </c>
      <c r="Z163" s="7">
        <v>41379</v>
      </c>
      <c r="AA163" s="6" t="s">
        <v>197</v>
      </c>
      <c r="AB163" s="6" t="s">
        <v>57</v>
      </c>
      <c r="AC163" s="6" t="s">
        <v>49</v>
      </c>
      <c r="AD163" s="6" t="s">
        <v>66</v>
      </c>
      <c r="AE163" s="6">
        <v>20</v>
      </c>
      <c r="AF163" s="6" t="s">
        <v>73</v>
      </c>
      <c r="AG163" s="6" t="s">
        <v>61</v>
      </c>
      <c r="AH163" s="6">
        <v>4.9000000000000004</v>
      </c>
      <c r="AI163" s="6">
        <v>3</v>
      </c>
      <c r="AJ163" s="6">
        <v>0</v>
      </c>
      <c r="AK163" s="7">
        <v>41325</v>
      </c>
      <c r="AL163" s="6">
        <v>20</v>
      </c>
    </row>
    <row r="164" spans="1:38" x14ac:dyDescent="0.35">
      <c r="A164" s="6" t="s">
        <v>319</v>
      </c>
      <c r="B164" s="6">
        <v>10232</v>
      </c>
      <c r="C164" s="6">
        <v>0</v>
      </c>
      <c r="D164" s="6">
        <v>0</v>
      </c>
      <c r="E164" s="6">
        <v>0</v>
      </c>
      <c r="F164" s="6">
        <v>1</v>
      </c>
      <c r="G164" s="6">
        <v>3</v>
      </c>
      <c r="H164" s="6">
        <v>3</v>
      </c>
      <c r="I164" s="6">
        <v>0</v>
      </c>
      <c r="J164" s="6">
        <v>81584</v>
      </c>
      <c r="K164" s="6">
        <v>0</v>
      </c>
      <c r="L164" s="6">
        <v>22</v>
      </c>
      <c r="M164" s="6" t="s">
        <v>320</v>
      </c>
      <c r="N164" s="6" t="s">
        <v>40</v>
      </c>
      <c r="O164" s="6">
        <v>1886</v>
      </c>
      <c r="P164" s="7">
        <v>31613</v>
      </c>
      <c r="Q164" s="8">
        <v>39</v>
      </c>
      <c r="R164" s="8" t="s">
        <v>41</v>
      </c>
      <c r="S164" s="6" t="s">
        <v>64</v>
      </c>
      <c r="T164" s="6" t="s">
        <v>43</v>
      </c>
      <c r="U164" s="6" t="s">
        <v>44</v>
      </c>
      <c r="V164" s="6" t="s">
        <v>45</v>
      </c>
      <c r="W164" s="6" t="s">
        <v>116</v>
      </c>
      <c r="X164" s="7">
        <v>42410</v>
      </c>
      <c r="Y164" s="8">
        <f t="shared" ca="1" si="2"/>
        <v>10</v>
      </c>
      <c r="Z164" s="7"/>
      <c r="AA164" s="6" t="s">
        <v>47</v>
      </c>
      <c r="AB164" s="6" t="s">
        <v>48</v>
      </c>
      <c r="AC164" s="6" t="s">
        <v>58</v>
      </c>
      <c r="AD164" s="6" t="s">
        <v>201</v>
      </c>
      <c r="AE164" s="6">
        <v>13</v>
      </c>
      <c r="AF164" s="6" t="s">
        <v>60</v>
      </c>
      <c r="AG164" s="6" t="s">
        <v>61</v>
      </c>
      <c r="AH164" s="6">
        <v>4.0999999999999996</v>
      </c>
      <c r="AI164" s="6">
        <v>5</v>
      </c>
      <c r="AJ164" s="6">
        <v>7</v>
      </c>
      <c r="AK164" s="7">
        <v>43678</v>
      </c>
      <c r="AL164" s="6">
        <v>2</v>
      </c>
    </row>
    <row r="165" spans="1:38" x14ac:dyDescent="0.35">
      <c r="A165" s="6" t="s">
        <v>321</v>
      </c>
      <c r="B165" s="6">
        <v>10087</v>
      </c>
      <c r="C165" s="6">
        <v>0</v>
      </c>
      <c r="D165" s="6">
        <v>0</v>
      </c>
      <c r="E165" s="6">
        <v>0</v>
      </c>
      <c r="F165" s="6">
        <v>5</v>
      </c>
      <c r="G165" s="6">
        <v>5</v>
      </c>
      <c r="H165" s="6">
        <v>3</v>
      </c>
      <c r="I165" s="6">
        <v>0</v>
      </c>
      <c r="J165" s="6">
        <v>63676</v>
      </c>
      <c r="K165" s="6">
        <v>1</v>
      </c>
      <c r="L165" s="6">
        <v>19</v>
      </c>
      <c r="M165" s="6" t="s">
        <v>39</v>
      </c>
      <c r="N165" s="6" t="s">
        <v>40</v>
      </c>
      <c r="O165" s="6">
        <v>1810</v>
      </c>
      <c r="P165" s="7">
        <v>31641</v>
      </c>
      <c r="Q165" s="8">
        <v>38</v>
      </c>
      <c r="R165" s="8" t="s">
        <v>41</v>
      </c>
      <c r="S165" s="6" t="s">
        <v>64</v>
      </c>
      <c r="T165" s="6" t="s">
        <v>43</v>
      </c>
      <c r="U165" s="6" t="s">
        <v>44</v>
      </c>
      <c r="V165" s="6" t="s">
        <v>45</v>
      </c>
      <c r="W165" s="6" t="s">
        <v>116</v>
      </c>
      <c r="X165" s="7">
        <v>40812</v>
      </c>
      <c r="Y165" s="8">
        <f t="shared" ca="1" si="2"/>
        <v>14</v>
      </c>
      <c r="Z165" s="7">
        <v>43331</v>
      </c>
      <c r="AA165" s="6" t="s">
        <v>71</v>
      </c>
      <c r="AB165" s="6" t="s">
        <v>57</v>
      </c>
      <c r="AC165" s="6" t="s">
        <v>49</v>
      </c>
      <c r="AD165" s="6" t="s">
        <v>66</v>
      </c>
      <c r="AE165" s="6">
        <v>20</v>
      </c>
      <c r="AF165" s="6" t="s">
        <v>121</v>
      </c>
      <c r="AG165" s="6" t="s">
        <v>61</v>
      </c>
      <c r="AH165" s="6">
        <v>4.88</v>
      </c>
      <c r="AI165" s="6">
        <v>3</v>
      </c>
      <c r="AJ165" s="6">
        <v>0</v>
      </c>
      <c r="AK165" s="7">
        <v>42773</v>
      </c>
      <c r="AL165" s="6">
        <v>17</v>
      </c>
    </row>
    <row r="166" spans="1:38" x14ac:dyDescent="0.35">
      <c r="A166" s="6" t="s">
        <v>322</v>
      </c>
      <c r="B166" s="6">
        <v>10134</v>
      </c>
      <c r="C166" s="6">
        <v>1</v>
      </c>
      <c r="D166" s="6">
        <v>1</v>
      </c>
      <c r="E166" s="6">
        <v>1</v>
      </c>
      <c r="F166" s="6">
        <v>1</v>
      </c>
      <c r="G166" s="6">
        <v>1</v>
      </c>
      <c r="H166" s="6">
        <v>3</v>
      </c>
      <c r="I166" s="6">
        <v>0</v>
      </c>
      <c r="J166" s="6">
        <v>93046</v>
      </c>
      <c r="K166" s="6">
        <v>0</v>
      </c>
      <c r="L166" s="6">
        <v>23</v>
      </c>
      <c r="M166" s="6" t="s">
        <v>323</v>
      </c>
      <c r="N166" s="6" t="s">
        <v>40</v>
      </c>
      <c r="O166" s="6">
        <v>1460</v>
      </c>
      <c r="P166" s="7">
        <v>30941</v>
      </c>
      <c r="Q166" s="8">
        <v>40</v>
      </c>
      <c r="R166" s="8" t="s">
        <v>41</v>
      </c>
      <c r="S166" s="6" t="s">
        <v>42</v>
      </c>
      <c r="T166" s="6" t="s">
        <v>55</v>
      </c>
      <c r="U166" s="6" t="s">
        <v>44</v>
      </c>
      <c r="V166" s="6" t="s">
        <v>45</v>
      </c>
      <c r="W166" s="6" t="s">
        <v>46</v>
      </c>
      <c r="X166" s="7">
        <v>42491</v>
      </c>
      <c r="Y166" s="8">
        <f t="shared" ca="1" si="2"/>
        <v>10</v>
      </c>
      <c r="Z166" s="7"/>
      <c r="AA166" s="6" t="s">
        <v>47</v>
      </c>
      <c r="AB166" s="6" t="s">
        <v>48</v>
      </c>
      <c r="AC166" s="6" t="s">
        <v>130</v>
      </c>
      <c r="AD166" s="6" t="s">
        <v>135</v>
      </c>
      <c r="AE166" s="6">
        <v>2</v>
      </c>
      <c r="AF166" s="6" t="s">
        <v>121</v>
      </c>
      <c r="AG166" s="6" t="s">
        <v>61</v>
      </c>
      <c r="AH166" s="6">
        <v>4.0999999999999996</v>
      </c>
      <c r="AI166" s="6">
        <v>4</v>
      </c>
      <c r="AJ166" s="6">
        <v>0</v>
      </c>
      <c r="AK166" s="7">
        <v>43493</v>
      </c>
      <c r="AL166" s="6">
        <v>20</v>
      </c>
    </row>
    <row r="167" spans="1:38" x14ac:dyDescent="0.35">
      <c r="A167" s="6" t="s">
        <v>324</v>
      </c>
      <c r="B167" s="6">
        <v>10251</v>
      </c>
      <c r="C167" s="6">
        <v>1</v>
      </c>
      <c r="D167" s="6">
        <v>1</v>
      </c>
      <c r="E167" s="6">
        <v>1</v>
      </c>
      <c r="F167" s="6">
        <v>1</v>
      </c>
      <c r="G167" s="6">
        <v>5</v>
      </c>
      <c r="H167" s="6">
        <v>3</v>
      </c>
      <c r="I167" s="6">
        <v>0</v>
      </c>
      <c r="J167" s="6">
        <v>64738</v>
      </c>
      <c r="K167" s="6">
        <v>0</v>
      </c>
      <c r="L167" s="6">
        <v>19</v>
      </c>
      <c r="M167" s="6" t="s">
        <v>39</v>
      </c>
      <c r="N167" s="6" t="s">
        <v>40</v>
      </c>
      <c r="O167" s="6">
        <v>1776</v>
      </c>
      <c r="P167" s="7">
        <v>29913</v>
      </c>
      <c r="Q167" s="8">
        <v>43</v>
      </c>
      <c r="R167" s="8" t="s">
        <v>41</v>
      </c>
      <c r="S167" s="6" t="s">
        <v>42</v>
      </c>
      <c r="T167" s="6" t="s">
        <v>55</v>
      </c>
      <c r="U167" s="6" t="s">
        <v>44</v>
      </c>
      <c r="V167" s="6" t="s">
        <v>45</v>
      </c>
      <c r="W167" s="6" t="s">
        <v>116</v>
      </c>
      <c r="X167" s="7">
        <v>41043</v>
      </c>
      <c r="Y167" s="8">
        <f t="shared" ca="1" si="2"/>
        <v>14</v>
      </c>
      <c r="Z167" s="7"/>
      <c r="AA167" s="6" t="s">
        <v>47</v>
      </c>
      <c r="AB167" s="6" t="s">
        <v>48</v>
      </c>
      <c r="AC167" s="6" t="s">
        <v>49</v>
      </c>
      <c r="AD167" s="6" t="s">
        <v>68</v>
      </c>
      <c r="AE167" s="6">
        <v>16</v>
      </c>
      <c r="AF167" s="6" t="s">
        <v>73</v>
      </c>
      <c r="AG167" s="6" t="s">
        <v>61</v>
      </c>
      <c r="AH167" s="6">
        <v>4.0999999999999996</v>
      </c>
      <c r="AI167" s="6">
        <v>3</v>
      </c>
      <c r="AJ167" s="6">
        <v>0</v>
      </c>
      <c r="AK167" s="7">
        <v>43518</v>
      </c>
      <c r="AL167" s="6">
        <v>10</v>
      </c>
    </row>
    <row r="168" spans="1:38" x14ac:dyDescent="0.35">
      <c r="A168" s="6" t="s">
        <v>325</v>
      </c>
      <c r="B168" s="6">
        <v>10103</v>
      </c>
      <c r="C168" s="6">
        <v>0</v>
      </c>
      <c r="D168" s="6">
        <v>3</v>
      </c>
      <c r="E168" s="6">
        <v>1</v>
      </c>
      <c r="F168" s="6">
        <v>1</v>
      </c>
      <c r="G168" s="6">
        <v>6</v>
      </c>
      <c r="H168" s="6">
        <v>3</v>
      </c>
      <c r="I168" s="6">
        <v>0</v>
      </c>
      <c r="J168" s="6">
        <v>70468</v>
      </c>
      <c r="K168" s="6">
        <v>0</v>
      </c>
      <c r="L168" s="6">
        <v>3</v>
      </c>
      <c r="M168" s="6" t="s">
        <v>143</v>
      </c>
      <c r="N168" s="6" t="s">
        <v>326</v>
      </c>
      <c r="O168" s="6">
        <v>84111</v>
      </c>
      <c r="P168" s="7">
        <v>32384</v>
      </c>
      <c r="Q168" s="8">
        <v>36</v>
      </c>
      <c r="R168" s="8" t="s">
        <v>41</v>
      </c>
      <c r="S168" s="6" t="s">
        <v>42</v>
      </c>
      <c r="T168" s="6" t="s">
        <v>141</v>
      </c>
      <c r="U168" s="6" t="s">
        <v>44</v>
      </c>
      <c r="V168" s="6" t="s">
        <v>45</v>
      </c>
      <c r="W168" s="6" t="s">
        <v>85</v>
      </c>
      <c r="X168" s="7">
        <v>41029</v>
      </c>
      <c r="Y168" s="8">
        <f t="shared" ca="1" si="2"/>
        <v>14</v>
      </c>
      <c r="Z168" s="7"/>
      <c r="AA168" s="6" t="s">
        <v>47</v>
      </c>
      <c r="AB168" s="6" t="s">
        <v>48</v>
      </c>
      <c r="AC168" s="6" t="s">
        <v>145</v>
      </c>
      <c r="AD168" s="6" t="s">
        <v>146</v>
      </c>
      <c r="AE168" s="6">
        <v>17</v>
      </c>
      <c r="AF168" s="6" t="s">
        <v>205</v>
      </c>
      <c r="AG168" s="6" t="s">
        <v>61</v>
      </c>
      <c r="AH168" s="6">
        <v>4.53</v>
      </c>
      <c r="AI168" s="6">
        <v>3</v>
      </c>
      <c r="AJ168" s="6">
        <v>0</v>
      </c>
      <c r="AK168" s="7">
        <v>43494</v>
      </c>
      <c r="AL168" s="6">
        <v>16</v>
      </c>
    </row>
    <row r="169" spans="1:38" x14ac:dyDescent="0.35">
      <c r="A169" s="6" t="s">
        <v>327</v>
      </c>
      <c r="B169" s="6">
        <v>10017</v>
      </c>
      <c r="C169" s="6">
        <v>1</v>
      </c>
      <c r="D169" s="6">
        <v>1</v>
      </c>
      <c r="E169" s="6">
        <v>0</v>
      </c>
      <c r="F169" s="6">
        <v>1</v>
      </c>
      <c r="G169" s="6">
        <v>5</v>
      </c>
      <c r="H169" s="6">
        <v>4</v>
      </c>
      <c r="I169" s="6">
        <v>0</v>
      </c>
      <c r="J169" s="6">
        <v>77915</v>
      </c>
      <c r="K169" s="6">
        <v>0</v>
      </c>
      <c r="L169" s="6">
        <v>18</v>
      </c>
      <c r="M169" s="6" t="s">
        <v>133</v>
      </c>
      <c r="N169" s="6" t="s">
        <v>40</v>
      </c>
      <c r="O169" s="6">
        <v>2110</v>
      </c>
      <c r="P169" s="7">
        <v>30970</v>
      </c>
      <c r="Q169" s="8">
        <v>40</v>
      </c>
      <c r="R169" s="8" t="s">
        <v>41</v>
      </c>
      <c r="S169" s="6" t="s">
        <v>64</v>
      </c>
      <c r="T169" s="6" t="s">
        <v>55</v>
      </c>
      <c r="U169" s="6" t="s">
        <v>44</v>
      </c>
      <c r="V169" s="6" t="s">
        <v>45</v>
      </c>
      <c r="W169" s="6" t="s">
        <v>46</v>
      </c>
      <c r="X169" s="7">
        <v>41547</v>
      </c>
      <c r="Y169" s="8">
        <f t="shared" ca="1" si="2"/>
        <v>12</v>
      </c>
      <c r="Z169" s="7"/>
      <c r="AA169" s="6" t="s">
        <v>47</v>
      </c>
      <c r="AB169" s="6" t="s">
        <v>48</v>
      </c>
      <c r="AC169" s="6" t="s">
        <v>49</v>
      </c>
      <c r="AD169" s="6" t="s">
        <v>135</v>
      </c>
      <c r="AE169" s="6">
        <v>2</v>
      </c>
      <c r="AF169" s="6" t="s">
        <v>205</v>
      </c>
      <c r="AG169" s="6" t="s">
        <v>52</v>
      </c>
      <c r="AH169" s="6">
        <v>4.0999999999999996</v>
      </c>
      <c r="AI169" s="6">
        <v>3</v>
      </c>
      <c r="AJ169" s="6">
        <v>0</v>
      </c>
      <c r="AK169" s="7">
        <v>43486</v>
      </c>
      <c r="AL169" s="6">
        <v>11</v>
      </c>
    </row>
    <row r="170" spans="1:38" x14ac:dyDescent="0.35">
      <c r="A170" s="6" t="s">
        <v>328</v>
      </c>
      <c r="B170" s="6">
        <v>10186</v>
      </c>
      <c r="C170" s="6">
        <v>1</v>
      </c>
      <c r="D170" s="6">
        <v>1</v>
      </c>
      <c r="E170" s="6">
        <v>0</v>
      </c>
      <c r="F170" s="6">
        <v>5</v>
      </c>
      <c r="G170" s="6">
        <v>5</v>
      </c>
      <c r="H170" s="6">
        <v>3</v>
      </c>
      <c r="I170" s="6">
        <v>0</v>
      </c>
      <c r="J170" s="6">
        <v>52624</v>
      </c>
      <c r="K170" s="6">
        <v>1</v>
      </c>
      <c r="L170" s="6">
        <v>19</v>
      </c>
      <c r="M170" s="6" t="s">
        <v>39</v>
      </c>
      <c r="N170" s="6" t="s">
        <v>40</v>
      </c>
      <c r="O170" s="6">
        <v>1886</v>
      </c>
      <c r="P170" s="7">
        <v>22451</v>
      </c>
      <c r="Q170" s="8">
        <v>64</v>
      </c>
      <c r="R170" s="8" t="s">
        <v>96</v>
      </c>
      <c r="S170" s="6" t="s">
        <v>64</v>
      </c>
      <c r="T170" s="6" t="s">
        <v>55</v>
      </c>
      <c r="U170" s="6" t="s">
        <v>44</v>
      </c>
      <c r="V170" s="6" t="s">
        <v>45</v>
      </c>
      <c r="W170" s="6" t="s">
        <v>46</v>
      </c>
      <c r="X170" s="7">
        <v>40670</v>
      </c>
      <c r="Y170" s="8">
        <f t="shared" ca="1" si="2"/>
        <v>15</v>
      </c>
      <c r="Z170" s="7">
        <v>43369</v>
      </c>
      <c r="AA170" s="6" t="s">
        <v>97</v>
      </c>
      <c r="AB170" s="6" t="s">
        <v>57</v>
      </c>
      <c r="AC170" s="6" t="s">
        <v>49</v>
      </c>
      <c r="AD170" s="6" t="s">
        <v>50</v>
      </c>
      <c r="AE170" s="6">
        <v>22</v>
      </c>
      <c r="AF170" s="6" t="s">
        <v>60</v>
      </c>
      <c r="AG170" s="6" t="s">
        <v>61</v>
      </c>
      <c r="AH170" s="6">
        <v>3.18</v>
      </c>
      <c r="AI170" s="6">
        <v>4</v>
      </c>
      <c r="AJ170" s="6">
        <v>0</v>
      </c>
      <c r="AK170" s="7">
        <v>43134</v>
      </c>
      <c r="AL170" s="6">
        <v>16</v>
      </c>
    </row>
    <row r="171" spans="1:38" x14ac:dyDescent="0.35">
      <c r="A171" s="6" t="s">
        <v>329</v>
      </c>
      <c r="B171" s="6">
        <v>10137</v>
      </c>
      <c r="C171" s="6">
        <v>1</v>
      </c>
      <c r="D171" s="6">
        <v>1</v>
      </c>
      <c r="E171" s="6">
        <v>1</v>
      </c>
      <c r="F171" s="6">
        <v>3</v>
      </c>
      <c r="G171" s="6">
        <v>5</v>
      </c>
      <c r="H171" s="6">
        <v>3</v>
      </c>
      <c r="I171" s="6">
        <v>0</v>
      </c>
      <c r="J171" s="6">
        <v>63450</v>
      </c>
      <c r="K171" s="6">
        <v>0</v>
      </c>
      <c r="L171" s="6">
        <v>20</v>
      </c>
      <c r="M171" s="6" t="s">
        <v>63</v>
      </c>
      <c r="N171" s="6" t="s">
        <v>40</v>
      </c>
      <c r="O171" s="6">
        <v>1770</v>
      </c>
      <c r="P171" s="7">
        <v>25833</v>
      </c>
      <c r="Q171" s="8">
        <v>54</v>
      </c>
      <c r="R171" s="8" t="s">
        <v>41</v>
      </c>
      <c r="S171" s="6" t="s">
        <v>42</v>
      </c>
      <c r="T171" s="6" t="s">
        <v>55</v>
      </c>
      <c r="U171" s="6" t="s">
        <v>44</v>
      </c>
      <c r="V171" s="6" t="s">
        <v>45</v>
      </c>
      <c r="W171" s="6" t="s">
        <v>46</v>
      </c>
      <c r="X171" s="7">
        <v>41493</v>
      </c>
      <c r="Y171" s="8">
        <f t="shared" ca="1" si="2"/>
        <v>12</v>
      </c>
      <c r="Z171" s="7"/>
      <c r="AA171" s="6" t="s">
        <v>47</v>
      </c>
      <c r="AB171" s="6" t="s">
        <v>48</v>
      </c>
      <c r="AC171" s="6" t="s">
        <v>49</v>
      </c>
      <c r="AD171" s="6" t="s">
        <v>103</v>
      </c>
      <c r="AE171" s="6">
        <v>18</v>
      </c>
      <c r="AF171" s="6" t="s">
        <v>51</v>
      </c>
      <c r="AG171" s="6" t="s">
        <v>61</v>
      </c>
      <c r="AH171" s="6">
        <v>4</v>
      </c>
      <c r="AI171" s="6">
        <v>3</v>
      </c>
      <c r="AJ171" s="6">
        <v>0</v>
      </c>
      <c r="AK171" s="7">
        <v>43514</v>
      </c>
      <c r="AL171" s="6">
        <v>7</v>
      </c>
    </row>
    <row r="172" spans="1:38" x14ac:dyDescent="0.35">
      <c r="A172" s="6" t="s">
        <v>330</v>
      </c>
      <c r="B172" s="6">
        <v>10008</v>
      </c>
      <c r="C172" s="6">
        <v>0</v>
      </c>
      <c r="D172" s="6">
        <v>0</v>
      </c>
      <c r="E172" s="6">
        <v>0</v>
      </c>
      <c r="F172" s="6">
        <v>1</v>
      </c>
      <c r="G172" s="6">
        <v>3</v>
      </c>
      <c r="H172" s="6">
        <v>4</v>
      </c>
      <c r="I172" s="6">
        <v>1</v>
      </c>
      <c r="J172" s="6">
        <v>51777</v>
      </c>
      <c r="K172" s="6">
        <v>0</v>
      </c>
      <c r="L172" s="6">
        <v>14</v>
      </c>
      <c r="M172" s="6" t="s">
        <v>89</v>
      </c>
      <c r="N172" s="6" t="s">
        <v>126</v>
      </c>
      <c r="O172" s="6">
        <v>6070</v>
      </c>
      <c r="P172" s="7">
        <v>31047</v>
      </c>
      <c r="Q172" s="8">
        <v>40</v>
      </c>
      <c r="R172" s="8" t="s">
        <v>41</v>
      </c>
      <c r="S172" s="6" t="s">
        <v>64</v>
      </c>
      <c r="T172" s="6" t="s">
        <v>43</v>
      </c>
      <c r="U172" s="6" t="s">
        <v>44</v>
      </c>
      <c r="V172" s="6" t="s">
        <v>92</v>
      </c>
      <c r="W172" s="6" t="s">
        <v>85</v>
      </c>
      <c r="X172" s="7">
        <v>40564</v>
      </c>
      <c r="Y172" s="8">
        <f t="shared" ca="1" si="2"/>
        <v>15</v>
      </c>
      <c r="Z172" s="7"/>
      <c r="AA172" s="6" t="s">
        <v>47</v>
      </c>
      <c r="AB172" s="6" t="s">
        <v>48</v>
      </c>
      <c r="AC172" s="6" t="s">
        <v>58</v>
      </c>
      <c r="AD172" s="6" t="s">
        <v>170</v>
      </c>
      <c r="AE172" s="6">
        <v>6</v>
      </c>
      <c r="AF172" s="6" t="s">
        <v>87</v>
      </c>
      <c r="AG172" s="6" t="s">
        <v>52</v>
      </c>
      <c r="AH172" s="6">
        <v>4.6399999999999997</v>
      </c>
      <c r="AI172" s="6">
        <v>4</v>
      </c>
      <c r="AJ172" s="6">
        <v>5</v>
      </c>
      <c r="AK172" s="7">
        <v>43490</v>
      </c>
      <c r="AL172" s="6">
        <v>14</v>
      </c>
    </row>
    <row r="173" spans="1:38" x14ac:dyDescent="0.35">
      <c r="A173" s="6" t="s">
        <v>331</v>
      </c>
      <c r="B173" s="6">
        <v>10096</v>
      </c>
      <c r="C173" s="6">
        <v>0</v>
      </c>
      <c r="D173" s="6">
        <v>4</v>
      </c>
      <c r="E173" s="6">
        <v>0</v>
      </c>
      <c r="F173" s="6">
        <v>5</v>
      </c>
      <c r="G173" s="6">
        <v>5</v>
      </c>
      <c r="H173" s="6">
        <v>3</v>
      </c>
      <c r="I173" s="6">
        <v>0</v>
      </c>
      <c r="J173" s="6">
        <v>67237</v>
      </c>
      <c r="K173" s="6">
        <v>1</v>
      </c>
      <c r="L173" s="6">
        <v>20</v>
      </c>
      <c r="M173" s="6" t="s">
        <v>63</v>
      </c>
      <c r="N173" s="6" t="s">
        <v>40</v>
      </c>
      <c r="O173" s="6">
        <v>2122</v>
      </c>
      <c r="P173" s="7">
        <v>30154</v>
      </c>
      <c r="Q173" s="8">
        <v>43</v>
      </c>
      <c r="R173" s="8" t="s">
        <v>41</v>
      </c>
      <c r="S173" s="6" t="s">
        <v>64</v>
      </c>
      <c r="T173" s="6" t="s">
        <v>81</v>
      </c>
      <c r="U173" s="6" t="s">
        <v>44</v>
      </c>
      <c r="V173" s="6" t="s">
        <v>45</v>
      </c>
      <c r="W173" s="6" t="s">
        <v>46</v>
      </c>
      <c r="X173" s="7">
        <v>41493</v>
      </c>
      <c r="Y173" s="8">
        <f t="shared" ca="1" si="2"/>
        <v>12</v>
      </c>
      <c r="Z173" s="7">
        <v>42628</v>
      </c>
      <c r="AA173" s="6" t="s">
        <v>197</v>
      </c>
      <c r="AB173" s="6" t="s">
        <v>57</v>
      </c>
      <c r="AC173" s="6" t="s">
        <v>49</v>
      </c>
      <c r="AD173" s="6" t="s">
        <v>50</v>
      </c>
      <c r="AE173" s="6">
        <v>22</v>
      </c>
      <c r="AF173" s="6" t="s">
        <v>51</v>
      </c>
      <c r="AG173" s="6" t="s">
        <v>61</v>
      </c>
      <c r="AH173" s="6">
        <v>4.6500000000000004</v>
      </c>
      <c r="AI173" s="6">
        <v>4</v>
      </c>
      <c r="AJ173" s="6">
        <v>0</v>
      </c>
      <c r="AK173" s="7">
        <v>42649</v>
      </c>
      <c r="AL173" s="6">
        <v>15</v>
      </c>
    </row>
    <row r="174" spans="1:38" x14ac:dyDescent="0.35">
      <c r="A174" s="6" t="s">
        <v>332</v>
      </c>
      <c r="B174" s="6">
        <v>10035</v>
      </c>
      <c r="C174" s="6">
        <v>0</v>
      </c>
      <c r="D174" s="6">
        <v>0</v>
      </c>
      <c r="E174" s="6">
        <v>0</v>
      </c>
      <c r="F174" s="6">
        <v>1</v>
      </c>
      <c r="G174" s="6">
        <v>5</v>
      </c>
      <c r="H174" s="6">
        <v>4</v>
      </c>
      <c r="I174" s="6">
        <v>0</v>
      </c>
      <c r="J174" s="6">
        <v>73330</v>
      </c>
      <c r="K174" s="6">
        <v>0</v>
      </c>
      <c r="L174" s="6">
        <v>20</v>
      </c>
      <c r="M174" s="6" t="s">
        <v>63</v>
      </c>
      <c r="N174" s="6" t="s">
        <v>40</v>
      </c>
      <c r="O174" s="6">
        <v>2324</v>
      </c>
      <c r="P174" s="7">
        <v>31075</v>
      </c>
      <c r="Q174" s="8">
        <v>40</v>
      </c>
      <c r="R174" s="8" t="s">
        <v>41</v>
      </c>
      <c r="S174" s="6" t="s">
        <v>64</v>
      </c>
      <c r="T174" s="6" t="s">
        <v>43</v>
      </c>
      <c r="U174" s="6" t="s">
        <v>44</v>
      </c>
      <c r="V174" s="6" t="s">
        <v>45</v>
      </c>
      <c r="W174" s="6" t="s">
        <v>85</v>
      </c>
      <c r="X174" s="7">
        <v>41505</v>
      </c>
      <c r="Y174" s="8">
        <f t="shared" ca="1" si="2"/>
        <v>12</v>
      </c>
      <c r="Z174" s="7"/>
      <c r="AA174" s="6" t="s">
        <v>47</v>
      </c>
      <c r="AB174" s="6" t="s">
        <v>48</v>
      </c>
      <c r="AC174" s="6" t="s">
        <v>49</v>
      </c>
      <c r="AD174" s="6" t="s">
        <v>68</v>
      </c>
      <c r="AE174" s="6">
        <v>16</v>
      </c>
      <c r="AF174" s="6" t="s">
        <v>60</v>
      </c>
      <c r="AG174" s="6" t="s">
        <v>52</v>
      </c>
      <c r="AH174" s="6">
        <v>4.2</v>
      </c>
      <c r="AI174" s="6">
        <v>4</v>
      </c>
      <c r="AJ174" s="6">
        <v>0</v>
      </c>
      <c r="AK174" s="7">
        <v>43801</v>
      </c>
      <c r="AL174" s="6">
        <v>19</v>
      </c>
    </row>
    <row r="175" spans="1:38" x14ac:dyDescent="0.35">
      <c r="A175" s="6" t="s">
        <v>333</v>
      </c>
      <c r="B175" s="6">
        <v>10057</v>
      </c>
      <c r="C175" s="6">
        <v>1</v>
      </c>
      <c r="D175" s="6">
        <v>1</v>
      </c>
      <c r="E175" s="6">
        <v>0</v>
      </c>
      <c r="F175" s="6">
        <v>3</v>
      </c>
      <c r="G175" s="6">
        <v>5</v>
      </c>
      <c r="H175" s="6">
        <v>3</v>
      </c>
      <c r="I175" s="6">
        <v>0</v>
      </c>
      <c r="J175" s="6">
        <v>52057</v>
      </c>
      <c r="K175" s="6">
        <v>0</v>
      </c>
      <c r="L175" s="6">
        <v>19</v>
      </c>
      <c r="M175" s="6" t="s">
        <v>39</v>
      </c>
      <c r="N175" s="6" t="s">
        <v>40</v>
      </c>
      <c r="O175" s="6">
        <v>2122</v>
      </c>
      <c r="P175" s="7">
        <v>26811</v>
      </c>
      <c r="Q175" s="8">
        <v>52</v>
      </c>
      <c r="R175" s="8" t="s">
        <v>41</v>
      </c>
      <c r="S175" s="6" t="s">
        <v>64</v>
      </c>
      <c r="T175" s="6" t="s">
        <v>55</v>
      </c>
      <c r="U175" s="6" t="s">
        <v>44</v>
      </c>
      <c r="V175" s="6" t="s">
        <v>45</v>
      </c>
      <c r="W175" s="6" t="s">
        <v>85</v>
      </c>
      <c r="X175" s="7">
        <v>42051</v>
      </c>
      <c r="Y175" s="8">
        <f t="shared" ca="1" si="2"/>
        <v>11</v>
      </c>
      <c r="Z175" s="7"/>
      <c r="AA175" s="6" t="s">
        <v>47</v>
      </c>
      <c r="AB175" s="6" t="s">
        <v>48</v>
      </c>
      <c r="AC175" s="6" t="s">
        <v>49</v>
      </c>
      <c r="AD175" s="6" t="s">
        <v>68</v>
      </c>
      <c r="AE175" s="6">
        <v>16</v>
      </c>
      <c r="AF175" s="6" t="s">
        <v>205</v>
      </c>
      <c r="AG175" s="6" t="s">
        <v>61</v>
      </c>
      <c r="AH175" s="6">
        <v>5</v>
      </c>
      <c r="AI175" s="6">
        <v>3</v>
      </c>
      <c r="AJ175" s="6">
        <v>0</v>
      </c>
      <c r="AK175" s="7">
        <v>43488</v>
      </c>
      <c r="AL175" s="6">
        <v>6</v>
      </c>
    </row>
    <row r="176" spans="1:38" x14ac:dyDescent="0.35">
      <c r="A176" s="6" t="s">
        <v>334</v>
      </c>
      <c r="B176" s="6">
        <v>10004</v>
      </c>
      <c r="C176" s="6">
        <v>0</v>
      </c>
      <c r="D176" s="6">
        <v>0</v>
      </c>
      <c r="E176" s="6">
        <v>0</v>
      </c>
      <c r="F176" s="6">
        <v>5</v>
      </c>
      <c r="G176" s="6">
        <v>5</v>
      </c>
      <c r="H176" s="6">
        <v>4</v>
      </c>
      <c r="I176" s="6">
        <v>1</v>
      </c>
      <c r="J176" s="6">
        <v>47434</v>
      </c>
      <c r="K176" s="6">
        <v>1</v>
      </c>
      <c r="L176" s="6">
        <v>19</v>
      </c>
      <c r="M176" s="6" t="s">
        <v>39</v>
      </c>
      <c r="N176" s="6" t="s">
        <v>40</v>
      </c>
      <c r="O176" s="6">
        <v>1844</v>
      </c>
      <c r="P176" s="7">
        <v>26624</v>
      </c>
      <c r="Q176" s="8">
        <v>52</v>
      </c>
      <c r="R176" s="8" t="s">
        <v>41</v>
      </c>
      <c r="S176" s="6" t="s">
        <v>64</v>
      </c>
      <c r="T176" s="6" t="s">
        <v>43</v>
      </c>
      <c r="U176" s="6" t="s">
        <v>44</v>
      </c>
      <c r="V176" s="6" t="s">
        <v>92</v>
      </c>
      <c r="W176" s="6" t="s">
        <v>85</v>
      </c>
      <c r="X176" s="7">
        <v>40735</v>
      </c>
      <c r="Y176" s="8">
        <f t="shared" ca="1" si="2"/>
        <v>15</v>
      </c>
      <c r="Z176" s="7">
        <v>42322</v>
      </c>
      <c r="AA176" s="6" t="s">
        <v>93</v>
      </c>
      <c r="AB176" s="6" t="s">
        <v>57</v>
      </c>
      <c r="AC176" s="6" t="s">
        <v>49</v>
      </c>
      <c r="AD176" s="6" t="s">
        <v>72</v>
      </c>
      <c r="AE176" s="6">
        <v>39</v>
      </c>
      <c r="AF176" s="6" t="s">
        <v>87</v>
      </c>
      <c r="AG176" s="6" t="s">
        <v>52</v>
      </c>
      <c r="AH176" s="6">
        <v>5</v>
      </c>
      <c r="AI176" s="6">
        <v>4</v>
      </c>
      <c r="AJ176" s="6">
        <v>0</v>
      </c>
      <c r="AK176" s="7">
        <v>42037</v>
      </c>
      <c r="AL176" s="6">
        <v>17</v>
      </c>
    </row>
    <row r="177" spans="1:38" x14ac:dyDescent="0.35">
      <c r="A177" s="6" t="s">
        <v>335</v>
      </c>
      <c r="B177" s="6">
        <v>10191</v>
      </c>
      <c r="C177" s="6">
        <v>0</v>
      </c>
      <c r="D177" s="6">
        <v>4</v>
      </c>
      <c r="E177" s="6">
        <v>1</v>
      </c>
      <c r="F177" s="6">
        <v>5</v>
      </c>
      <c r="G177" s="6">
        <v>5</v>
      </c>
      <c r="H177" s="6">
        <v>3</v>
      </c>
      <c r="I177" s="6">
        <v>0</v>
      </c>
      <c r="J177" s="6">
        <v>52788</v>
      </c>
      <c r="K177" s="6">
        <v>1</v>
      </c>
      <c r="L177" s="6">
        <v>19</v>
      </c>
      <c r="M177" s="6" t="s">
        <v>39</v>
      </c>
      <c r="N177" s="6" t="s">
        <v>40</v>
      </c>
      <c r="O177" s="6">
        <v>1938</v>
      </c>
      <c r="P177" s="7">
        <v>31854</v>
      </c>
      <c r="Q177" s="8">
        <v>38</v>
      </c>
      <c r="R177" s="8" t="s">
        <v>41</v>
      </c>
      <c r="S177" s="6" t="s">
        <v>42</v>
      </c>
      <c r="T177" s="6" t="s">
        <v>81</v>
      </c>
      <c r="U177" s="6" t="s">
        <v>44</v>
      </c>
      <c r="V177" s="6" t="s">
        <v>45</v>
      </c>
      <c r="W177" s="6" t="s">
        <v>46</v>
      </c>
      <c r="X177" s="7">
        <v>41176</v>
      </c>
      <c r="Y177" s="8">
        <f t="shared" ca="1" si="2"/>
        <v>13</v>
      </c>
      <c r="Z177" s="7">
        <v>43004</v>
      </c>
      <c r="AA177" s="6" t="s">
        <v>65</v>
      </c>
      <c r="AB177" s="6" t="s">
        <v>57</v>
      </c>
      <c r="AC177" s="6" t="s">
        <v>49</v>
      </c>
      <c r="AD177" s="6" t="s">
        <v>75</v>
      </c>
      <c r="AE177" s="6">
        <v>11</v>
      </c>
      <c r="AF177" s="6" t="s">
        <v>60</v>
      </c>
      <c r="AG177" s="6" t="s">
        <v>61</v>
      </c>
      <c r="AH177" s="6">
        <v>3.08</v>
      </c>
      <c r="AI177" s="6">
        <v>4</v>
      </c>
      <c r="AJ177" s="6">
        <v>0</v>
      </c>
      <c r="AK177" s="7">
        <v>42739</v>
      </c>
      <c r="AL177" s="6">
        <v>18</v>
      </c>
    </row>
    <row r="178" spans="1:38" x14ac:dyDescent="0.35">
      <c r="A178" s="6" t="s">
        <v>336</v>
      </c>
      <c r="B178" s="6">
        <v>10219</v>
      </c>
      <c r="C178" s="6">
        <v>0</v>
      </c>
      <c r="D178" s="6">
        <v>0</v>
      </c>
      <c r="E178" s="6">
        <v>0</v>
      </c>
      <c r="F178" s="6">
        <v>1</v>
      </c>
      <c r="G178" s="6">
        <v>5</v>
      </c>
      <c r="H178" s="6">
        <v>3</v>
      </c>
      <c r="I178" s="6">
        <v>0</v>
      </c>
      <c r="J178" s="6">
        <v>45395</v>
      </c>
      <c r="K178" s="6">
        <v>0</v>
      </c>
      <c r="L178" s="6">
        <v>19</v>
      </c>
      <c r="M178" s="6" t="s">
        <v>39</v>
      </c>
      <c r="N178" s="6" t="s">
        <v>40</v>
      </c>
      <c r="O178" s="6">
        <v>2189</v>
      </c>
      <c r="P178" s="7">
        <v>31620</v>
      </c>
      <c r="Q178" s="8">
        <v>38</v>
      </c>
      <c r="R178" s="8" t="s">
        <v>41</v>
      </c>
      <c r="S178" s="6" t="s">
        <v>64</v>
      </c>
      <c r="T178" s="6" t="s">
        <v>43</v>
      </c>
      <c r="U178" s="6" t="s">
        <v>44</v>
      </c>
      <c r="V178" s="6" t="s">
        <v>45</v>
      </c>
      <c r="W178" s="6" t="s">
        <v>46</v>
      </c>
      <c r="X178" s="7">
        <v>41791</v>
      </c>
      <c r="Y178" s="8">
        <f t="shared" ca="1" si="2"/>
        <v>12</v>
      </c>
      <c r="Z178" s="7"/>
      <c r="AA178" s="6" t="s">
        <v>47</v>
      </c>
      <c r="AB178" s="6" t="s">
        <v>48</v>
      </c>
      <c r="AC178" s="6" t="s">
        <v>49</v>
      </c>
      <c r="AD178" s="6" t="s">
        <v>82</v>
      </c>
      <c r="AE178" s="6">
        <v>19</v>
      </c>
      <c r="AF178" s="6" t="s">
        <v>51</v>
      </c>
      <c r="AG178" s="6" t="s">
        <v>61</v>
      </c>
      <c r="AH178" s="6">
        <v>4.5999999999999996</v>
      </c>
      <c r="AI178" s="6">
        <v>4</v>
      </c>
      <c r="AJ178" s="6">
        <v>0</v>
      </c>
      <c r="AK178" s="7">
        <v>43522</v>
      </c>
      <c r="AL178" s="6">
        <v>14</v>
      </c>
    </row>
    <row r="179" spans="1:38" x14ac:dyDescent="0.35">
      <c r="A179" s="6" t="s">
        <v>337</v>
      </c>
      <c r="B179" s="6">
        <v>10077</v>
      </c>
      <c r="C179" s="6">
        <v>1</v>
      </c>
      <c r="D179" s="6">
        <v>1</v>
      </c>
      <c r="E179" s="6">
        <v>0</v>
      </c>
      <c r="F179" s="6">
        <v>2</v>
      </c>
      <c r="G179" s="6">
        <v>5</v>
      </c>
      <c r="H179" s="6">
        <v>3</v>
      </c>
      <c r="I179" s="6">
        <v>0</v>
      </c>
      <c r="J179" s="6">
        <v>62385</v>
      </c>
      <c r="K179" s="6">
        <v>0</v>
      </c>
      <c r="L179" s="6">
        <v>20</v>
      </c>
      <c r="M179" s="6" t="s">
        <v>63</v>
      </c>
      <c r="N179" s="6" t="s">
        <v>40</v>
      </c>
      <c r="O179" s="6">
        <v>2324</v>
      </c>
      <c r="P179" s="7">
        <v>27384</v>
      </c>
      <c r="Q179" s="8">
        <v>50</v>
      </c>
      <c r="R179" s="8" t="s">
        <v>41</v>
      </c>
      <c r="S179" s="6" t="s">
        <v>64</v>
      </c>
      <c r="T179" s="6" t="s">
        <v>55</v>
      </c>
      <c r="U179" s="6" t="s">
        <v>44</v>
      </c>
      <c r="V179" s="6" t="s">
        <v>45</v>
      </c>
      <c r="W179" s="6" t="s">
        <v>46</v>
      </c>
      <c r="X179" s="7">
        <v>42679</v>
      </c>
      <c r="Y179" s="8">
        <f t="shared" ca="1" si="2"/>
        <v>9</v>
      </c>
      <c r="Z179" s="7"/>
      <c r="AA179" s="6" t="s">
        <v>47</v>
      </c>
      <c r="AB179" s="6" t="s">
        <v>48</v>
      </c>
      <c r="AC179" s="6" t="s">
        <v>49</v>
      </c>
      <c r="AD179" s="6" t="s">
        <v>72</v>
      </c>
      <c r="AE179" s="6"/>
      <c r="AF179" s="6" t="s">
        <v>51</v>
      </c>
      <c r="AG179" s="6" t="s">
        <v>61</v>
      </c>
      <c r="AH179" s="6">
        <v>5</v>
      </c>
      <c r="AI179" s="6">
        <v>3</v>
      </c>
      <c r="AJ179" s="6">
        <v>0</v>
      </c>
      <c r="AK179" s="7">
        <v>43486</v>
      </c>
      <c r="AL179" s="6">
        <v>4</v>
      </c>
    </row>
    <row r="180" spans="1:38" x14ac:dyDescent="0.35">
      <c r="A180" s="6" t="s">
        <v>338</v>
      </c>
      <c r="B180" s="6">
        <v>10073</v>
      </c>
      <c r="C180" s="6">
        <v>1</v>
      </c>
      <c r="D180" s="6">
        <v>1</v>
      </c>
      <c r="E180" s="6">
        <v>0</v>
      </c>
      <c r="F180" s="6">
        <v>5</v>
      </c>
      <c r="G180" s="6">
        <v>5</v>
      </c>
      <c r="H180" s="6">
        <v>3</v>
      </c>
      <c r="I180" s="6">
        <v>0</v>
      </c>
      <c r="J180" s="6">
        <v>68407</v>
      </c>
      <c r="K180" s="6">
        <v>1</v>
      </c>
      <c r="L180" s="6">
        <v>20</v>
      </c>
      <c r="M180" s="6" t="s">
        <v>63</v>
      </c>
      <c r="N180" s="6" t="s">
        <v>40</v>
      </c>
      <c r="O180" s="6">
        <v>2176</v>
      </c>
      <c r="P180" s="7">
        <v>31528</v>
      </c>
      <c r="Q180" s="8">
        <v>39</v>
      </c>
      <c r="R180" s="8" t="s">
        <v>41</v>
      </c>
      <c r="S180" s="6" t="s">
        <v>64</v>
      </c>
      <c r="T180" s="6" t="s">
        <v>55</v>
      </c>
      <c r="U180" s="6" t="s">
        <v>44</v>
      </c>
      <c r="V180" s="6" t="s">
        <v>45</v>
      </c>
      <c r="W180" s="6" t="s">
        <v>102</v>
      </c>
      <c r="X180" s="7">
        <v>40670</v>
      </c>
      <c r="Y180" s="8">
        <f t="shared" ca="1" si="2"/>
        <v>15</v>
      </c>
      <c r="Z180" s="7">
        <v>41140</v>
      </c>
      <c r="AA180" s="6" t="s">
        <v>93</v>
      </c>
      <c r="AB180" s="6" t="s">
        <v>57</v>
      </c>
      <c r="AC180" s="6" t="s">
        <v>49</v>
      </c>
      <c r="AD180" s="6" t="s">
        <v>75</v>
      </c>
      <c r="AE180" s="6">
        <v>11</v>
      </c>
      <c r="AF180" s="6" t="s">
        <v>51</v>
      </c>
      <c r="AG180" s="6" t="s">
        <v>61</v>
      </c>
      <c r="AH180" s="6">
        <v>5</v>
      </c>
      <c r="AI180" s="6">
        <v>4</v>
      </c>
      <c r="AJ180" s="6">
        <v>0</v>
      </c>
      <c r="AK180" s="7">
        <v>40946</v>
      </c>
      <c r="AL180" s="6">
        <v>16</v>
      </c>
    </row>
    <row r="181" spans="1:38" x14ac:dyDescent="0.35">
      <c r="A181" s="6" t="s">
        <v>339</v>
      </c>
      <c r="B181" s="6">
        <v>10279</v>
      </c>
      <c r="C181" s="6">
        <v>1</v>
      </c>
      <c r="D181" s="6">
        <v>1</v>
      </c>
      <c r="E181" s="6">
        <v>0</v>
      </c>
      <c r="F181" s="6">
        <v>1</v>
      </c>
      <c r="G181" s="6">
        <v>5</v>
      </c>
      <c r="H181" s="6">
        <v>3</v>
      </c>
      <c r="I181" s="6">
        <v>0</v>
      </c>
      <c r="J181" s="6">
        <v>61349</v>
      </c>
      <c r="K181" s="6">
        <v>0</v>
      </c>
      <c r="L181" s="6">
        <v>19</v>
      </c>
      <c r="M181" s="6" t="s">
        <v>39</v>
      </c>
      <c r="N181" s="6" t="s">
        <v>40</v>
      </c>
      <c r="O181" s="6">
        <v>2451</v>
      </c>
      <c r="P181" s="7">
        <v>32128</v>
      </c>
      <c r="Q181" s="8">
        <v>37</v>
      </c>
      <c r="R181" s="8" t="s">
        <v>41</v>
      </c>
      <c r="S181" s="6" t="s">
        <v>64</v>
      </c>
      <c r="T181" s="6" t="s">
        <v>55</v>
      </c>
      <c r="U181" s="6" t="s">
        <v>44</v>
      </c>
      <c r="V181" s="6" t="s">
        <v>45</v>
      </c>
      <c r="W181" s="6" t="s">
        <v>46</v>
      </c>
      <c r="X181" s="7">
        <v>41589</v>
      </c>
      <c r="Y181" s="8">
        <f t="shared" ca="1" si="2"/>
        <v>12</v>
      </c>
      <c r="Z181" s="7"/>
      <c r="AA181" s="6" t="s">
        <v>47</v>
      </c>
      <c r="AB181" s="6" t="s">
        <v>48</v>
      </c>
      <c r="AC181" s="6" t="s">
        <v>49</v>
      </c>
      <c r="AD181" s="6" t="s">
        <v>86</v>
      </c>
      <c r="AE181" s="6">
        <v>12</v>
      </c>
      <c r="AF181" s="6" t="s">
        <v>51</v>
      </c>
      <c r="AG181" s="6" t="s">
        <v>61</v>
      </c>
      <c r="AH181" s="6">
        <v>4.0999999999999996</v>
      </c>
      <c r="AI181" s="6">
        <v>3</v>
      </c>
      <c r="AJ181" s="6">
        <v>0</v>
      </c>
      <c r="AK181" s="7">
        <v>43487</v>
      </c>
      <c r="AL181" s="6">
        <v>11</v>
      </c>
    </row>
    <row r="182" spans="1:38" x14ac:dyDescent="0.35">
      <c r="A182" s="6" t="s">
        <v>340</v>
      </c>
      <c r="B182" s="6">
        <v>10110</v>
      </c>
      <c r="C182" s="6">
        <v>0</v>
      </c>
      <c r="D182" s="6">
        <v>0</v>
      </c>
      <c r="E182" s="6">
        <v>0</v>
      </c>
      <c r="F182" s="6">
        <v>1</v>
      </c>
      <c r="G182" s="6">
        <v>4</v>
      </c>
      <c r="H182" s="6">
        <v>3</v>
      </c>
      <c r="I182" s="6">
        <v>0</v>
      </c>
      <c r="J182" s="6">
        <v>105688</v>
      </c>
      <c r="K182" s="6">
        <v>0</v>
      </c>
      <c r="L182" s="6">
        <v>24</v>
      </c>
      <c r="M182" s="6" t="s">
        <v>77</v>
      </c>
      <c r="N182" s="6" t="s">
        <v>40</v>
      </c>
      <c r="O182" s="6">
        <v>2135</v>
      </c>
      <c r="P182" s="7">
        <v>29690</v>
      </c>
      <c r="Q182" s="8">
        <v>44</v>
      </c>
      <c r="R182" s="8" t="s">
        <v>41</v>
      </c>
      <c r="S182" s="6" t="s">
        <v>64</v>
      </c>
      <c r="T182" s="6" t="s">
        <v>43</v>
      </c>
      <c r="U182" s="6" t="s">
        <v>44</v>
      </c>
      <c r="V182" s="6" t="s">
        <v>45</v>
      </c>
      <c r="W182" s="6" t="s">
        <v>116</v>
      </c>
      <c r="X182" s="7">
        <v>41589</v>
      </c>
      <c r="Y182" s="8">
        <f t="shared" ca="1" si="2"/>
        <v>12</v>
      </c>
      <c r="Z182" s="7"/>
      <c r="AA182" s="6" t="s">
        <v>47</v>
      </c>
      <c r="AB182" s="6" t="s">
        <v>48</v>
      </c>
      <c r="AC182" s="6" t="s">
        <v>78</v>
      </c>
      <c r="AD182" s="6" t="s">
        <v>79</v>
      </c>
      <c r="AE182" s="6">
        <v>10</v>
      </c>
      <c r="AF182" s="6" t="s">
        <v>73</v>
      </c>
      <c r="AG182" s="6" t="s">
        <v>61</v>
      </c>
      <c r="AH182" s="6">
        <v>4.5</v>
      </c>
      <c r="AI182" s="6">
        <v>5</v>
      </c>
      <c r="AJ182" s="6">
        <v>4</v>
      </c>
      <c r="AK182" s="7">
        <v>43479</v>
      </c>
      <c r="AL182" s="6">
        <v>14</v>
      </c>
    </row>
    <row r="183" spans="1:38" x14ac:dyDescent="0.35">
      <c r="A183" s="6" t="s">
        <v>341</v>
      </c>
      <c r="B183" s="6">
        <v>10053</v>
      </c>
      <c r="C183" s="6">
        <v>1</v>
      </c>
      <c r="D183" s="6">
        <v>1</v>
      </c>
      <c r="E183" s="6">
        <v>0</v>
      </c>
      <c r="F183" s="6">
        <v>1</v>
      </c>
      <c r="G183" s="6">
        <v>5</v>
      </c>
      <c r="H183" s="6">
        <v>3</v>
      </c>
      <c r="I183" s="6">
        <v>0</v>
      </c>
      <c r="J183" s="6">
        <v>54132</v>
      </c>
      <c r="K183" s="6">
        <v>0</v>
      </c>
      <c r="L183" s="6">
        <v>19</v>
      </c>
      <c r="M183" s="6" t="s">
        <v>39</v>
      </c>
      <c r="N183" s="6" t="s">
        <v>40</v>
      </c>
      <c r="O183" s="6">
        <v>2330</v>
      </c>
      <c r="P183" s="7">
        <v>31283</v>
      </c>
      <c r="Q183" s="8">
        <v>39</v>
      </c>
      <c r="R183" s="8" t="s">
        <v>41</v>
      </c>
      <c r="S183" s="6" t="s">
        <v>64</v>
      </c>
      <c r="T183" s="6" t="s">
        <v>55</v>
      </c>
      <c r="U183" s="6" t="s">
        <v>44</v>
      </c>
      <c r="V183" s="6" t="s">
        <v>45</v>
      </c>
      <c r="W183" s="6" t="s">
        <v>46</v>
      </c>
      <c r="X183" s="7">
        <v>40694</v>
      </c>
      <c r="Y183" s="8">
        <f t="shared" ca="1" si="2"/>
        <v>15</v>
      </c>
      <c r="Z183" s="7"/>
      <c r="AA183" s="6" t="s">
        <v>47</v>
      </c>
      <c r="AB183" s="6" t="s">
        <v>48</v>
      </c>
      <c r="AC183" s="6" t="s">
        <v>49</v>
      </c>
      <c r="AD183" s="6" t="s">
        <v>94</v>
      </c>
      <c r="AE183" s="6">
        <v>14</v>
      </c>
      <c r="AF183" s="6" t="s">
        <v>60</v>
      </c>
      <c r="AG183" s="6" t="s">
        <v>61</v>
      </c>
      <c r="AH183" s="6">
        <v>5</v>
      </c>
      <c r="AI183" s="6">
        <v>4</v>
      </c>
      <c r="AJ183" s="6">
        <v>0</v>
      </c>
      <c r="AK183" s="7">
        <v>43739</v>
      </c>
      <c r="AL183" s="6">
        <v>8</v>
      </c>
    </row>
    <row r="184" spans="1:38" x14ac:dyDescent="0.35">
      <c r="A184" s="6" t="s">
        <v>342</v>
      </c>
      <c r="B184" s="6">
        <v>10076</v>
      </c>
      <c r="C184" s="6">
        <v>0</v>
      </c>
      <c r="D184" s="6">
        <v>0</v>
      </c>
      <c r="E184" s="6">
        <v>0</v>
      </c>
      <c r="F184" s="6">
        <v>1</v>
      </c>
      <c r="G184" s="6">
        <v>5</v>
      </c>
      <c r="H184" s="6">
        <v>3</v>
      </c>
      <c r="I184" s="6">
        <v>0</v>
      </c>
      <c r="J184" s="6">
        <v>55315</v>
      </c>
      <c r="K184" s="6">
        <v>0</v>
      </c>
      <c r="L184" s="6">
        <v>20</v>
      </c>
      <c r="M184" s="6" t="s">
        <v>63</v>
      </c>
      <c r="N184" s="6" t="s">
        <v>40</v>
      </c>
      <c r="O184" s="6">
        <v>2149</v>
      </c>
      <c r="P184" s="7">
        <v>32282</v>
      </c>
      <c r="Q184" s="8">
        <v>37</v>
      </c>
      <c r="R184" s="8" t="s">
        <v>41</v>
      </c>
      <c r="S184" s="6" t="s">
        <v>64</v>
      </c>
      <c r="T184" s="6" t="s">
        <v>43</v>
      </c>
      <c r="U184" s="6" t="s">
        <v>44</v>
      </c>
      <c r="V184" s="6" t="s">
        <v>45</v>
      </c>
      <c r="W184" s="6" t="s">
        <v>85</v>
      </c>
      <c r="X184" s="7">
        <v>42093</v>
      </c>
      <c r="Y184" s="8">
        <f t="shared" ca="1" si="2"/>
        <v>11</v>
      </c>
      <c r="Z184" s="7"/>
      <c r="AA184" s="6" t="s">
        <v>47</v>
      </c>
      <c r="AB184" s="6" t="s">
        <v>48</v>
      </c>
      <c r="AC184" s="6" t="s">
        <v>49</v>
      </c>
      <c r="AD184" s="6" t="s">
        <v>82</v>
      </c>
      <c r="AE184" s="6">
        <v>19</v>
      </c>
      <c r="AF184" s="6" t="s">
        <v>51</v>
      </c>
      <c r="AG184" s="6" t="s">
        <v>61</v>
      </c>
      <c r="AH184" s="6">
        <v>5</v>
      </c>
      <c r="AI184" s="6">
        <v>5</v>
      </c>
      <c r="AJ184" s="6">
        <v>0</v>
      </c>
      <c r="AK184" s="7">
        <v>43648</v>
      </c>
      <c r="AL184" s="6">
        <v>16</v>
      </c>
    </row>
    <row r="185" spans="1:38" x14ac:dyDescent="0.35">
      <c r="A185" s="6" t="s">
        <v>343</v>
      </c>
      <c r="B185" s="6">
        <v>10145</v>
      </c>
      <c r="C185" s="6">
        <v>1</v>
      </c>
      <c r="D185" s="6">
        <v>1</v>
      </c>
      <c r="E185" s="6">
        <v>0</v>
      </c>
      <c r="F185" s="6">
        <v>1</v>
      </c>
      <c r="G185" s="6">
        <v>5</v>
      </c>
      <c r="H185" s="6">
        <v>3</v>
      </c>
      <c r="I185" s="6">
        <v>0</v>
      </c>
      <c r="J185" s="6">
        <v>62810</v>
      </c>
      <c r="K185" s="6">
        <v>0</v>
      </c>
      <c r="L185" s="6">
        <v>19</v>
      </c>
      <c r="M185" s="6" t="s">
        <v>39</v>
      </c>
      <c r="N185" s="6" t="s">
        <v>40</v>
      </c>
      <c r="O185" s="6">
        <v>2184</v>
      </c>
      <c r="P185" s="7">
        <v>32106</v>
      </c>
      <c r="Q185" s="8">
        <v>37</v>
      </c>
      <c r="R185" s="8" t="s">
        <v>41</v>
      </c>
      <c r="S185" s="6" t="s">
        <v>64</v>
      </c>
      <c r="T185" s="6" t="s">
        <v>55</v>
      </c>
      <c r="U185" s="6" t="s">
        <v>44</v>
      </c>
      <c r="V185" s="6" t="s">
        <v>45</v>
      </c>
      <c r="W185" s="6" t="s">
        <v>85</v>
      </c>
      <c r="X185" s="7">
        <v>41456</v>
      </c>
      <c r="Y185" s="8">
        <f t="shared" ca="1" si="2"/>
        <v>13</v>
      </c>
      <c r="Z185" s="7"/>
      <c r="AA185" s="6" t="s">
        <v>47</v>
      </c>
      <c r="AB185" s="6" t="s">
        <v>48</v>
      </c>
      <c r="AC185" s="6" t="s">
        <v>49</v>
      </c>
      <c r="AD185" s="6" t="s">
        <v>66</v>
      </c>
      <c r="AE185" s="6">
        <v>20</v>
      </c>
      <c r="AF185" s="6" t="s">
        <v>121</v>
      </c>
      <c r="AG185" s="6" t="s">
        <v>61</v>
      </c>
      <c r="AH185" s="6">
        <v>3.93</v>
      </c>
      <c r="AI185" s="6">
        <v>3</v>
      </c>
      <c r="AJ185" s="6">
        <v>0</v>
      </c>
      <c r="AK185" s="7">
        <v>43495</v>
      </c>
      <c r="AL185" s="6">
        <v>20</v>
      </c>
    </row>
    <row r="186" spans="1:38" x14ac:dyDescent="0.35">
      <c r="A186" s="6" t="s">
        <v>344</v>
      </c>
      <c r="B186" s="6">
        <v>10202</v>
      </c>
      <c r="C186" s="6">
        <v>1</v>
      </c>
      <c r="D186" s="6">
        <v>1</v>
      </c>
      <c r="E186" s="6">
        <v>1</v>
      </c>
      <c r="F186" s="6">
        <v>2</v>
      </c>
      <c r="G186" s="6">
        <v>6</v>
      </c>
      <c r="H186" s="6">
        <v>3</v>
      </c>
      <c r="I186" s="6">
        <v>0</v>
      </c>
      <c r="J186" s="6">
        <v>63291</v>
      </c>
      <c r="K186" s="6">
        <v>0</v>
      </c>
      <c r="L186" s="6">
        <v>3</v>
      </c>
      <c r="M186" s="6" t="s">
        <v>143</v>
      </c>
      <c r="N186" s="6" t="s">
        <v>100</v>
      </c>
      <c r="O186" s="6">
        <v>78789</v>
      </c>
      <c r="P186" s="7">
        <v>23314</v>
      </c>
      <c r="Q186" s="8">
        <v>61</v>
      </c>
      <c r="R186" s="8" t="s">
        <v>96</v>
      </c>
      <c r="S186" s="6" t="s">
        <v>42</v>
      </c>
      <c r="T186" s="6" t="s">
        <v>55</v>
      </c>
      <c r="U186" s="6" t="s">
        <v>44</v>
      </c>
      <c r="V186" s="6" t="s">
        <v>45</v>
      </c>
      <c r="W186" s="6" t="s">
        <v>102</v>
      </c>
      <c r="X186" s="7">
        <v>42528</v>
      </c>
      <c r="Y186" s="8">
        <f t="shared" ca="1" si="2"/>
        <v>10</v>
      </c>
      <c r="Z186" s="7"/>
      <c r="AA186" s="6" t="s">
        <v>47</v>
      </c>
      <c r="AB186" s="6" t="s">
        <v>48</v>
      </c>
      <c r="AC186" s="6" t="s">
        <v>145</v>
      </c>
      <c r="AD186" s="6" t="s">
        <v>164</v>
      </c>
      <c r="AE186" s="6">
        <v>21</v>
      </c>
      <c r="AF186" s="6" t="s">
        <v>205</v>
      </c>
      <c r="AG186" s="6" t="s">
        <v>61</v>
      </c>
      <c r="AH186" s="6">
        <v>3.4</v>
      </c>
      <c r="AI186" s="6">
        <v>4</v>
      </c>
      <c r="AJ186" s="6">
        <v>0</v>
      </c>
      <c r="AK186" s="7">
        <v>43494</v>
      </c>
      <c r="AL186" s="6">
        <v>7</v>
      </c>
    </row>
    <row r="187" spans="1:38" x14ac:dyDescent="0.35">
      <c r="A187" s="6" t="s">
        <v>345</v>
      </c>
      <c r="B187" s="6">
        <v>10128</v>
      </c>
      <c r="C187" s="6">
        <v>0</v>
      </c>
      <c r="D187" s="6">
        <v>0</v>
      </c>
      <c r="E187" s="6">
        <v>0</v>
      </c>
      <c r="F187" s="6">
        <v>5</v>
      </c>
      <c r="G187" s="6">
        <v>5</v>
      </c>
      <c r="H187" s="6">
        <v>3</v>
      </c>
      <c r="I187" s="6">
        <v>1</v>
      </c>
      <c r="J187" s="6">
        <v>62659</v>
      </c>
      <c r="K187" s="6">
        <v>1</v>
      </c>
      <c r="L187" s="6">
        <v>19</v>
      </c>
      <c r="M187" s="6" t="s">
        <v>39</v>
      </c>
      <c r="N187" s="6" t="s">
        <v>40</v>
      </c>
      <c r="O187" s="6">
        <v>1760</v>
      </c>
      <c r="P187" s="7">
        <v>30910</v>
      </c>
      <c r="Q187" s="8">
        <v>40</v>
      </c>
      <c r="R187" s="8" t="s">
        <v>41</v>
      </c>
      <c r="S187" s="6" t="s">
        <v>64</v>
      </c>
      <c r="T187" s="6" t="s">
        <v>43</v>
      </c>
      <c r="U187" s="6" t="s">
        <v>44</v>
      </c>
      <c r="V187" s="6" t="s">
        <v>45</v>
      </c>
      <c r="W187" s="6" t="s">
        <v>85</v>
      </c>
      <c r="X187" s="7">
        <v>40943</v>
      </c>
      <c r="Y187" s="8">
        <f t="shared" ca="1" si="2"/>
        <v>14</v>
      </c>
      <c r="Z187" s="7">
        <v>42685</v>
      </c>
      <c r="AA187" s="6" t="s">
        <v>93</v>
      </c>
      <c r="AB187" s="6" t="s">
        <v>57</v>
      </c>
      <c r="AC187" s="6" t="s">
        <v>49</v>
      </c>
      <c r="AD187" s="6" t="s">
        <v>103</v>
      </c>
      <c r="AE187" s="6">
        <v>18</v>
      </c>
      <c r="AF187" s="6" t="s">
        <v>87</v>
      </c>
      <c r="AG187" s="6" t="s">
        <v>61</v>
      </c>
      <c r="AH187" s="6">
        <v>4.18</v>
      </c>
      <c r="AI187" s="6">
        <v>4</v>
      </c>
      <c r="AJ187" s="6">
        <v>0</v>
      </c>
      <c r="AK187" s="7">
        <v>42492</v>
      </c>
      <c r="AL187" s="6">
        <v>17</v>
      </c>
    </row>
    <row r="188" spans="1:38" x14ac:dyDescent="0.35">
      <c r="A188" s="6" t="s">
        <v>346</v>
      </c>
      <c r="B188" s="6">
        <v>10068</v>
      </c>
      <c r="C188" s="6">
        <v>0</v>
      </c>
      <c r="D188" s="6">
        <v>0</v>
      </c>
      <c r="E188" s="6">
        <v>0</v>
      </c>
      <c r="F188" s="6">
        <v>1</v>
      </c>
      <c r="G188" s="6">
        <v>5</v>
      </c>
      <c r="H188" s="6">
        <v>3</v>
      </c>
      <c r="I188" s="6">
        <v>0</v>
      </c>
      <c r="J188" s="6">
        <v>55688</v>
      </c>
      <c r="K188" s="6">
        <v>0</v>
      </c>
      <c r="L188" s="6">
        <v>19</v>
      </c>
      <c r="M188" s="6" t="s">
        <v>39</v>
      </c>
      <c r="N188" s="6" t="s">
        <v>40</v>
      </c>
      <c r="O188" s="6">
        <v>2346</v>
      </c>
      <c r="P188" s="7">
        <v>31942</v>
      </c>
      <c r="Q188" s="8">
        <v>38</v>
      </c>
      <c r="R188" s="8" t="s">
        <v>41</v>
      </c>
      <c r="S188" s="6" t="s">
        <v>64</v>
      </c>
      <c r="T188" s="6" t="s">
        <v>43</v>
      </c>
      <c r="U188" s="6" t="s">
        <v>44</v>
      </c>
      <c r="V188" s="6" t="s">
        <v>45</v>
      </c>
      <c r="W188" s="6" t="s">
        <v>46</v>
      </c>
      <c r="X188" s="7">
        <v>42093</v>
      </c>
      <c r="Y188" s="8">
        <f t="shared" ca="1" si="2"/>
        <v>11</v>
      </c>
      <c r="Z188" s="7"/>
      <c r="AA188" s="6" t="s">
        <v>47</v>
      </c>
      <c r="AB188" s="6" t="s">
        <v>48</v>
      </c>
      <c r="AC188" s="6" t="s">
        <v>49</v>
      </c>
      <c r="AD188" s="6" t="s">
        <v>50</v>
      </c>
      <c r="AE188" s="6">
        <v>22</v>
      </c>
      <c r="AF188" s="6" t="s">
        <v>121</v>
      </c>
      <c r="AG188" s="6" t="s">
        <v>61</v>
      </c>
      <c r="AH188" s="6">
        <v>5</v>
      </c>
      <c r="AI188" s="6">
        <v>4</v>
      </c>
      <c r="AJ188" s="6">
        <v>0</v>
      </c>
      <c r="AK188" s="7">
        <v>43486</v>
      </c>
      <c r="AL188" s="6">
        <v>10</v>
      </c>
    </row>
    <row r="189" spans="1:38" x14ac:dyDescent="0.35">
      <c r="A189" s="6" t="s">
        <v>347</v>
      </c>
      <c r="B189" s="6">
        <v>10116</v>
      </c>
      <c r="C189" s="6">
        <v>0</v>
      </c>
      <c r="D189" s="6">
        <v>0</v>
      </c>
      <c r="E189" s="6">
        <v>1</v>
      </c>
      <c r="F189" s="6">
        <v>1</v>
      </c>
      <c r="G189" s="6">
        <v>5</v>
      </c>
      <c r="H189" s="6">
        <v>3</v>
      </c>
      <c r="I189" s="6">
        <v>0</v>
      </c>
      <c r="J189" s="6">
        <v>83667</v>
      </c>
      <c r="K189" s="6">
        <v>0</v>
      </c>
      <c r="L189" s="6">
        <v>18</v>
      </c>
      <c r="M189" s="6" t="s">
        <v>133</v>
      </c>
      <c r="N189" s="6" t="s">
        <v>40</v>
      </c>
      <c r="O189" s="6">
        <v>2045</v>
      </c>
      <c r="P189" s="7">
        <v>25039</v>
      </c>
      <c r="Q189" s="8">
        <v>57</v>
      </c>
      <c r="R189" s="8" t="s">
        <v>41</v>
      </c>
      <c r="S189" s="6" t="s">
        <v>42</v>
      </c>
      <c r="T189" s="6" t="s">
        <v>43</v>
      </c>
      <c r="U189" s="6" t="s">
        <v>44</v>
      </c>
      <c r="V189" s="6" t="s">
        <v>348</v>
      </c>
      <c r="W189" s="6" t="s">
        <v>349</v>
      </c>
      <c r="X189" s="7">
        <v>41137</v>
      </c>
      <c r="Y189" s="8">
        <f t="shared" ca="1" si="2"/>
        <v>13</v>
      </c>
      <c r="Z189" s="7"/>
      <c r="AA189" s="6" t="s">
        <v>47</v>
      </c>
      <c r="AB189" s="6" t="s">
        <v>48</v>
      </c>
      <c r="AC189" s="6" t="s">
        <v>49</v>
      </c>
      <c r="AD189" s="6" t="s">
        <v>135</v>
      </c>
      <c r="AE189" s="6">
        <v>2</v>
      </c>
      <c r="AF189" s="6" t="s">
        <v>60</v>
      </c>
      <c r="AG189" s="6" t="s">
        <v>61</v>
      </c>
      <c r="AH189" s="6">
        <v>4.37</v>
      </c>
      <c r="AI189" s="6">
        <v>3</v>
      </c>
      <c r="AJ189" s="6">
        <v>0</v>
      </c>
      <c r="AK189" s="7">
        <v>43479</v>
      </c>
      <c r="AL189" s="6">
        <v>2</v>
      </c>
    </row>
    <row r="190" spans="1:38" x14ac:dyDescent="0.35">
      <c r="A190" s="6" t="s">
        <v>350</v>
      </c>
      <c r="B190" s="6">
        <v>10298</v>
      </c>
      <c r="C190" s="6">
        <v>0</v>
      </c>
      <c r="D190" s="6">
        <v>0</v>
      </c>
      <c r="E190" s="6">
        <v>1</v>
      </c>
      <c r="F190" s="6">
        <v>5</v>
      </c>
      <c r="G190" s="6">
        <v>5</v>
      </c>
      <c r="H190" s="6">
        <v>1</v>
      </c>
      <c r="I190" s="6">
        <v>0</v>
      </c>
      <c r="J190" s="6">
        <v>55800</v>
      </c>
      <c r="K190" s="6">
        <v>1</v>
      </c>
      <c r="L190" s="6">
        <v>20</v>
      </c>
      <c r="M190" s="6" t="s">
        <v>63</v>
      </c>
      <c r="N190" s="6" t="s">
        <v>40</v>
      </c>
      <c r="O190" s="6">
        <v>2472</v>
      </c>
      <c r="P190" s="7">
        <v>27667</v>
      </c>
      <c r="Q190" s="8">
        <v>49</v>
      </c>
      <c r="R190" s="8" t="s">
        <v>41</v>
      </c>
      <c r="S190" s="6" t="s">
        <v>42</v>
      </c>
      <c r="T190" s="6" t="s">
        <v>43</v>
      </c>
      <c r="U190" s="6" t="s">
        <v>44</v>
      </c>
      <c r="V190" s="6" t="s">
        <v>45</v>
      </c>
      <c r="W190" s="6" t="s">
        <v>46</v>
      </c>
      <c r="X190" s="7">
        <v>40770</v>
      </c>
      <c r="Y190" s="8">
        <f t="shared" ca="1" si="2"/>
        <v>14</v>
      </c>
      <c r="Z190" s="7">
        <v>41738</v>
      </c>
      <c r="AA190" s="6" t="s">
        <v>97</v>
      </c>
      <c r="AB190" s="6" t="s">
        <v>57</v>
      </c>
      <c r="AC190" s="6" t="s">
        <v>49</v>
      </c>
      <c r="AD190" s="6" t="s">
        <v>86</v>
      </c>
      <c r="AE190" s="6">
        <v>12</v>
      </c>
      <c r="AF190" s="6" t="s">
        <v>51</v>
      </c>
      <c r="AG190" s="6" t="s">
        <v>195</v>
      </c>
      <c r="AH190" s="6">
        <v>3</v>
      </c>
      <c r="AI190" s="6">
        <v>2</v>
      </c>
      <c r="AJ190" s="6">
        <v>0</v>
      </c>
      <c r="AK190" s="7">
        <v>41288</v>
      </c>
      <c r="AL190" s="6">
        <v>6</v>
      </c>
    </row>
    <row r="191" spans="1:38" x14ac:dyDescent="0.35">
      <c r="A191" s="6" t="s">
        <v>351</v>
      </c>
      <c r="B191" s="6">
        <v>10213</v>
      </c>
      <c r="C191" s="6">
        <v>1</v>
      </c>
      <c r="D191" s="6">
        <v>1</v>
      </c>
      <c r="E191" s="6">
        <v>1</v>
      </c>
      <c r="F191" s="6">
        <v>1</v>
      </c>
      <c r="G191" s="6">
        <v>5</v>
      </c>
      <c r="H191" s="6">
        <v>3</v>
      </c>
      <c r="I191" s="6">
        <v>0</v>
      </c>
      <c r="J191" s="6">
        <v>58207</v>
      </c>
      <c r="K191" s="6">
        <v>0</v>
      </c>
      <c r="L191" s="6">
        <v>20</v>
      </c>
      <c r="M191" s="6" t="s">
        <v>63</v>
      </c>
      <c r="N191" s="6" t="s">
        <v>40</v>
      </c>
      <c r="O191" s="6">
        <v>1450</v>
      </c>
      <c r="P191" s="7">
        <v>26749</v>
      </c>
      <c r="Q191" s="8">
        <v>52</v>
      </c>
      <c r="R191" s="8" t="s">
        <v>41</v>
      </c>
      <c r="S191" s="6" t="s">
        <v>42</v>
      </c>
      <c r="T191" s="6" t="s">
        <v>55</v>
      </c>
      <c r="U191" s="6" t="s">
        <v>44</v>
      </c>
      <c r="V191" s="6" t="s">
        <v>45</v>
      </c>
      <c r="W191" s="6" t="s">
        <v>46</v>
      </c>
      <c r="X191" s="7">
        <v>40735</v>
      </c>
      <c r="Y191" s="8">
        <f t="shared" ca="1" si="2"/>
        <v>15</v>
      </c>
      <c r="Z191" s="7"/>
      <c r="AA191" s="6" t="s">
        <v>47</v>
      </c>
      <c r="AB191" s="6" t="s">
        <v>48</v>
      </c>
      <c r="AC191" s="6" t="s">
        <v>49</v>
      </c>
      <c r="AD191" s="6" t="s">
        <v>94</v>
      </c>
      <c r="AE191" s="6">
        <v>14</v>
      </c>
      <c r="AF191" s="6" t="s">
        <v>51</v>
      </c>
      <c r="AG191" s="6" t="s">
        <v>61</v>
      </c>
      <c r="AH191" s="6">
        <v>3.7</v>
      </c>
      <c r="AI191" s="6">
        <v>3</v>
      </c>
      <c r="AJ191" s="6">
        <v>0</v>
      </c>
      <c r="AK191" s="7">
        <v>43678</v>
      </c>
      <c r="AL191" s="6">
        <v>14</v>
      </c>
    </row>
    <row r="192" spans="1:38" x14ac:dyDescent="0.35">
      <c r="A192" s="6" t="s">
        <v>352</v>
      </c>
      <c r="B192" s="6">
        <v>10288</v>
      </c>
      <c r="C192" s="6">
        <v>1</v>
      </c>
      <c r="D192" s="6">
        <v>1</v>
      </c>
      <c r="E192" s="6">
        <v>1</v>
      </c>
      <c r="F192" s="6">
        <v>1</v>
      </c>
      <c r="G192" s="6">
        <v>3</v>
      </c>
      <c r="H192" s="6">
        <v>2</v>
      </c>
      <c r="I192" s="6">
        <v>1</v>
      </c>
      <c r="J192" s="6">
        <v>157000</v>
      </c>
      <c r="K192" s="6">
        <v>0</v>
      </c>
      <c r="L192" s="6">
        <v>13</v>
      </c>
      <c r="M192" s="6" t="s">
        <v>353</v>
      </c>
      <c r="N192" s="6" t="s">
        <v>40</v>
      </c>
      <c r="O192" s="6">
        <v>2134</v>
      </c>
      <c r="P192" s="7">
        <v>30188</v>
      </c>
      <c r="Q192" s="8">
        <v>42</v>
      </c>
      <c r="R192" s="8" t="s">
        <v>41</v>
      </c>
      <c r="S192" s="6" t="s">
        <v>42</v>
      </c>
      <c r="T192" s="6" t="s">
        <v>55</v>
      </c>
      <c r="U192" s="6" t="s">
        <v>111</v>
      </c>
      <c r="V192" s="6" t="s">
        <v>92</v>
      </c>
      <c r="W192" s="6" t="s">
        <v>85</v>
      </c>
      <c r="X192" s="7">
        <v>40954</v>
      </c>
      <c r="Y192" s="8">
        <f t="shared" ca="1" si="2"/>
        <v>14</v>
      </c>
      <c r="Z192" s="7"/>
      <c r="AA192" s="6" t="s">
        <v>47</v>
      </c>
      <c r="AB192" s="6" t="s">
        <v>48</v>
      </c>
      <c r="AC192" s="6" t="s">
        <v>58</v>
      </c>
      <c r="AD192" s="6" t="s">
        <v>151</v>
      </c>
      <c r="AE192" s="6">
        <v>5</v>
      </c>
      <c r="AF192" s="6" t="s">
        <v>87</v>
      </c>
      <c r="AG192" s="6" t="s">
        <v>122</v>
      </c>
      <c r="AH192" s="6">
        <v>2.39</v>
      </c>
      <c r="AI192" s="6">
        <v>3</v>
      </c>
      <c r="AJ192" s="6">
        <v>6</v>
      </c>
      <c r="AK192" s="7">
        <v>43518</v>
      </c>
      <c r="AL192" s="6">
        <v>13</v>
      </c>
    </row>
    <row r="193" spans="1:38" x14ac:dyDescent="0.35">
      <c r="A193" s="6" t="s">
        <v>354</v>
      </c>
      <c r="B193" s="6">
        <v>10025</v>
      </c>
      <c r="C193" s="6">
        <v>0</v>
      </c>
      <c r="D193" s="6">
        <v>0</v>
      </c>
      <c r="E193" s="6">
        <v>0</v>
      </c>
      <c r="F193" s="6">
        <v>1</v>
      </c>
      <c r="G193" s="6">
        <v>5</v>
      </c>
      <c r="H193" s="6">
        <v>4</v>
      </c>
      <c r="I193" s="6">
        <v>0</v>
      </c>
      <c r="J193" s="6">
        <v>72460</v>
      </c>
      <c r="K193" s="6">
        <v>0</v>
      </c>
      <c r="L193" s="6">
        <v>20</v>
      </c>
      <c r="M193" s="6" t="s">
        <v>63</v>
      </c>
      <c r="N193" s="6" t="s">
        <v>40</v>
      </c>
      <c r="O193" s="6">
        <v>2126</v>
      </c>
      <c r="P193" s="7">
        <v>31120</v>
      </c>
      <c r="Q193" s="8">
        <v>40</v>
      </c>
      <c r="R193" s="8" t="s">
        <v>41</v>
      </c>
      <c r="S193" s="6" t="s">
        <v>64</v>
      </c>
      <c r="T193" s="6" t="s">
        <v>43</v>
      </c>
      <c r="U193" s="6" t="s">
        <v>44</v>
      </c>
      <c r="V193" s="6" t="s">
        <v>45</v>
      </c>
      <c r="W193" s="6" t="s">
        <v>85</v>
      </c>
      <c r="X193" s="7">
        <v>41407</v>
      </c>
      <c r="Y193" s="8">
        <f t="shared" ca="1" si="2"/>
        <v>13</v>
      </c>
      <c r="Z193" s="7"/>
      <c r="AA193" s="6" t="s">
        <v>47</v>
      </c>
      <c r="AB193" s="6" t="s">
        <v>48</v>
      </c>
      <c r="AC193" s="6" t="s">
        <v>49</v>
      </c>
      <c r="AD193" s="6" t="s">
        <v>66</v>
      </c>
      <c r="AE193" s="6">
        <v>20</v>
      </c>
      <c r="AF193" s="6" t="s">
        <v>60</v>
      </c>
      <c r="AG193" s="6" t="s">
        <v>52</v>
      </c>
      <c r="AH193" s="6">
        <v>4.7</v>
      </c>
      <c r="AI193" s="6">
        <v>3</v>
      </c>
      <c r="AJ193" s="6">
        <v>0</v>
      </c>
      <c r="AK193" s="7">
        <v>43479</v>
      </c>
      <c r="AL193" s="6">
        <v>1</v>
      </c>
    </row>
    <row r="194" spans="1:38" x14ac:dyDescent="0.35">
      <c r="A194" s="6" t="s">
        <v>355</v>
      </c>
      <c r="B194" s="6">
        <v>10223</v>
      </c>
      <c r="C194" s="6">
        <v>0</v>
      </c>
      <c r="D194" s="6">
        <v>0</v>
      </c>
      <c r="E194" s="6">
        <v>1</v>
      </c>
      <c r="F194" s="6">
        <v>3</v>
      </c>
      <c r="G194" s="6">
        <v>5</v>
      </c>
      <c r="H194" s="6">
        <v>3</v>
      </c>
      <c r="I194" s="6">
        <v>1</v>
      </c>
      <c r="J194" s="6">
        <v>72106</v>
      </c>
      <c r="K194" s="6">
        <v>0</v>
      </c>
      <c r="L194" s="6">
        <v>20</v>
      </c>
      <c r="M194" s="6" t="s">
        <v>63</v>
      </c>
      <c r="N194" s="6" t="s">
        <v>40</v>
      </c>
      <c r="O194" s="6">
        <v>2127</v>
      </c>
      <c r="P194" s="7">
        <v>28577</v>
      </c>
      <c r="Q194" s="8">
        <v>47</v>
      </c>
      <c r="R194" s="8" t="s">
        <v>41</v>
      </c>
      <c r="S194" s="6" t="s">
        <v>42</v>
      </c>
      <c r="T194" s="6" t="s">
        <v>43</v>
      </c>
      <c r="U194" s="6" t="s">
        <v>44</v>
      </c>
      <c r="V194" s="6" t="s">
        <v>45</v>
      </c>
      <c r="W194" s="6" t="s">
        <v>85</v>
      </c>
      <c r="X194" s="7">
        <v>41153</v>
      </c>
      <c r="Y194" s="8">
        <f t="shared" ca="1" si="2"/>
        <v>13</v>
      </c>
      <c r="Z194" s="7"/>
      <c r="AA194" s="6" t="s">
        <v>47</v>
      </c>
      <c r="AB194" s="6" t="s">
        <v>48</v>
      </c>
      <c r="AC194" s="6" t="s">
        <v>49</v>
      </c>
      <c r="AD194" s="6" t="s">
        <v>103</v>
      </c>
      <c r="AE194" s="6">
        <v>18</v>
      </c>
      <c r="AF194" s="6" t="s">
        <v>87</v>
      </c>
      <c r="AG194" s="6" t="s">
        <v>61</v>
      </c>
      <c r="AH194" s="6">
        <v>4.0999999999999996</v>
      </c>
      <c r="AI194" s="6">
        <v>4</v>
      </c>
      <c r="AJ194" s="6">
        <v>0</v>
      </c>
      <c r="AK194" s="7">
        <v>43496</v>
      </c>
      <c r="AL194" s="6">
        <v>12</v>
      </c>
    </row>
    <row r="195" spans="1:38" x14ac:dyDescent="0.35">
      <c r="A195" s="6" t="s">
        <v>356</v>
      </c>
      <c r="B195" s="6">
        <v>10151</v>
      </c>
      <c r="C195" s="6">
        <v>1</v>
      </c>
      <c r="D195" s="6">
        <v>1</v>
      </c>
      <c r="E195" s="6">
        <v>0</v>
      </c>
      <c r="F195" s="6">
        <v>1</v>
      </c>
      <c r="G195" s="6">
        <v>3</v>
      </c>
      <c r="H195" s="6">
        <v>3</v>
      </c>
      <c r="I195" s="6">
        <v>0</v>
      </c>
      <c r="J195" s="6">
        <v>52599</v>
      </c>
      <c r="K195" s="6">
        <v>0</v>
      </c>
      <c r="L195" s="6">
        <v>15</v>
      </c>
      <c r="M195" s="6" t="s">
        <v>229</v>
      </c>
      <c r="N195" s="6" t="s">
        <v>40</v>
      </c>
      <c r="O195" s="6">
        <v>2048</v>
      </c>
      <c r="P195" s="7">
        <v>25065</v>
      </c>
      <c r="Q195" s="8">
        <v>56</v>
      </c>
      <c r="R195" s="8" t="s">
        <v>41</v>
      </c>
      <c r="S195" s="6" t="s">
        <v>64</v>
      </c>
      <c r="T195" s="6" t="s">
        <v>55</v>
      </c>
      <c r="U195" s="6" t="s">
        <v>44</v>
      </c>
      <c r="V195" s="6" t="s">
        <v>45</v>
      </c>
      <c r="W195" s="6" t="s">
        <v>46</v>
      </c>
      <c r="X195" s="7">
        <v>42051</v>
      </c>
      <c r="Y195" s="8">
        <f t="shared" ref="Y195:Y258" ca="1" si="3">INT(YEARFRAC(X195,TODAY()))</f>
        <v>11</v>
      </c>
      <c r="Z195" s="7"/>
      <c r="AA195" s="6" t="s">
        <v>47</v>
      </c>
      <c r="AB195" s="6" t="s">
        <v>48</v>
      </c>
      <c r="AC195" s="6" t="s">
        <v>58</v>
      </c>
      <c r="AD195" s="6" t="s">
        <v>90</v>
      </c>
      <c r="AE195" s="6">
        <v>7</v>
      </c>
      <c r="AF195" s="6" t="s">
        <v>121</v>
      </c>
      <c r="AG195" s="6" t="s">
        <v>61</v>
      </c>
      <c r="AH195" s="6">
        <v>3.81</v>
      </c>
      <c r="AI195" s="6">
        <v>3</v>
      </c>
      <c r="AJ195" s="6">
        <v>6</v>
      </c>
      <c r="AK195" s="7">
        <v>43771</v>
      </c>
      <c r="AL195" s="6">
        <v>6</v>
      </c>
    </row>
    <row r="196" spans="1:38" x14ac:dyDescent="0.35">
      <c r="A196" s="6" t="s">
        <v>357</v>
      </c>
      <c r="B196" s="6">
        <v>10254</v>
      </c>
      <c r="C196" s="6">
        <v>0</v>
      </c>
      <c r="D196" s="6">
        <v>2</v>
      </c>
      <c r="E196" s="6">
        <v>0</v>
      </c>
      <c r="F196" s="6">
        <v>1</v>
      </c>
      <c r="G196" s="6">
        <v>5</v>
      </c>
      <c r="H196" s="6">
        <v>3</v>
      </c>
      <c r="I196" s="6">
        <v>0</v>
      </c>
      <c r="J196" s="6">
        <v>63430</v>
      </c>
      <c r="K196" s="6">
        <v>0</v>
      </c>
      <c r="L196" s="6">
        <v>19</v>
      </c>
      <c r="M196" s="6" t="s">
        <v>39</v>
      </c>
      <c r="N196" s="6" t="s">
        <v>40</v>
      </c>
      <c r="O196" s="6">
        <v>2453</v>
      </c>
      <c r="P196" s="7">
        <v>32074</v>
      </c>
      <c r="Q196" s="8">
        <v>37</v>
      </c>
      <c r="R196" s="8" t="s">
        <v>41</v>
      </c>
      <c r="S196" s="6" t="s">
        <v>64</v>
      </c>
      <c r="T196" s="6" t="s">
        <v>70</v>
      </c>
      <c r="U196" s="6" t="s">
        <v>44</v>
      </c>
      <c r="V196" s="6" t="s">
        <v>45</v>
      </c>
      <c r="W196" s="6" t="s">
        <v>46</v>
      </c>
      <c r="X196" s="7">
        <v>41278</v>
      </c>
      <c r="Y196" s="8">
        <f t="shared" ca="1" si="3"/>
        <v>13</v>
      </c>
      <c r="Z196" s="7"/>
      <c r="AA196" s="6" t="s">
        <v>47</v>
      </c>
      <c r="AB196" s="6" t="s">
        <v>48</v>
      </c>
      <c r="AC196" s="6" t="s">
        <v>49</v>
      </c>
      <c r="AD196" s="6" t="s">
        <v>68</v>
      </c>
      <c r="AE196" s="6">
        <v>16</v>
      </c>
      <c r="AF196" s="6" t="s">
        <v>51</v>
      </c>
      <c r="AG196" s="6" t="s">
        <v>61</v>
      </c>
      <c r="AH196" s="6">
        <v>4.4000000000000004</v>
      </c>
      <c r="AI196" s="6">
        <v>4</v>
      </c>
      <c r="AJ196" s="6">
        <v>0</v>
      </c>
      <c r="AK196" s="7">
        <v>43482</v>
      </c>
      <c r="AL196" s="6">
        <v>18</v>
      </c>
    </row>
    <row r="197" spans="1:38" x14ac:dyDescent="0.35">
      <c r="A197" s="6" t="s">
        <v>358</v>
      </c>
      <c r="B197" s="6">
        <v>10120</v>
      </c>
      <c r="C197" s="6">
        <v>0</v>
      </c>
      <c r="D197" s="6">
        <v>3</v>
      </c>
      <c r="E197" s="6">
        <v>1</v>
      </c>
      <c r="F197" s="6">
        <v>1</v>
      </c>
      <c r="G197" s="6">
        <v>5</v>
      </c>
      <c r="H197" s="6">
        <v>3</v>
      </c>
      <c r="I197" s="6">
        <v>0</v>
      </c>
      <c r="J197" s="6">
        <v>74417</v>
      </c>
      <c r="K197" s="6">
        <v>0</v>
      </c>
      <c r="L197" s="6">
        <v>20</v>
      </c>
      <c r="M197" s="6" t="s">
        <v>63</v>
      </c>
      <c r="N197" s="6" t="s">
        <v>40</v>
      </c>
      <c r="O197" s="6">
        <v>1460</v>
      </c>
      <c r="P197" s="7">
        <v>19503</v>
      </c>
      <c r="Q197" s="8">
        <v>72</v>
      </c>
      <c r="R197" s="8" t="s">
        <v>96</v>
      </c>
      <c r="S197" s="6" t="s">
        <v>42</v>
      </c>
      <c r="T197" s="6" t="s">
        <v>141</v>
      </c>
      <c r="U197" s="6" t="s">
        <v>44</v>
      </c>
      <c r="V197" s="6" t="s">
        <v>45</v>
      </c>
      <c r="W197" s="6" t="s">
        <v>85</v>
      </c>
      <c r="X197" s="7">
        <v>41407</v>
      </c>
      <c r="Y197" s="8">
        <f t="shared" ca="1" si="3"/>
        <v>13</v>
      </c>
      <c r="Z197" s="7"/>
      <c r="AA197" s="6" t="s">
        <v>47</v>
      </c>
      <c r="AB197" s="6" t="s">
        <v>48</v>
      </c>
      <c r="AC197" s="6" t="s">
        <v>49</v>
      </c>
      <c r="AD197" s="6" t="s">
        <v>50</v>
      </c>
      <c r="AE197" s="6">
        <v>22</v>
      </c>
      <c r="AF197" s="6" t="s">
        <v>51</v>
      </c>
      <c r="AG197" s="6" t="s">
        <v>61</v>
      </c>
      <c r="AH197" s="6">
        <v>4.29</v>
      </c>
      <c r="AI197" s="6">
        <v>5</v>
      </c>
      <c r="AJ197" s="6">
        <v>0</v>
      </c>
      <c r="AK197" s="7">
        <v>43493</v>
      </c>
      <c r="AL197" s="6">
        <v>11</v>
      </c>
    </row>
    <row r="198" spans="1:38" x14ac:dyDescent="0.35">
      <c r="A198" s="6" t="s">
        <v>359</v>
      </c>
      <c r="B198" s="6">
        <v>10216</v>
      </c>
      <c r="C198" s="6">
        <v>0</v>
      </c>
      <c r="D198" s="6">
        <v>0</v>
      </c>
      <c r="E198" s="6">
        <v>1</v>
      </c>
      <c r="F198" s="6">
        <v>1</v>
      </c>
      <c r="G198" s="6">
        <v>5</v>
      </c>
      <c r="H198" s="6">
        <v>3</v>
      </c>
      <c r="I198" s="6">
        <v>0</v>
      </c>
      <c r="J198" s="6">
        <v>57575</v>
      </c>
      <c r="K198" s="6">
        <v>0</v>
      </c>
      <c r="L198" s="6">
        <v>19</v>
      </c>
      <c r="M198" s="6" t="s">
        <v>39</v>
      </c>
      <c r="N198" s="6" t="s">
        <v>40</v>
      </c>
      <c r="O198" s="6">
        <v>1550</v>
      </c>
      <c r="P198" s="7">
        <v>27653</v>
      </c>
      <c r="Q198" s="8">
        <v>49</v>
      </c>
      <c r="R198" s="8" t="s">
        <v>41</v>
      </c>
      <c r="S198" s="6" t="s">
        <v>42</v>
      </c>
      <c r="T198" s="6" t="s">
        <v>43</v>
      </c>
      <c r="U198" s="6" t="s">
        <v>44</v>
      </c>
      <c r="V198" s="6" t="s">
        <v>45</v>
      </c>
      <c r="W198" s="6" t="s">
        <v>116</v>
      </c>
      <c r="X198" s="7">
        <v>41493</v>
      </c>
      <c r="Y198" s="8">
        <f t="shared" ca="1" si="3"/>
        <v>12</v>
      </c>
      <c r="Z198" s="7"/>
      <c r="AA198" s="6" t="s">
        <v>47</v>
      </c>
      <c r="AB198" s="6" t="s">
        <v>48</v>
      </c>
      <c r="AC198" s="6" t="s">
        <v>49</v>
      </c>
      <c r="AD198" s="6" t="s">
        <v>66</v>
      </c>
      <c r="AE198" s="6">
        <v>20</v>
      </c>
      <c r="AF198" s="6" t="s">
        <v>51</v>
      </c>
      <c r="AG198" s="6" t="s">
        <v>61</v>
      </c>
      <c r="AH198" s="6">
        <v>4.0999999999999996</v>
      </c>
      <c r="AI198" s="6">
        <v>4</v>
      </c>
      <c r="AJ198" s="6">
        <v>0</v>
      </c>
      <c r="AK198" s="7">
        <v>43487</v>
      </c>
      <c r="AL198" s="6">
        <v>13</v>
      </c>
    </row>
    <row r="199" spans="1:38" x14ac:dyDescent="0.35">
      <c r="A199" s="6" t="s">
        <v>360</v>
      </c>
      <c r="B199" s="6">
        <v>10079</v>
      </c>
      <c r="C199" s="6">
        <v>0</v>
      </c>
      <c r="D199" s="6">
        <v>0</v>
      </c>
      <c r="E199" s="6">
        <v>1</v>
      </c>
      <c r="F199" s="6">
        <v>1</v>
      </c>
      <c r="G199" s="6">
        <v>3</v>
      </c>
      <c r="H199" s="6">
        <v>3</v>
      </c>
      <c r="I199" s="6">
        <v>0</v>
      </c>
      <c r="J199" s="6">
        <v>87921</v>
      </c>
      <c r="K199" s="6">
        <v>0</v>
      </c>
      <c r="L199" s="6">
        <v>22</v>
      </c>
      <c r="M199" s="6" t="s">
        <v>320</v>
      </c>
      <c r="N199" s="6" t="s">
        <v>40</v>
      </c>
      <c r="O199" s="6">
        <v>2056</v>
      </c>
      <c r="P199" s="7">
        <v>24852</v>
      </c>
      <c r="Q199" s="8">
        <v>57</v>
      </c>
      <c r="R199" s="8" t="s">
        <v>41</v>
      </c>
      <c r="S199" s="6" t="s">
        <v>42</v>
      </c>
      <c r="T199" s="6" t="s">
        <v>43</v>
      </c>
      <c r="U199" s="6" t="s">
        <v>44</v>
      </c>
      <c r="V199" s="6" t="s">
        <v>45</v>
      </c>
      <c r="W199" s="6" t="s">
        <v>116</v>
      </c>
      <c r="X199" s="7">
        <v>43010</v>
      </c>
      <c r="Y199" s="8">
        <f t="shared" ca="1" si="3"/>
        <v>8</v>
      </c>
      <c r="Z199" s="7"/>
      <c r="AA199" s="6" t="s">
        <v>47</v>
      </c>
      <c r="AB199" s="6" t="s">
        <v>48</v>
      </c>
      <c r="AC199" s="6" t="s">
        <v>58</v>
      </c>
      <c r="AD199" s="6" t="s">
        <v>201</v>
      </c>
      <c r="AE199" s="6">
        <v>13</v>
      </c>
      <c r="AF199" s="6" t="s">
        <v>60</v>
      </c>
      <c r="AG199" s="6" t="s">
        <v>61</v>
      </c>
      <c r="AH199" s="6">
        <v>5</v>
      </c>
      <c r="AI199" s="6">
        <v>3</v>
      </c>
      <c r="AJ199" s="6">
        <v>6</v>
      </c>
      <c r="AK199" s="7">
        <v>43521</v>
      </c>
      <c r="AL199" s="6">
        <v>17</v>
      </c>
    </row>
    <row r="200" spans="1:38" x14ac:dyDescent="0.35">
      <c r="A200" s="6" t="s">
        <v>361</v>
      </c>
      <c r="B200" s="6">
        <v>10215</v>
      </c>
      <c r="C200" s="6">
        <v>0</v>
      </c>
      <c r="D200" s="6">
        <v>0</v>
      </c>
      <c r="E200" s="6">
        <v>1</v>
      </c>
      <c r="F200" s="6">
        <v>5</v>
      </c>
      <c r="G200" s="6">
        <v>5</v>
      </c>
      <c r="H200" s="6">
        <v>3</v>
      </c>
      <c r="I200" s="6">
        <v>1</v>
      </c>
      <c r="J200" s="6">
        <v>50470</v>
      </c>
      <c r="K200" s="6">
        <v>1</v>
      </c>
      <c r="L200" s="6">
        <v>19</v>
      </c>
      <c r="M200" s="6" t="s">
        <v>39</v>
      </c>
      <c r="N200" s="6" t="s">
        <v>40</v>
      </c>
      <c r="O200" s="6">
        <v>2110</v>
      </c>
      <c r="P200" s="7">
        <v>30452</v>
      </c>
      <c r="Q200" s="8">
        <v>42</v>
      </c>
      <c r="R200" s="8" t="s">
        <v>41</v>
      </c>
      <c r="S200" s="6" t="s">
        <v>42</v>
      </c>
      <c r="T200" s="6" t="s">
        <v>43</v>
      </c>
      <c r="U200" s="6" t="s">
        <v>44</v>
      </c>
      <c r="V200" s="6" t="s">
        <v>45</v>
      </c>
      <c r="W200" s="6" t="s">
        <v>85</v>
      </c>
      <c r="X200" s="7">
        <v>40812</v>
      </c>
      <c r="Y200" s="8">
        <f t="shared" ca="1" si="3"/>
        <v>14</v>
      </c>
      <c r="Z200" s="7">
        <v>41733</v>
      </c>
      <c r="AA200" s="6" t="s">
        <v>71</v>
      </c>
      <c r="AB200" s="6" t="s">
        <v>57</v>
      </c>
      <c r="AC200" s="6" t="s">
        <v>49</v>
      </c>
      <c r="AD200" s="6" t="s">
        <v>72</v>
      </c>
      <c r="AE200" s="6">
        <v>39</v>
      </c>
      <c r="AF200" s="6" t="s">
        <v>87</v>
      </c>
      <c r="AG200" s="6" t="s">
        <v>61</v>
      </c>
      <c r="AH200" s="6">
        <v>4.3</v>
      </c>
      <c r="AI200" s="6">
        <v>3</v>
      </c>
      <c r="AJ200" s="6">
        <v>0</v>
      </c>
      <c r="AK200" s="7">
        <v>41308</v>
      </c>
      <c r="AL200" s="6">
        <v>19</v>
      </c>
    </row>
    <row r="201" spans="1:38" x14ac:dyDescent="0.35">
      <c r="A201" s="6" t="s">
        <v>362</v>
      </c>
      <c r="B201" s="6">
        <v>10185</v>
      </c>
      <c r="C201" s="6">
        <v>1</v>
      </c>
      <c r="D201" s="6">
        <v>1</v>
      </c>
      <c r="E201" s="6">
        <v>1</v>
      </c>
      <c r="F201" s="6">
        <v>5</v>
      </c>
      <c r="G201" s="6">
        <v>5</v>
      </c>
      <c r="H201" s="6">
        <v>3</v>
      </c>
      <c r="I201" s="6">
        <v>0</v>
      </c>
      <c r="J201" s="6">
        <v>46664</v>
      </c>
      <c r="K201" s="6">
        <v>1</v>
      </c>
      <c r="L201" s="6">
        <v>19</v>
      </c>
      <c r="M201" s="6" t="s">
        <v>39</v>
      </c>
      <c r="N201" s="6" t="s">
        <v>40</v>
      </c>
      <c r="O201" s="6">
        <v>2421</v>
      </c>
      <c r="P201" s="7">
        <v>30481</v>
      </c>
      <c r="Q201" s="8">
        <v>42</v>
      </c>
      <c r="R201" s="8" t="s">
        <v>41</v>
      </c>
      <c r="S201" s="6" t="s">
        <v>42</v>
      </c>
      <c r="T201" s="6" t="s">
        <v>55</v>
      </c>
      <c r="U201" s="6" t="s">
        <v>44</v>
      </c>
      <c r="V201" s="6" t="s">
        <v>45</v>
      </c>
      <c r="W201" s="6" t="s">
        <v>46</v>
      </c>
      <c r="X201" s="7">
        <v>41278</v>
      </c>
      <c r="Y201" s="8">
        <f t="shared" ca="1" si="3"/>
        <v>13</v>
      </c>
      <c r="Z201" s="7">
        <v>42515</v>
      </c>
      <c r="AA201" s="6" t="s">
        <v>197</v>
      </c>
      <c r="AB201" s="6" t="s">
        <v>57</v>
      </c>
      <c r="AC201" s="6" t="s">
        <v>49</v>
      </c>
      <c r="AD201" s="6" t="s">
        <v>75</v>
      </c>
      <c r="AE201" s="6">
        <v>11</v>
      </c>
      <c r="AF201" s="6" t="s">
        <v>83</v>
      </c>
      <c r="AG201" s="6" t="s">
        <v>61</v>
      </c>
      <c r="AH201" s="6">
        <v>3.18</v>
      </c>
      <c r="AI201" s="6">
        <v>3</v>
      </c>
      <c r="AJ201" s="6">
        <v>0</v>
      </c>
      <c r="AK201" s="7">
        <v>42524</v>
      </c>
      <c r="AL201" s="6">
        <v>10</v>
      </c>
    </row>
    <row r="202" spans="1:38" x14ac:dyDescent="0.35">
      <c r="A202" s="6" t="s">
        <v>363</v>
      </c>
      <c r="B202" s="6">
        <v>10063</v>
      </c>
      <c r="C202" s="6">
        <v>1</v>
      </c>
      <c r="D202" s="6">
        <v>1</v>
      </c>
      <c r="E202" s="6">
        <v>1</v>
      </c>
      <c r="F202" s="6">
        <v>3</v>
      </c>
      <c r="G202" s="6">
        <v>5</v>
      </c>
      <c r="H202" s="6">
        <v>3</v>
      </c>
      <c r="I202" s="6">
        <v>0</v>
      </c>
      <c r="J202" s="6">
        <v>48495</v>
      </c>
      <c r="K202" s="6">
        <v>0</v>
      </c>
      <c r="L202" s="6">
        <v>19</v>
      </c>
      <c r="M202" s="6" t="s">
        <v>39</v>
      </c>
      <c r="N202" s="6" t="s">
        <v>40</v>
      </c>
      <c r="O202" s="6">
        <v>2136</v>
      </c>
      <c r="P202" s="7">
        <v>31121</v>
      </c>
      <c r="Q202" s="8">
        <v>40</v>
      </c>
      <c r="R202" s="8" t="s">
        <v>41</v>
      </c>
      <c r="S202" s="6" t="s">
        <v>42</v>
      </c>
      <c r="T202" s="6" t="s">
        <v>55</v>
      </c>
      <c r="U202" s="6" t="s">
        <v>44</v>
      </c>
      <c r="V202" s="6" t="s">
        <v>45</v>
      </c>
      <c r="W202" s="6" t="s">
        <v>46</v>
      </c>
      <c r="X202" s="7">
        <v>41978</v>
      </c>
      <c r="Y202" s="8">
        <f t="shared" ca="1" si="3"/>
        <v>11</v>
      </c>
      <c r="Z202" s="7"/>
      <c r="AA202" s="6" t="s">
        <v>47</v>
      </c>
      <c r="AB202" s="6" t="s">
        <v>48</v>
      </c>
      <c r="AC202" s="6" t="s">
        <v>49</v>
      </c>
      <c r="AD202" s="6" t="s">
        <v>82</v>
      </c>
      <c r="AE202" s="6">
        <v>19</v>
      </c>
      <c r="AF202" s="6" t="s">
        <v>51</v>
      </c>
      <c r="AG202" s="6" t="s">
        <v>61</v>
      </c>
      <c r="AH202" s="6">
        <v>5</v>
      </c>
      <c r="AI202" s="6">
        <v>5</v>
      </c>
      <c r="AJ202" s="6">
        <v>0</v>
      </c>
      <c r="AK202" s="7">
        <v>43514</v>
      </c>
      <c r="AL202" s="6">
        <v>11</v>
      </c>
    </row>
    <row r="203" spans="1:38" x14ac:dyDescent="0.35">
      <c r="A203" s="6" t="s">
        <v>364</v>
      </c>
      <c r="B203" s="6">
        <v>10037</v>
      </c>
      <c r="C203" s="6">
        <v>0</v>
      </c>
      <c r="D203" s="6">
        <v>3</v>
      </c>
      <c r="E203" s="6">
        <v>0</v>
      </c>
      <c r="F203" s="6">
        <v>1</v>
      </c>
      <c r="G203" s="6">
        <v>5</v>
      </c>
      <c r="H203" s="6">
        <v>4</v>
      </c>
      <c r="I203" s="6">
        <v>1</v>
      </c>
      <c r="J203" s="6">
        <v>52984</v>
      </c>
      <c r="K203" s="6">
        <v>0</v>
      </c>
      <c r="L203" s="6">
        <v>19</v>
      </c>
      <c r="M203" s="6" t="s">
        <v>39</v>
      </c>
      <c r="N203" s="6" t="s">
        <v>40</v>
      </c>
      <c r="O203" s="6">
        <v>1810</v>
      </c>
      <c r="P203" s="7">
        <v>25293</v>
      </c>
      <c r="Q203" s="8">
        <v>56</v>
      </c>
      <c r="R203" s="8" t="s">
        <v>41</v>
      </c>
      <c r="S203" s="6" t="s">
        <v>64</v>
      </c>
      <c r="T203" s="6" t="s">
        <v>141</v>
      </c>
      <c r="U203" s="6" t="s">
        <v>44</v>
      </c>
      <c r="V203" s="6" t="s">
        <v>45</v>
      </c>
      <c r="W203" s="6" t="s">
        <v>85</v>
      </c>
      <c r="X203" s="7">
        <v>41278</v>
      </c>
      <c r="Y203" s="8">
        <f t="shared" ca="1" si="3"/>
        <v>13</v>
      </c>
      <c r="Z203" s="7"/>
      <c r="AA203" s="6" t="s">
        <v>47</v>
      </c>
      <c r="AB203" s="6" t="s">
        <v>48</v>
      </c>
      <c r="AC203" s="6" t="s">
        <v>49</v>
      </c>
      <c r="AD203" s="6" t="s">
        <v>86</v>
      </c>
      <c r="AE203" s="6">
        <v>12</v>
      </c>
      <c r="AF203" s="6" t="s">
        <v>87</v>
      </c>
      <c r="AG203" s="6" t="s">
        <v>52</v>
      </c>
      <c r="AH203" s="6">
        <v>4</v>
      </c>
      <c r="AI203" s="6">
        <v>3</v>
      </c>
      <c r="AJ203" s="6">
        <v>0</v>
      </c>
      <c r="AK203" s="7">
        <v>43509</v>
      </c>
      <c r="AL203" s="6">
        <v>12</v>
      </c>
    </row>
    <row r="204" spans="1:38" x14ac:dyDescent="0.35">
      <c r="A204" s="6" t="s">
        <v>365</v>
      </c>
      <c r="B204" s="6">
        <v>10042</v>
      </c>
      <c r="C204" s="6">
        <v>0</v>
      </c>
      <c r="D204" s="6">
        <v>0</v>
      </c>
      <c r="E204" s="6">
        <v>0</v>
      </c>
      <c r="F204" s="6">
        <v>1</v>
      </c>
      <c r="G204" s="6">
        <v>6</v>
      </c>
      <c r="H204" s="6">
        <v>3</v>
      </c>
      <c r="I204" s="6">
        <v>0</v>
      </c>
      <c r="J204" s="6">
        <v>63695</v>
      </c>
      <c r="K204" s="6">
        <v>0</v>
      </c>
      <c r="L204" s="6">
        <v>3</v>
      </c>
      <c r="M204" s="6" t="s">
        <v>143</v>
      </c>
      <c r="N204" s="6" t="s">
        <v>366</v>
      </c>
      <c r="O204" s="6">
        <v>30428</v>
      </c>
      <c r="P204" s="7">
        <v>33381</v>
      </c>
      <c r="Q204" s="8">
        <v>34</v>
      </c>
      <c r="R204" s="8" t="s">
        <v>41</v>
      </c>
      <c r="S204" s="6" t="s">
        <v>64</v>
      </c>
      <c r="T204" s="6" t="s">
        <v>43</v>
      </c>
      <c r="U204" s="6" t="s">
        <v>44</v>
      </c>
      <c r="V204" s="6" t="s">
        <v>45</v>
      </c>
      <c r="W204" s="6" t="s">
        <v>102</v>
      </c>
      <c r="X204" s="7">
        <v>41493</v>
      </c>
      <c r="Y204" s="8">
        <f t="shared" ca="1" si="3"/>
        <v>12</v>
      </c>
      <c r="Z204" s="7"/>
      <c r="AA204" s="6" t="s">
        <v>47</v>
      </c>
      <c r="AB204" s="6" t="s">
        <v>48</v>
      </c>
      <c r="AC204" s="6" t="s">
        <v>145</v>
      </c>
      <c r="AD204" s="6" t="s">
        <v>164</v>
      </c>
      <c r="AE204" s="6">
        <v>21</v>
      </c>
      <c r="AF204" s="6" t="s">
        <v>60</v>
      </c>
      <c r="AG204" s="6" t="s">
        <v>61</v>
      </c>
      <c r="AH204" s="6">
        <v>5</v>
      </c>
      <c r="AI204" s="6">
        <v>5</v>
      </c>
      <c r="AJ204" s="6">
        <v>0</v>
      </c>
      <c r="AK204" s="7">
        <v>43490</v>
      </c>
      <c r="AL204" s="6">
        <v>2</v>
      </c>
    </row>
    <row r="205" spans="1:38" x14ac:dyDescent="0.35">
      <c r="A205" s="6" t="s">
        <v>367</v>
      </c>
      <c r="B205" s="6">
        <v>10206</v>
      </c>
      <c r="C205" s="6">
        <v>0</v>
      </c>
      <c r="D205" s="6">
        <v>0</v>
      </c>
      <c r="E205" s="6">
        <v>0</v>
      </c>
      <c r="F205" s="6">
        <v>1</v>
      </c>
      <c r="G205" s="6">
        <v>5</v>
      </c>
      <c r="H205" s="6">
        <v>3</v>
      </c>
      <c r="I205" s="6">
        <v>0</v>
      </c>
      <c r="J205" s="6">
        <v>62061</v>
      </c>
      <c r="K205" s="6">
        <v>0</v>
      </c>
      <c r="L205" s="6">
        <v>19</v>
      </c>
      <c r="M205" s="6" t="s">
        <v>39</v>
      </c>
      <c r="N205" s="6" t="s">
        <v>40</v>
      </c>
      <c r="O205" s="6">
        <v>2132</v>
      </c>
      <c r="P205" s="7">
        <v>31808</v>
      </c>
      <c r="Q205" s="8">
        <v>38</v>
      </c>
      <c r="R205" s="8" t="s">
        <v>41</v>
      </c>
      <c r="S205" s="6" t="s">
        <v>64</v>
      </c>
      <c r="T205" s="6" t="s">
        <v>43</v>
      </c>
      <c r="U205" s="6" t="s">
        <v>44</v>
      </c>
      <c r="V205" s="6" t="s">
        <v>45</v>
      </c>
      <c r="W205" s="6" t="s">
        <v>46</v>
      </c>
      <c r="X205" s="7">
        <v>41493</v>
      </c>
      <c r="Y205" s="8">
        <f t="shared" ca="1" si="3"/>
        <v>12</v>
      </c>
      <c r="Z205" s="7"/>
      <c r="AA205" s="6" t="s">
        <v>47</v>
      </c>
      <c r="AB205" s="6" t="s">
        <v>48</v>
      </c>
      <c r="AC205" s="6" t="s">
        <v>49</v>
      </c>
      <c r="AD205" s="6" t="s">
        <v>94</v>
      </c>
      <c r="AE205" s="6">
        <v>14</v>
      </c>
      <c r="AF205" s="6" t="s">
        <v>51</v>
      </c>
      <c r="AG205" s="6" t="s">
        <v>61</v>
      </c>
      <c r="AH205" s="6">
        <v>3.6</v>
      </c>
      <c r="AI205" s="6">
        <v>5</v>
      </c>
      <c r="AJ205" s="6">
        <v>0</v>
      </c>
      <c r="AK205" s="7">
        <v>43497</v>
      </c>
      <c r="AL205" s="6">
        <v>4</v>
      </c>
    </row>
    <row r="206" spans="1:38" x14ac:dyDescent="0.35">
      <c r="A206" s="6" t="s">
        <v>368</v>
      </c>
      <c r="B206" s="6">
        <v>10104</v>
      </c>
      <c r="C206" s="6">
        <v>0</v>
      </c>
      <c r="D206" s="6">
        <v>0</v>
      </c>
      <c r="E206" s="6">
        <v>0</v>
      </c>
      <c r="F206" s="6">
        <v>1</v>
      </c>
      <c r="G206" s="6">
        <v>5</v>
      </c>
      <c r="H206" s="6">
        <v>3</v>
      </c>
      <c r="I206" s="6">
        <v>0</v>
      </c>
      <c r="J206" s="6">
        <v>66738</v>
      </c>
      <c r="K206" s="6">
        <v>0</v>
      </c>
      <c r="L206" s="6">
        <v>20</v>
      </c>
      <c r="M206" s="6" t="s">
        <v>63</v>
      </c>
      <c r="N206" s="6" t="s">
        <v>40</v>
      </c>
      <c r="O206" s="6">
        <v>1040</v>
      </c>
      <c r="P206" s="7">
        <v>20407</v>
      </c>
      <c r="Q206" s="8">
        <v>69</v>
      </c>
      <c r="R206" s="8" t="s">
        <v>96</v>
      </c>
      <c r="S206" s="6" t="s">
        <v>64</v>
      </c>
      <c r="T206" s="6" t="s">
        <v>43</v>
      </c>
      <c r="U206" s="6" t="s">
        <v>44</v>
      </c>
      <c r="V206" s="6" t="s">
        <v>45</v>
      </c>
      <c r="W206" s="6" t="s">
        <v>46</v>
      </c>
      <c r="X206" s="7">
        <v>41923</v>
      </c>
      <c r="Y206" s="8">
        <f t="shared" ca="1" si="3"/>
        <v>11</v>
      </c>
      <c r="Z206" s="7"/>
      <c r="AA206" s="6" t="s">
        <v>47</v>
      </c>
      <c r="AB206" s="6" t="s">
        <v>48</v>
      </c>
      <c r="AC206" s="6" t="s">
        <v>49</v>
      </c>
      <c r="AD206" s="6" t="s">
        <v>68</v>
      </c>
      <c r="AE206" s="6">
        <v>16</v>
      </c>
      <c r="AF206" s="6" t="s">
        <v>60</v>
      </c>
      <c r="AG206" s="6" t="s">
        <v>61</v>
      </c>
      <c r="AH206" s="6">
        <v>4.53</v>
      </c>
      <c r="AI206" s="6">
        <v>5</v>
      </c>
      <c r="AJ206" s="6">
        <v>0</v>
      </c>
      <c r="AK206" s="7">
        <v>43481</v>
      </c>
      <c r="AL206" s="6">
        <v>5</v>
      </c>
    </row>
    <row r="207" spans="1:38" x14ac:dyDescent="0.35">
      <c r="A207" s="6" t="s">
        <v>369</v>
      </c>
      <c r="B207" s="6">
        <v>10303</v>
      </c>
      <c r="C207" s="6">
        <v>0</v>
      </c>
      <c r="D207" s="6">
        <v>0</v>
      </c>
      <c r="E207" s="6">
        <v>0</v>
      </c>
      <c r="F207" s="6">
        <v>4</v>
      </c>
      <c r="G207" s="6">
        <v>5</v>
      </c>
      <c r="H207" s="6">
        <v>1</v>
      </c>
      <c r="I207" s="6">
        <v>0</v>
      </c>
      <c r="J207" s="6">
        <v>52674</v>
      </c>
      <c r="K207" s="6">
        <v>1</v>
      </c>
      <c r="L207" s="6">
        <v>19</v>
      </c>
      <c r="M207" s="6" t="s">
        <v>39</v>
      </c>
      <c r="N207" s="6" t="s">
        <v>40</v>
      </c>
      <c r="O207" s="6">
        <v>2152</v>
      </c>
      <c r="P207" s="7">
        <v>31921</v>
      </c>
      <c r="Q207" s="8">
        <v>38</v>
      </c>
      <c r="R207" s="8" t="s">
        <v>41</v>
      </c>
      <c r="S207" s="6" t="s">
        <v>64</v>
      </c>
      <c r="T207" s="6" t="s">
        <v>43</v>
      </c>
      <c r="U207" s="6" t="s">
        <v>44</v>
      </c>
      <c r="V207" s="6" t="s">
        <v>45</v>
      </c>
      <c r="W207" s="6" t="s">
        <v>102</v>
      </c>
      <c r="X207" s="7">
        <v>41729</v>
      </c>
      <c r="Y207" s="8">
        <f t="shared" ca="1" si="3"/>
        <v>12</v>
      </c>
      <c r="Z207" s="7">
        <v>43105</v>
      </c>
      <c r="AA207" s="6" t="s">
        <v>114</v>
      </c>
      <c r="AB207" s="6" t="s">
        <v>108</v>
      </c>
      <c r="AC207" s="6" t="s">
        <v>49</v>
      </c>
      <c r="AD207" s="6" t="s">
        <v>66</v>
      </c>
      <c r="AE207" s="6">
        <v>20</v>
      </c>
      <c r="AF207" s="6" t="s">
        <v>51</v>
      </c>
      <c r="AG207" s="6" t="s">
        <v>195</v>
      </c>
      <c r="AH207" s="6">
        <v>2.33</v>
      </c>
      <c r="AI207" s="6">
        <v>2</v>
      </c>
      <c r="AJ207" s="6">
        <v>0</v>
      </c>
      <c r="AK207" s="7">
        <v>43346</v>
      </c>
      <c r="AL207" s="6">
        <v>3</v>
      </c>
    </row>
    <row r="208" spans="1:38" x14ac:dyDescent="0.35">
      <c r="A208" s="6" t="s">
        <v>370</v>
      </c>
      <c r="B208" s="6">
        <v>10078</v>
      </c>
      <c r="C208" s="6">
        <v>1</v>
      </c>
      <c r="D208" s="6">
        <v>1</v>
      </c>
      <c r="E208" s="6">
        <v>0</v>
      </c>
      <c r="F208" s="6">
        <v>5</v>
      </c>
      <c r="G208" s="6">
        <v>5</v>
      </c>
      <c r="H208" s="6">
        <v>3</v>
      </c>
      <c r="I208" s="6">
        <v>0</v>
      </c>
      <c r="J208" s="6">
        <v>71966</v>
      </c>
      <c r="K208" s="6">
        <v>1</v>
      </c>
      <c r="L208" s="6">
        <v>20</v>
      </c>
      <c r="M208" s="6" t="s">
        <v>63</v>
      </c>
      <c r="N208" s="6" t="s">
        <v>40</v>
      </c>
      <c r="O208" s="6">
        <v>2492</v>
      </c>
      <c r="P208" s="7">
        <v>30527</v>
      </c>
      <c r="Q208" s="8">
        <v>41</v>
      </c>
      <c r="R208" s="8" t="s">
        <v>41</v>
      </c>
      <c r="S208" s="6" t="s">
        <v>64</v>
      </c>
      <c r="T208" s="6" t="s">
        <v>55</v>
      </c>
      <c r="U208" s="6" t="s">
        <v>44</v>
      </c>
      <c r="V208" s="6" t="s">
        <v>45</v>
      </c>
      <c r="W208" s="6" t="s">
        <v>116</v>
      </c>
      <c r="X208" s="7">
        <v>40677</v>
      </c>
      <c r="Y208" s="8">
        <f t="shared" ca="1" si="3"/>
        <v>15</v>
      </c>
      <c r="Z208" s="7">
        <v>41505</v>
      </c>
      <c r="AA208" s="6" t="s">
        <v>97</v>
      </c>
      <c r="AB208" s="6" t="s">
        <v>57</v>
      </c>
      <c r="AC208" s="6" t="s">
        <v>49</v>
      </c>
      <c r="AD208" s="6" t="s">
        <v>72</v>
      </c>
      <c r="AE208" s="6">
        <v>39</v>
      </c>
      <c r="AF208" s="6" t="s">
        <v>51</v>
      </c>
      <c r="AG208" s="6" t="s">
        <v>61</v>
      </c>
      <c r="AH208" s="6">
        <v>5</v>
      </c>
      <c r="AI208" s="6">
        <v>3</v>
      </c>
      <c r="AJ208" s="6">
        <v>0</v>
      </c>
      <c r="AK208" s="7">
        <v>41312</v>
      </c>
      <c r="AL208" s="6">
        <v>17</v>
      </c>
    </row>
    <row r="209" spans="1:38" x14ac:dyDescent="0.35">
      <c r="A209" s="6" t="s">
        <v>371</v>
      </c>
      <c r="B209" s="6">
        <v>10121</v>
      </c>
      <c r="C209" s="6">
        <v>0</v>
      </c>
      <c r="D209" s="6">
        <v>0</v>
      </c>
      <c r="E209" s="6">
        <v>0</v>
      </c>
      <c r="F209" s="6">
        <v>1</v>
      </c>
      <c r="G209" s="6">
        <v>6</v>
      </c>
      <c r="H209" s="6">
        <v>3</v>
      </c>
      <c r="I209" s="6">
        <v>0</v>
      </c>
      <c r="J209" s="6">
        <v>63051</v>
      </c>
      <c r="K209" s="6">
        <v>0</v>
      </c>
      <c r="L209" s="6">
        <v>3</v>
      </c>
      <c r="M209" s="6" t="s">
        <v>143</v>
      </c>
      <c r="N209" s="6" t="s">
        <v>372</v>
      </c>
      <c r="O209" s="6">
        <v>33174</v>
      </c>
      <c r="P209" s="7">
        <v>31157</v>
      </c>
      <c r="Q209" s="8">
        <v>40</v>
      </c>
      <c r="R209" s="8" t="s">
        <v>41</v>
      </c>
      <c r="S209" s="6" t="s">
        <v>64</v>
      </c>
      <c r="T209" s="6" t="s">
        <v>43</v>
      </c>
      <c r="U209" s="6" t="s">
        <v>44</v>
      </c>
      <c r="V209" s="6" t="s">
        <v>92</v>
      </c>
      <c r="W209" s="6" t="s">
        <v>46</v>
      </c>
      <c r="X209" s="7">
        <v>41547</v>
      </c>
      <c r="Y209" s="8">
        <f t="shared" ca="1" si="3"/>
        <v>12</v>
      </c>
      <c r="Z209" s="7"/>
      <c r="AA209" s="6" t="s">
        <v>47</v>
      </c>
      <c r="AB209" s="6" t="s">
        <v>48</v>
      </c>
      <c r="AC209" s="6" t="s">
        <v>145</v>
      </c>
      <c r="AD209" s="6" t="s">
        <v>164</v>
      </c>
      <c r="AE209" s="6">
        <v>21</v>
      </c>
      <c r="AF209" s="6" t="s">
        <v>60</v>
      </c>
      <c r="AG209" s="6" t="s">
        <v>61</v>
      </c>
      <c r="AH209" s="6">
        <v>4.28</v>
      </c>
      <c r="AI209" s="6">
        <v>3</v>
      </c>
      <c r="AJ209" s="6">
        <v>0</v>
      </c>
      <c r="AK209" s="7">
        <v>43490</v>
      </c>
      <c r="AL209" s="6">
        <v>1</v>
      </c>
    </row>
    <row r="210" spans="1:38" x14ac:dyDescent="0.35">
      <c r="A210" s="6" t="s">
        <v>373</v>
      </c>
      <c r="B210" s="6">
        <v>10021</v>
      </c>
      <c r="C210" s="6">
        <v>1</v>
      </c>
      <c r="D210" s="6">
        <v>1</v>
      </c>
      <c r="E210" s="6">
        <v>1</v>
      </c>
      <c r="F210" s="6">
        <v>1</v>
      </c>
      <c r="G210" s="6">
        <v>5</v>
      </c>
      <c r="H210" s="6">
        <v>4</v>
      </c>
      <c r="I210" s="6">
        <v>0</v>
      </c>
      <c r="J210" s="6">
        <v>47414</v>
      </c>
      <c r="K210" s="6">
        <v>0</v>
      </c>
      <c r="L210" s="6">
        <v>19</v>
      </c>
      <c r="M210" s="6" t="s">
        <v>39</v>
      </c>
      <c r="N210" s="6" t="s">
        <v>40</v>
      </c>
      <c r="O210" s="6">
        <v>2478</v>
      </c>
      <c r="P210" s="7">
        <v>29097</v>
      </c>
      <c r="Q210" s="8">
        <v>45</v>
      </c>
      <c r="R210" s="8" t="s">
        <v>41</v>
      </c>
      <c r="S210" s="6" t="s">
        <v>42</v>
      </c>
      <c r="T210" s="6" t="s">
        <v>55</v>
      </c>
      <c r="U210" s="6" t="s">
        <v>44</v>
      </c>
      <c r="V210" s="6" t="s">
        <v>45</v>
      </c>
      <c r="W210" s="6" t="s">
        <v>46</v>
      </c>
      <c r="X210" s="7">
        <v>41547</v>
      </c>
      <c r="Y210" s="8">
        <f t="shared" ca="1" si="3"/>
        <v>12</v>
      </c>
      <c r="Z210" s="7"/>
      <c r="AA210" s="6" t="s">
        <v>47</v>
      </c>
      <c r="AB210" s="6" t="s">
        <v>48</v>
      </c>
      <c r="AC210" s="6" t="s">
        <v>49</v>
      </c>
      <c r="AD210" s="6" t="s">
        <v>103</v>
      </c>
      <c r="AE210" s="6">
        <v>18</v>
      </c>
      <c r="AF210" s="6" t="s">
        <v>51</v>
      </c>
      <c r="AG210" s="6" t="s">
        <v>52</v>
      </c>
      <c r="AH210" s="6">
        <v>5</v>
      </c>
      <c r="AI210" s="6">
        <v>3</v>
      </c>
      <c r="AJ210" s="6">
        <v>0</v>
      </c>
      <c r="AK210" s="7">
        <v>43648</v>
      </c>
      <c r="AL210" s="6">
        <v>13</v>
      </c>
    </row>
    <row r="211" spans="1:38" x14ac:dyDescent="0.35">
      <c r="A211" s="6" t="s">
        <v>374</v>
      </c>
      <c r="B211" s="6">
        <v>10281</v>
      </c>
      <c r="C211" s="6">
        <v>0</v>
      </c>
      <c r="D211" s="6">
        <v>0</v>
      </c>
      <c r="E211" s="6">
        <v>1</v>
      </c>
      <c r="F211" s="6">
        <v>1</v>
      </c>
      <c r="G211" s="6">
        <v>5</v>
      </c>
      <c r="H211" s="6">
        <v>2</v>
      </c>
      <c r="I211" s="6">
        <v>0</v>
      </c>
      <c r="J211" s="6">
        <v>53060</v>
      </c>
      <c r="K211" s="6">
        <v>0</v>
      </c>
      <c r="L211" s="6">
        <v>19</v>
      </c>
      <c r="M211" s="6" t="s">
        <v>39</v>
      </c>
      <c r="N211" s="6" t="s">
        <v>40</v>
      </c>
      <c r="O211" s="6">
        <v>1760</v>
      </c>
      <c r="P211" s="7">
        <v>28910</v>
      </c>
      <c r="Q211" s="8">
        <v>46</v>
      </c>
      <c r="R211" s="8" t="s">
        <v>41</v>
      </c>
      <c r="S211" s="6" t="s">
        <v>42</v>
      </c>
      <c r="T211" s="6" t="s">
        <v>43</v>
      </c>
      <c r="U211" s="6" t="s">
        <v>44</v>
      </c>
      <c r="V211" s="6" t="s">
        <v>45</v>
      </c>
      <c r="W211" s="6" t="s">
        <v>85</v>
      </c>
      <c r="X211" s="7">
        <v>41687</v>
      </c>
      <c r="Y211" s="8">
        <f t="shared" ca="1" si="3"/>
        <v>12</v>
      </c>
      <c r="Z211" s="7"/>
      <c r="AA211" s="6" t="s">
        <v>47</v>
      </c>
      <c r="AB211" s="6" t="s">
        <v>48</v>
      </c>
      <c r="AC211" s="6" t="s">
        <v>49</v>
      </c>
      <c r="AD211" s="6" t="s">
        <v>50</v>
      </c>
      <c r="AE211" s="6">
        <v>22</v>
      </c>
      <c r="AF211" s="6" t="s">
        <v>51</v>
      </c>
      <c r="AG211" s="6" t="s">
        <v>122</v>
      </c>
      <c r="AH211" s="6">
        <v>4.25</v>
      </c>
      <c r="AI211" s="6">
        <v>3</v>
      </c>
      <c r="AJ211" s="6">
        <v>0</v>
      </c>
      <c r="AK211" s="7">
        <v>43557</v>
      </c>
      <c r="AL211" s="6">
        <v>6</v>
      </c>
    </row>
    <row r="212" spans="1:38" x14ac:dyDescent="0.35">
      <c r="A212" s="6" t="s">
        <v>375</v>
      </c>
      <c r="B212" s="6">
        <v>10041</v>
      </c>
      <c r="C212" s="6">
        <v>0</v>
      </c>
      <c r="D212" s="6">
        <v>0</v>
      </c>
      <c r="E212" s="6">
        <v>1</v>
      </c>
      <c r="F212" s="6">
        <v>1</v>
      </c>
      <c r="G212" s="6">
        <v>6</v>
      </c>
      <c r="H212" s="6">
        <v>3</v>
      </c>
      <c r="I212" s="6">
        <v>0</v>
      </c>
      <c r="J212" s="6">
        <v>68829</v>
      </c>
      <c r="K212" s="6">
        <v>0</v>
      </c>
      <c r="L212" s="6">
        <v>3</v>
      </c>
      <c r="M212" s="6" t="s">
        <v>143</v>
      </c>
      <c r="N212" s="6" t="s">
        <v>376</v>
      </c>
      <c r="O212" s="6">
        <v>27229</v>
      </c>
      <c r="P212" s="7">
        <v>28719</v>
      </c>
      <c r="Q212" s="8">
        <v>46</v>
      </c>
      <c r="R212" s="8" t="s">
        <v>41</v>
      </c>
      <c r="S212" s="6" t="s">
        <v>42</v>
      </c>
      <c r="T212" s="6" t="s">
        <v>43</v>
      </c>
      <c r="U212" s="6" t="s">
        <v>44</v>
      </c>
      <c r="V212" s="6" t="s">
        <v>45</v>
      </c>
      <c r="W212" s="6" t="s">
        <v>46</v>
      </c>
      <c r="X212" s="7">
        <v>42125</v>
      </c>
      <c r="Y212" s="8">
        <f t="shared" ca="1" si="3"/>
        <v>11</v>
      </c>
      <c r="Z212" s="7"/>
      <c r="AA212" s="6" t="s">
        <v>47</v>
      </c>
      <c r="AB212" s="6" t="s">
        <v>48</v>
      </c>
      <c r="AC212" s="6" t="s">
        <v>145</v>
      </c>
      <c r="AD212" s="6" t="s">
        <v>146</v>
      </c>
      <c r="AE212" s="6">
        <v>17</v>
      </c>
      <c r="AF212" s="6" t="s">
        <v>205</v>
      </c>
      <c r="AG212" s="6" t="s">
        <v>61</v>
      </c>
      <c r="AH212" s="6">
        <v>5</v>
      </c>
      <c r="AI212" s="6">
        <v>5</v>
      </c>
      <c r="AJ212" s="6">
        <v>0</v>
      </c>
      <c r="AK212" s="7">
        <v>43479</v>
      </c>
      <c r="AL212" s="6">
        <v>18</v>
      </c>
    </row>
    <row r="213" spans="1:38" x14ac:dyDescent="0.35">
      <c r="A213" s="6" t="s">
        <v>377</v>
      </c>
      <c r="B213" s="6">
        <v>10148</v>
      </c>
      <c r="C213" s="6">
        <v>1</v>
      </c>
      <c r="D213" s="6">
        <v>1</v>
      </c>
      <c r="E213" s="6">
        <v>0</v>
      </c>
      <c r="F213" s="6">
        <v>5</v>
      </c>
      <c r="G213" s="6">
        <v>5</v>
      </c>
      <c r="H213" s="6">
        <v>3</v>
      </c>
      <c r="I213" s="6">
        <v>0</v>
      </c>
      <c r="J213" s="6">
        <v>63515</v>
      </c>
      <c r="K213" s="6">
        <v>1</v>
      </c>
      <c r="L213" s="6">
        <v>19</v>
      </c>
      <c r="M213" s="6" t="s">
        <v>39</v>
      </c>
      <c r="N213" s="6" t="s">
        <v>40</v>
      </c>
      <c r="O213" s="6">
        <v>2351</v>
      </c>
      <c r="P213" s="7">
        <v>28860</v>
      </c>
      <c r="Q213" s="8">
        <v>46</v>
      </c>
      <c r="R213" s="8" t="s">
        <v>41</v>
      </c>
      <c r="S213" s="6" t="s">
        <v>64</v>
      </c>
      <c r="T213" s="6" t="s">
        <v>55</v>
      </c>
      <c r="U213" s="6" t="s">
        <v>44</v>
      </c>
      <c r="V213" s="6" t="s">
        <v>45</v>
      </c>
      <c r="W213" s="6" t="s">
        <v>46</v>
      </c>
      <c r="X213" s="7">
        <v>40726</v>
      </c>
      <c r="Y213" s="8">
        <f t="shared" ca="1" si="3"/>
        <v>15</v>
      </c>
      <c r="Z213" s="7">
        <v>41974</v>
      </c>
      <c r="AA213" s="6" t="s">
        <v>93</v>
      </c>
      <c r="AB213" s="6" t="s">
        <v>57</v>
      </c>
      <c r="AC213" s="6" t="s">
        <v>49</v>
      </c>
      <c r="AD213" s="6" t="s">
        <v>68</v>
      </c>
      <c r="AE213" s="6">
        <v>16</v>
      </c>
      <c r="AF213" s="6" t="s">
        <v>73</v>
      </c>
      <c r="AG213" s="6" t="s">
        <v>61</v>
      </c>
      <c r="AH213" s="6">
        <v>3.89</v>
      </c>
      <c r="AI213" s="6">
        <v>4</v>
      </c>
      <c r="AJ213" s="6">
        <v>0</v>
      </c>
      <c r="AK213" s="7">
        <v>41367</v>
      </c>
      <c r="AL213" s="6">
        <v>7</v>
      </c>
    </row>
    <row r="214" spans="1:38" x14ac:dyDescent="0.35">
      <c r="A214" s="6" t="s">
        <v>378</v>
      </c>
      <c r="B214" s="6">
        <v>10005</v>
      </c>
      <c r="C214" s="6">
        <v>0</v>
      </c>
      <c r="D214" s="6">
        <v>0</v>
      </c>
      <c r="E214" s="6">
        <v>1</v>
      </c>
      <c r="F214" s="6">
        <v>5</v>
      </c>
      <c r="G214" s="6">
        <v>4</v>
      </c>
      <c r="H214" s="6">
        <v>4</v>
      </c>
      <c r="I214" s="6">
        <v>1</v>
      </c>
      <c r="J214" s="6">
        <v>108987</v>
      </c>
      <c r="K214" s="6">
        <v>1</v>
      </c>
      <c r="L214" s="6">
        <v>24</v>
      </c>
      <c r="M214" s="6" t="s">
        <v>77</v>
      </c>
      <c r="N214" s="6" t="s">
        <v>40</v>
      </c>
      <c r="O214" s="6">
        <v>1844</v>
      </c>
      <c r="P214" s="7">
        <v>28906</v>
      </c>
      <c r="Q214" s="8">
        <v>46</v>
      </c>
      <c r="R214" s="8" t="s">
        <v>41</v>
      </c>
      <c r="S214" s="6" t="s">
        <v>42</v>
      </c>
      <c r="T214" s="6" t="s">
        <v>43</v>
      </c>
      <c r="U214" s="6" t="s">
        <v>44</v>
      </c>
      <c r="V214" s="6" t="s">
        <v>45</v>
      </c>
      <c r="W214" s="6" t="s">
        <v>85</v>
      </c>
      <c r="X214" s="7">
        <v>40735</v>
      </c>
      <c r="Y214" s="8">
        <f t="shared" ca="1" si="3"/>
        <v>15</v>
      </c>
      <c r="Z214" s="7">
        <v>42194</v>
      </c>
      <c r="AA214" s="6" t="s">
        <v>93</v>
      </c>
      <c r="AB214" s="6" t="s">
        <v>57</v>
      </c>
      <c r="AC214" s="6" t="s">
        <v>78</v>
      </c>
      <c r="AD214" s="6" t="s">
        <v>79</v>
      </c>
      <c r="AE214" s="6">
        <v>10</v>
      </c>
      <c r="AF214" s="6" t="s">
        <v>87</v>
      </c>
      <c r="AG214" s="6" t="s">
        <v>52</v>
      </c>
      <c r="AH214" s="6">
        <v>5</v>
      </c>
      <c r="AI214" s="6">
        <v>5</v>
      </c>
      <c r="AJ214" s="6">
        <v>3</v>
      </c>
      <c r="AK214" s="7">
        <v>42232</v>
      </c>
      <c r="AL214" s="6">
        <v>13</v>
      </c>
    </row>
    <row r="215" spans="1:38" x14ac:dyDescent="0.35">
      <c r="A215" s="6" t="s">
        <v>379</v>
      </c>
      <c r="B215" s="6">
        <v>10259</v>
      </c>
      <c r="C215" s="6">
        <v>1</v>
      </c>
      <c r="D215" s="6">
        <v>1</v>
      </c>
      <c r="E215" s="6">
        <v>1</v>
      </c>
      <c r="F215" s="6">
        <v>5</v>
      </c>
      <c r="G215" s="6">
        <v>3</v>
      </c>
      <c r="H215" s="6">
        <v>3</v>
      </c>
      <c r="I215" s="6">
        <v>0</v>
      </c>
      <c r="J215" s="6">
        <v>93093</v>
      </c>
      <c r="K215" s="6">
        <v>1</v>
      </c>
      <c r="L215" s="6">
        <v>9</v>
      </c>
      <c r="M215" s="6" t="s">
        <v>99</v>
      </c>
      <c r="N215" s="6" t="s">
        <v>40</v>
      </c>
      <c r="O215" s="6">
        <v>2747</v>
      </c>
      <c r="P215" s="7">
        <v>32219</v>
      </c>
      <c r="Q215" s="8">
        <v>37</v>
      </c>
      <c r="R215" s="8" t="s">
        <v>41</v>
      </c>
      <c r="S215" s="6" t="s">
        <v>42</v>
      </c>
      <c r="T215" s="6" t="s">
        <v>55</v>
      </c>
      <c r="U215" s="6" t="s">
        <v>44</v>
      </c>
      <c r="V215" s="6" t="s">
        <v>45</v>
      </c>
      <c r="W215" s="6" t="s">
        <v>46</v>
      </c>
      <c r="X215" s="7">
        <v>41651</v>
      </c>
      <c r="Y215" s="8">
        <f t="shared" ca="1" si="3"/>
        <v>12</v>
      </c>
      <c r="Z215" s="7">
        <v>42374</v>
      </c>
      <c r="AA215" s="6" t="s">
        <v>114</v>
      </c>
      <c r="AB215" s="6" t="s">
        <v>57</v>
      </c>
      <c r="AC215" s="6" t="s">
        <v>58</v>
      </c>
      <c r="AD215" s="6" t="s">
        <v>59</v>
      </c>
      <c r="AE215" s="6">
        <v>4</v>
      </c>
      <c r="AF215" s="6" t="s">
        <v>83</v>
      </c>
      <c r="AG215" s="6" t="s">
        <v>61</v>
      </c>
      <c r="AH215" s="6">
        <v>4.7</v>
      </c>
      <c r="AI215" s="6">
        <v>4</v>
      </c>
      <c r="AJ215" s="6">
        <v>5</v>
      </c>
      <c r="AK215" s="7">
        <v>43481</v>
      </c>
      <c r="AL215" s="6">
        <v>19</v>
      </c>
    </row>
    <row r="216" spans="1:38" x14ac:dyDescent="0.35">
      <c r="A216" s="6" t="s">
        <v>380</v>
      </c>
      <c r="B216" s="6">
        <v>10286</v>
      </c>
      <c r="C216" s="6">
        <v>0</v>
      </c>
      <c r="D216" s="6">
        <v>0</v>
      </c>
      <c r="E216" s="6">
        <v>1</v>
      </c>
      <c r="F216" s="6">
        <v>5</v>
      </c>
      <c r="G216" s="6">
        <v>5</v>
      </c>
      <c r="H216" s="6">
        <v>2</v>
      </c>
      <c r="I216" s="6">
        <v>0</v>
      </c>
      <c r="J216" s="6">
        <v>53564</v>
      </c>
      <c r="K216" s="6">
        <v>1</v>
      </c>
      <c r="L216" s="6">
        <v>19</v>
      </c>
      <c r="M216" s="6" t="s">
        <v>39</v>
      </c>
      <c r="N216" s="6" t="s">
        <v>40</v>
      </c>
      <c r="O216" s="6">
        <v>2458</v>
      </c>
      <c r="P216" s="7">
        <v>32707</v>
      </c>
      <c r="Q216" s="8">
        <v>36</v>
      </c>
      <c r="R216" s="8" t="s">
        <v>41</v>
      </c>
      <c r="S216" s="6" t="s">
        <v>42</v>
      </c>
      <c r="T216" s="6" t="s">
        <v>43</v>
      </c>
      <c r="U216" s="6" t="s">
        <v>44</v>
      </c>
      <c r="V216" s="6" t="s">
        <v>45</v>
      </c>
      <c r="W216" s="6" t="s">
        <v>85</v>
      </c>
      <c r="X216" s="7">
        <v>40817</v>
      </c>
      <c r="Y216" s="8">
        <f t="shared" ca="1" si="3"/>
        <v>14</v>
      </c>
      <c r="Z216" s="7">
        <v>43097</v>
      </c>
      <c r="AA216" s="6" t="s">
        <v>56</v>
      </c>
      <c r="AB216" s="6" t="s">
        <v>57</v>
      </c>
      <c r="AC216" s="6" t="s">
        <v>49</v>
      </c>
      <c r="AD216" s="6" t="s">
        <v>72</v>
      </c>
      <c r="AE216" s="6">
        <v>39</v>
      </c>
      <c r="AF216" s="6" t="s">
        <v>73</v>
      </c>
      <c r="AG216" s="6" t="s">
        <v>122</v>
      </c>
      <c r="AH216" s="6">
        <v>3.54</v>
      </c>
      <c r="AI216" s="6">
        <v>5</v>
      </c>
      <c r="AJ216" s="6">
        <v>0</v>
      </c>
      <c r="AK216" s="7">
        <v>42890</v>
      </c>
      <c r="AL216" s="6">
        <v>15</v>
      </c>
    </row>
    <row r="217" spans="1:38" x14ac:dyDescent="0.35">
      <c r="A217" s="6" t="s">
        <v>381</v>
      </c>
      <c r="B217" s="6">
        <v>10297</v>
      </c>
      <c r="C217" s="6">
        <v>1</v>
      </c>
      <c r="D217" s="6">
        <v>1</v>
      </c>
      <c r="E217" s="6">
        <v>0</v>
      </c>
      <c r="F217" s="6">
        <v>5</v>
      </c>
      <c r="G217" s="6">
        <v>5</v>
      </c>
      <c r="H217" s="6">
        <v>2</v>
      </c>
      <c r="I217" s="6">
        <v>0</v>
      </c>
      <c r="J217" s="6">
        <v>60270</v>
      </c>
      <c r="K217" s="6">
        <v>1</v>
      </c>
      <c r="L217" s="6">
        <v>20</v>
      </c>
      <c r="M217" s="6" t="s">
        <v>63</v>
      </c>
      <c r="N217" s="6" t="s">
        <v>40</v>
      </c>
      <c r="O217" s="6">
        <v>2472</v>
      </c>
      <c r="P217" s="7">
        <v>31613</v>
      </c>
      <c r="Q217" s="8">
        <v>39</v>
      </c>
      <c r="R217" s="8" t="s">
        <v>41</v>
      </c>
      <c r="S217" s="6" t="s">
        <v>64</v>
      </c>
      <c r="T217" s="6" t="s">
        <v>55</v>
      </c>
      <c r="U217" s="6" t="s">
        <v>44</v>
      </c>
      <c r="V217" s="6" t="s">
        <v>45</v>
      </c>
      <c r="W217" s="6" t="s">
        <v>116</v>
      </c>
      <c r="X217" s="7">
        <v>40670</v>
      </c>
      <c r="Y217" s="8">
        <f t="shared" ca="1" si="3"/>
        <v>15</v>
      </c>
      <c r="Z217" s="7">
        <v>42262</v>
      </c>
      <c r="AA217" s="6" t="s">
        <v>97</v>
      </c>
      <c r="AB217" s="6" t="s">
        <v>57</v>
      </c>
      <c r="AC217" s="6" t="s">
        <v>49</v>
      </c>
      <c r="AD217" s="6" t="s">
        <v>75</v>
      </c>
      <c r="AE217" s="6">
        <v>11</v>
      </c>
      <c r="AF217" s="6" t="s">
        <v>121</v>
      </c>
      <c r="AG217" s="6" t="s">
        <v>122</v>
      </c>
      <c r="AH217" s="6">
        <v>2.4</v>
      </c>
      <c r="AI217" s="6">
        <v>5</v>
      </c>
      <c r="AJ217" s="6">
        <v>0</v>
      </c>
      <c r="AK217" s="7">
        <v>42157</v>
      </c>
      <c r="AL217" s="6">
        <v>2</v>
      </c>
    </row>
    <row r="218" spans="1:38" x14ac:dyDescent="0.35">
      <c r="A218" s="6" t="s">
        <v>382</v>
      </c>
      <c r="B218" s="6">
        <v>10171</v>
      </c>
      <c r="C218" s="6">
        <v>0</v>
      </c>
      <c r="D218" s="6">
        <v>0</v>
      </c>
      <c r="E218" s="6">
        <v>0</v>
      </c>
      <c r="F218" s="6">
        <v>5</v>
      </c>
      <c r="G218" s="6">
        <v>5</v>
      </c>
      <c r="H218" s="6">
        <v>3</v>
      </c>
      <c r="I218" s="6">
        <v>0</v>
      </c>
      <c r="J218" s="6">
        <v>45998</v>
      </c>
      <c r="K218" s="6">
        <v>1</v>
      </c>
      <c r="L218" s="6">
        <v>19</v>
      </c>
      <c r="M218" s="6" t="s">
        <v>39</v>
      </c>
      <c r="N218" s="6" t="s">
        <v>40</v>
      </c>
      <c r="O218" s="6">
        <v>2176</v>
      </c>
      <c r="P218" s="7">
        <v>31641</v>
      </c>
      <c r="Q218" s="8">
        <v>38</v>
      </c>
      <c r="R218" s="8" t="s">
        <v>41</v>
      </c>
      <c r="S218" s="6" t="s">
        <v>64</v>
      </c>
      <c r="T218" s="6" t="s">
        <v>43</v>
      </c>
      <c r="U218" s="6" t="s">
        <v>44</v>
      </c>
      <c r="V218" s="6" t="s">
        <v>45</v>
      </c>
      <c r="W218" s="6" t="s">
        <v>46</v>
      </c>
      <c r="X218" s="7">
        <v>40679</v>
      </c>
      <c r="Y218" s="8">
        <f t="shared" ca="1" si="3"/>
        <v>15</v>
      </c>
      <c r="Z218" s="7">
        <v>42302</v>
      </c>
      <c r="AA218" s="6" t="s">
        <v>383</v>
      </c>
      <c r="AB218" s="6" t="s">
        <v>57</v>
      </c>
      <c r="AC218" s="6" t="s">
        <v>49</v>
      </c>
      <c r="AD218" s="6" t="s">
        <v>75</v>
      </c>
      <c r="AE218" s="6">
        <v>11</v>
      </c>
      <c r="AF218" s="6" t="s">
        <v>51</v>
      </c>
      <c r="AG218" s="6" t="s">
        <v>61</v>
      </c>
      <c r="AH218" s="6">
        <v>3.45</v>
      </c>
      <c r="AI218" s="6">
        <v>4</v>
      </c>
      <c r="AJ218" s="6">
        <v>0</v>
      </c>
      <c r="AK218" s="7">
        <v>41772</v>
      </c>
      <c r="AL218" s="6">
        <v>5</v>
      </c>
    </row>
    <row r="219" spans="1:38" x14ac:dyDescent="0.35">
      <c r="A219" s="6" t="s">
        <v>384</v>
      </c>
      <c r="B219" s="6">
        <v>10032</v>
      </c>
      <c r="C219" s="6">
        <v>1</v>
      </c>
      <c r="D219" s="6">
        <v>1</v>
      </c>
      <c r="E219" s="6">
        <v>0</v>
      </c>
      <c r="F219" s="6">
        <v>5</v>
      </c>
      <c r="G219" s="6">
        <v>5</v>
      </c>
      <c r="H219" s="6">
        <v>4</v>
      </c>
      <c r="I219" s="6">
        <v>0</v>
      </c>
      <c r="J219" s="6">
        <v>57954</v>
      </c>
      <c r="K219" s="6">
        <v>1</v>
      </c>
      <c r="L219" s="6">
        <v>20</v>
      </c>
      <c r="M219" s="6" t="s">
        <v>63</v>
      </c>
      <c r="N219" s="6" t="s">
        <v>40</v>
      </c>
      <c r="O219" s="6">
        <v>1886</v>
      </c>
      <c r="P219" s="7">
        <v>30941</v>
      </c>
      <c r="Q219" s="8">
        <v>40</v>
      </c>
      <c r="R219" s="8" t="s">
        <v>41</v>
      </c>
      <c r="S219" s="6" t="s">
        <v>64</v>
      </c>
      <c r="T219" s="6" t="s">
        <v>55</v>
      </c>
      <c r="U219" s="6" t="s">
        <v>44</v>
      </c>
      <c r="V219" s="6" t="s">
        <v>45</v>
      </c>
      <c r="W219" s="6" t="s">
        <v>46</v>
      </c>
      <c r="X219" s="7">
        <v>40679</v>
      </c>
      <c r="Y219" s="8">
        <f t="shared" ca="1" si="3"/>
        <v>15</v>
      </c>
      <c r="Z219" s="7">
        <v>41366</v>
      </c>
      <c r="AA219" s="6" t="s">
        <v>197</v>
      </c>
      <c r="AB219" s="6" t="s">
        <v>57</v>
      </c>
      <c r="AC219" s="6" t="s">
        <v>49</v>
      </c>
      <c r="AD219" s="6" t="s">
        <v>82</v>
      </c>
      <c r="AE219" s="6">
        <v>19</v>
      </c>
      <c r="AF219" s="6" t="s">
        <v>60</v>
      </c>
      <c r="AG219" s="6" t="s">
        <v>52</v>
      </c>
      <c r="AH219" s="6">
        <v>4.2</v>
      </c>
      <c r="AI219" s="6">
        <v>5</v>
      </c>
      <c r="AJ219" s="6">
        <v>0</v>
      </c>
      <c r="AK219" s="7">
        <v>41548</v>
      </c>
      <c r="AL219" s="6">
        <v>12</v>
      </c>
    </row>
    <row r="220" spans="1:38" x14ac:dyDescent="0.35">
      <c r="A220" s="6" t="s">
        <v>385</v>
      </c>
      <c r="B220" s="6">
        <v>10130</v>
      </c>
      <c r="C220" s="6">
        <v>1</v>
      </c>
      <c r="D220" s="6">
        <v>1</v>
      </c>
      <c r="E220" s="6">
        <v>0</v>
      </c>
      <c r="F220" s="6">
        <v>5</v>
      </c>
      <c r="G220" s="6">
        <v>5</v>
      </c>
      <c r="H220" s="6">
        <v>3</v>
      </c>
      <c r="I220" s="6">
        <v>0</v>
      </c>
      <c r="J220" s="6">
        <v>74669</v>
      </c>
      <c r="K220" s="6">
        <v>1</v>
      </c>
      <c r="L220" s="6">
        <v>18</v>
      </c>
      <c r="M220" s="6" t="s">
        <v>133</v>
      </c>
      <c r="N220" s="6" t="s">
        <v>40</v>
      </c>
      <c r="O220" s="6">
        <v>2030</v>
      </c>
      <c r="P220" s="7">
        <v>29913</v>
      </c>
      <c r="Q220" s="8">
        <v>43</v>
      </c>
      <c r="R220" s="8" t="s">
        <v>41</v>
      </c>
      <c r="S220" s="6" t="s">
        <v>64</v>
      </c>
      <c r="T220" s="6" t="s">
        <v>55</v>
      </c>
      <c r="U220" s="6" t="s">
        <v>44</v>
      </c>
      <c r="V220" s="6" t="s">
        <v>45</v>
      </c>
      <c r="W220" s="6" t="s">
        <v>46</v>
      </c>
      <c r="X220" s="7">
        <v>40476</v>
      </c>
      <c r="Y220" s="8">
        <f t="shared" ca="1" si="3"/>
        <v>15</v>
      </c>
      <c r="Z220" s="7">
        <v>42597</v>
      </c>
      <c r="AA220" s="6" t="s">
        <v>93</v>
      </c>
      <c r="AB220" s="6" t="s">
        <v>57</v>
      </c>
      <c r="AC220" s="6" t="s">
        <v>49</v>
      </c>
      <c r="AD220" s="6" t="s">
        <v>135</v>
      </c>
      <c r="AE220" s="6">
        <v>2</v>
      </c>
      <c r="AF220" s="6" t="s">
        <v>60</v>
      </c>
      <c r="AG220" s="6" t="s">
        <v>61</v>
      </c>
      <c r="AH220" s="6">
        <v>4.16</v>
      </c>
      <c r="AI220" s="6">
        <v>5</v>
      </c>
      <c r="AJ220" s="6">
        <v>0</v>
      </c>
      <c r="AK220" s="7">
        <v>42127</v>
      </c>
      <c r="AL220" s="6">
        <v>6</v>
      </c>
    </row>
    <row r="221" spans="1:38" x14ac:dyDescent="0.35">
      <c r="A221" s="6" t="s">
        <v>386</v>
      </c>
      <c r="B221" s="6">
        <v>10217</v>
      </c>
      <c r="C221" s="6">
        <v>1</v>
      </c>
      <c r="D221" s="6">
        <v>1</v>
      </c>
      <c r="E221" s="6">
        <v>0</v>
      </c>
      <c r="F221" s="6">
        <v>1</v>
      </c>
      <c r="G221" s="6">
        <v>5</v>
      </c>
      <c r="H221" s="6">
        <v>3</v>
      </c>
      <c r="I221" s="6">
        <v>0</v>
      </c>
      <c r="J221" s="6">
        <v>74226</v>
      </c>
      <c r="K221" s="6">
        <v>0</v>
      </c>
      <c r="L221" s="6">
        <v>20</v>
      </c>
      <c r="M221" s="6" t="s">
        <v>63</v>
      </c>
      <c r="N221" s="6" t="s">
        <v>40</v>
      </c>
      <c r="O221" s="6">
        <v>2050</v>
      </c>
      <c r="P221" s="7">
        <v>32384</v>
      </c>
      <c r="Q221" s="8">
        <v>36</v>
      </c>
      <c r="R221" s="8" t="s">
        <v>41</v>
      </c>
      <c r="S221" s="6" t="s">
        <v>64</v>
      </c>
      <c r="T221" s="6" t="s">
        <v>55</v>
      </c>
      <c r="U221" s="6" t="s">
        <v>111</v>
      </c>
      <c r="V221" s="6" t="s">
        <v>45</v>
      </c>
      <c r="W221" s="6" t="s">
        <v>116</v>
      </c>
      <c r="X221" s="7">
        <v>40943</v>
      </c>
      <c r="Y221" s="8">
        <f t="shared" ca="1" si="3"/>
        <v>14</v>
      </c>
      <c r="Z221" s="7"/>
      <c r="AA221" s="6" t="s">
        <v>47</v>
      </c>
      <c r="AB221" s="6" t="s">
        <v>48</v>
      </c>
      <c r="AC221" s="6" t="s">
        <v>49</v>
      </c>
      <c r="AD221" s="6" t="s">
        <v>86</v>
      </c>
      <c r="AE221" s="6">
        <v>12</v>
      </c>
      <c r="AF221" s="6" t="s">
        <v>51</v>
      </c>
      <c r="AG221" s="6" t="s">
        <v>61</v>
      </c>
      <c r="AH221" s="6">
        <v>4.3</v>
      </c>
      <c r="AI221" s="6">
        <v>3</v>
      </c>
      <c r="AJ221" s="6">
        <v>0</v>
      </c>
      <c r="AK221" s="7">
        <v>43479</v>
      </c>
      <c r="AL221" s="6">
        <v>14</v>
      </c>
    </row>
    <row r="222" spans="1:38" x14ac:dyDescent="0.35">
      <c r="A222" s="6" t="s">
        <v>387</v>
      </c>
      <c r="B222" s="6">
        <v>10016</v>
      </c>
      <c r="C222" s="6">
        <v>1</v>
      </c>
      <c r="D222" s="6">
        <v>1</v>
      </c>
      <c r="E222" s="6">
        <v>0</v>
      </c>
      <c r="F222" s="6">
        <v>1</v>
      </c>
      <c r="G222" s="6">
        <v>3</v>
      </c>
      <c r="H222" s="6">
        <v>4</v>
      </c>
      <c r="I222" s="6">
        <v>0</v>
      </c>
      <c r="J222" s="6">
        <v>93554</v>
      </c>
      <c r="K222" s="6">
        <v>0</v>
      </c>
      <c r="L222" s="6">
        <v>9</v>
      </c>
      <c r="M222" s="6" t="s">
        <v>99</v>
      </c>
      <c r="N222" s="6" t="s">
        <v>40</v>
      </c>
      <c r="O222" s="6">
        <v>1886</v>
      </c>
      <c r="P222" s="7">
        <v>30970</v>
      </c>
      <c r="Q222" s="8">
        <v>40</v>
      </c>
      <c r="R222" s="8" t="s">
        <v>41</v>
      </c>
      <c r="S222" s="6" t="s">
        <v>64</v>
      </c>
      <c r="T222" s="6" t="s">
        <v>55</v>
      </c>
      <c r="U222" s="6" t="s">
        <v>44</v>
      </c>
      <c r="V222" s="6" t="s">
        <v>45</v>
      </c>
      <c r="W222" s="6" t="s">
        <v>85</v>
      </c>
      <c r="X222" s="7">
        <v>41923</v>
      </c>
      <c r="Y222" s="8">
        <f t="shared" ca="1" si="3"/>
        <v>11</v>
      </c>
      <c r="Z222" s="7"/>
      <c r="AA222" s="6" t="s">
        <v>47</v>
      </c>
      <c r="AB222" s="6" t="s">
        <v>48</v>
      </c>
      <c r="AC222" s="6" t="s">
        <v>58</v>
      </c>
      <c r="AD222" s="6" t="s">
        <v>59</v>
      </c>
      <c r="AE222" s="6">
        <v>4</v>
      </c>
      <c r="AF222" s="6" t="s">
        <v>83</v>
      </c>
      <c r="AG222" s="6" t="s">
        <v>52</v>
      </c>
      <c r="AH222" s="6">
        <v>4.5999999999999996</v>
      </c>
      <c r="AI222" s="6">
        <v>5</v>
      </c>
      <c r="AJ222" s="6">
        <v>7</v>
      </c>
      <c r="AK222" s="7">
        <v>43556</v>
      </c>
      <c r="AL222" s="6">
        <v>16</v>
      </c>
    </row>
    <row r="223" spans="1:38" x14ac:dyDescent="0.35">
      <c r="A223" s="6" t="s">
        <v>388</v>
      </c>
      <c r="B223" s="6">
        <v>10050</v>
      </c>
      <c r="C223" s="6">
        <v>1</v>
      </c>
      <c r="D223" s="6">
        <v>1</v>
      </c>
      <c r="E223" s="6">
        <v>1</v>
      </c>
      <c r="F223" s="6">
        <v>5</v>
      </c>
      <c r="G223" s="6">
        <v>5</v>
      </c>
      <c r="H223" s="6">
        <v>3</v>
      </c>
      <c r="I223" s="6">
        <v>0</v>
      </c>
      <c r="J223" s="6">
        <v>64724</v>
      </c>
      <c r="K223" s="6">
        <v>1</v>
      </c>
      <c r="L223" s="6">
        <v>19</v>
      </c>
      <c r="M223" s="6" t="s">
        <v>39</v>
      </c>
      <c r="N223" s="6" t="s">
        <v>40</v>
      </c>
      <c r="O223" s="6">
        <v>2451</v>
      </c>
      <c r="P223" s="7">
        <v>22451</v>
      </c>
      <c r="Q223" s="8">
        <v>64</v>
      </c>
      <c r="R223" s="8" t="s">
        <v>96</v>
      </c>
      <c r="S223" s="6" t="s">
        <v>42</v>
      </c>
      <c r="T223" s="6" t="s">
        <v>55</v>
      </c>
      <c r="U223" s="6" t="s">
        <v>44</v>
      </c>
      <c r="V223" s="6" t="s">
        <v>45</v>
      </c>
      <c r="W223" s="6" t="s">
        <v>116</v>
      </c>
      <c r="X223" s="7">
        <v>40670</v>
      </c>
      <c r="Y223" s="8">
        <f t="shared" ca="1" si="3"/>
        <v>15</v>
      </c>
      <c r="Z223" s="7">
        <v>41243</v>
      </c>
      <c r="AA223" s="6" t="s">
        <v>197</v>
      </c>
      <c r="AB223" s="6" t="s">
        <v>57</v>
      </c>
      <c r="AC223" s="6" t="s">
        <v>49</v>
      </c>
      <c r="AD223" s="6" t="s">
        <v>86</v>
      </c>
      <c r="AE223" s="6">
        <v>12</v>
      </c>
      <c r="AF223" s="6" t="s">
        <v>73</v>
      </c>
      <c r="AG223" s="6" t="s">
        <v>61</v>
      </c>
      <c r="AH223" s="6">
        <v>5</v>
      </c>
      <c r="AI223" s="6">
        <v>3</v>
      </c>
      <c r="AJ223" s="6">
        <v>0</v>
      </c>
      <c r="AK223" s="7">
        <v>40959</v>
      </c>
      <c r="AL223" s="6">
        <v>13</v>
      </c>
    </row>
    <row r="224" spans="1:38" x14ac:dyDescent="0.35">
      <c r="A224" s="6" t="s">
        <v>389</v>
      </c>
      <c r="B224" s="6">
        <v>10164</v>
      </c>
      <c r="C224" s="6">
        <v>0</v>
      </c>
      <c r="D224" s="6">
        <v>0</v>
      </c>
      <c r="E224" s="6">
        <v>1</v>
      </c>
      <c r="F224" s="6">
        <v>1</v>
      </c>
      <c r="G224" s="6">
        <v>5</v>
      </c>
      <c r="H224" s="6">
        <v>3</v>
      </c>
      <c r="I224" s="6">
        <v>0</v>
      </c>
      <c r="J224" s="6">
        <v>47001</v>
      </c>
      <c r="K224" s="6">
        <v>0</v>
      </c>
      <c r="L224" s="6">
        <v>19</v>
      </c>
      <c r="M224" s="6" t="s">
        <v>39</v>
      </c>
      <c r="N224" s="6" t="s">
        <v>40</v>
      </c>
      <c r="O224" s="6">
        <v>2451</v>
      </c>
      <c r="P224" s="7">
        <v>25833</v>
      </c>
      <c r="Q224" s="8">
        <v>54</v>
      </c>
      <c r="R224" s="8" t="s">
        <v>41</v>
      </c>
      <c r="S224" s="6" t="s">
        <v>42</v>
      </c>
      <c r="T224" s="6" t="s">
        <v>43</v>
      </c>
      <c r="U224" s="6" t="s">
        <v>44</v>
      </c>
      <c r="V224" s="6" t="s">
        <v>45</v>
      </c>
      <c r="W224" s="6" t="s">
        <v>46</v>
      </c>
      <c r="X224" s="7">
        <v>39213</v>
      </c>
      <c r="Y224" s="8">
        <f t="shared" ca="1" si="3"/>
        <v>19</v>
      </c>
      <c r="Z224" s="7"/>
      <c r="AA224" s="6" t="s">
        <v>47</v>
      </c>
      <c r="AB224" s="6" t="s">
        <v>48</v>
      </c>
      <c r="AC224" s="6" t="s">
        <v>49</v>
      </c>
      <c r="AD224" s="6" t="s">
        <v>94</v>
      </c>
      <c r="AE224" s="6">
        <v>14</v>
      </c>
      <c r="AF224" s="6" t="s">
        <v>73</v>
      </c>
      <c r="AG224" s="6" t="s">
        <v>61</v>
      </c>
      <c r="AH224" s="6">
        <v>3.66</v>
      </c>
      <c r="AI224" s="6">
        <v>3</v>
      </c>
      <c r="AJ224" s="6">
        <v>0</v>
      </c>
      <c r="AK224" s="7">
        <v>43521</v>
      </c>
      <c r="AL224" s="6">
        <v>15</v>
      </c>
    </row>
    <row r="225" spans="1:38" x14ac:dyDescent="0.35">
      <c r="A225" s="6" t="s">
        <v>390</v>
      </c>
      <c r="B225" s="6">
        <v>10124</v>
      </c>
      <c r="C225" s="6">
        <v>1</v>
      </c>
      <c r="D225" s="6">
        <v>1</v>
      </c>
      <c r="E225" s="6">
        <v>0</v>
      </c>
      <c r="F225" s="6">
        <v>1</v>
      </c>
      <c r="G225" s="6">
        <v>6</v>
      </c>
      <c r="H225" s="6">
        <v>3</v>
      </c>
      <c r="I225" s="6">
        <v>0</v>
      </c>
      <c r="J225" s="6">
        <v>61844</v>
      </c>
      <c r="K225" s="6">
        <v>0</v>
      </c>
      <c r="L225" s="6">
        <v>3</v>
      </c>
      <c r="M225" s="6" t="s">
        <v>143</v>
      </c>
      <c r="N225" s="6" t="s">
        <v>391</v>
      </c>
      <c r="O225" s="6">
        <v>40220</v>
      </c>
      <c r="P225" s="7">
        <v>31047</v>
      </c>
      <c r="Q225" s="8">
        <v>40</v>
      </c>
      <c r="R225" s="8" t="s">
        <v>41</v>
      </c>
      <c r="S225" s="6" t="s">
        <v>64</v>
      </c>
      <c r="T225" s="6" t="s">
        <v>55</v>
      </c>
      <c r="U225" s="6" t="s">
        <v>44</v>
      </c>
      <c r="V225" s="6" t="s">
        <v>45</v>
      </c>
      <c r="W225" s="6" t="s">
        <v>85</v>
      </c>
      <c r="X225" s="7">
        <v>41153</v>
      </c>
      <c r="Y225" s="8">
        <f t="shared" ca="1" si="3"/>
        <v>13</v>
      </c>
      <c r="Z225" s="7"/>
      <c r="AA225" s="6" t="s">
        <v>47</v>
      </c>
      <c r="AB225" s="6" t="s">
        <v>48</v>
      </c>
      <c r="AC225" s="6" t="s">
        <v>145</v>
      </c>
      <c r="AD225" s="6" t="s">
        <v>164</v>
      </c>
      <c r="AE225" s="6">
        <v>21</v>
      </c>
      <c r="AF225" s="6" t="s">
        <v>205</v>
      </c>
      <c r="AG225" s="6" t="s">
        <v>61</v>
      </c>
      <c r="AH225" s="6">
        <v>4.2</v>
      </c>
      <c r="AI225" s="6">
        <v>5</v>
      </c>
      <c r="AJ225" s="6">
        <v>0</v>
      </c>
      <c r="AK225" s="7">
        <v>43467</v>
      </c>
      <c r="AL225" s="6">
        <v>9</v>
      </c>
    </row>
    <row r="226" spans="1:38" x14ac:dyDescent="0.35">
      <c r="A226" s="6" t="s">
        <v>392</v>
      </c>
      <c r="B226" s="6">
        <v>10187</v>
      </c>
      <c r="C226" s="6">
        <v>0</v>
      </c>
      <c r="D226" s="6">
        <v>2</v>
      </c>
      <c r="E226" s="6">
        <v>0</v>
      </c>
      <c r="F226" s="6">
        <v>5</v>
      </c>
      <c r="G226" s="6">
        <v>5</v>
      </c>
      <c r="H226" s="6">
        <v>3</v>
      </c>
      <c r="I226" s="6">
        <v>0</v>
      </c>
      <c r="J226" s="6">
        <v>46799</v>
      </c>
      <c r="K226" s="6">
        <v>1</v>
      </c>
      <c r="L226" s="6">
        <v>19</v>
      </c>
      <c r="M226" s="6" t="s">
        <v>39</v>
      </c>
      <c r="N226" s="6" t="s">
        <v>40</v>
      </c>
      <c r="O226" s="6">
        <v>1742</v>
      </c>
      <c r="P226" s="7">
        <v>30154</v>
      </c>
      <c r="Q226" s="8">
        <v>43</v>
      </c>
      <c r="R226" s="8" t="s">
        <v>41</v>
      </c>
      <c r="S226" s="6" t="s">
        <v>64</v>
      </c>
      <c r="T226" s="6" t="s">
        <v>70</v>
      </c>
      <c r="U226" s="6" t="s">
        <v>111</v>
      </c>
      <c r="V226" s="6" t="s">
        <v>45</v>
      </c>
      <c r="W226" s="6" t="s">
        <v>116</v>
      </c>
      <c r="X226" s="7">
        <v>40679</v>
      </c>
      <c r="Y226" s="8">
        <f t="shared" ca="1" si="3"/>
        <v>15</v>
      </c>
      <c r="Z226" s="7">
        <v>43196</v>
      </c>
      <c r="AA226" s="6" t="s">
        <v>93</v>
      </c>
      <c r="AB226" s="6" t="s">
        <v>57</v>
      </c>
      <c r="AC226" s="6" t="s">
        <v>49</v>
      </c>
      <c r="AD226" s="6" t="s">
        <v>66</v>
      </c>
      <c r="AE226" s="6">
        <v>20</v>
      </c>
      <c r="AF226" s="6" t="s">
        <v>73</v>
      </c>
      <c r="AG226" s="6" t="s">
        <v>61</v>
      </c>
      <c r="AH226" s="6">
        <v>3.17</v>
      </c>
      <c r="AI226" s="6">
        <v>4</v>
      </c>
      <c r="AJ226" s="6">
        <v>0</v>
      </c>
      <c r="AK226" s="7">
        <v>43135</v>
      </c>
      <c r="AL226" s="6">
        <v>14</v>
      </c>
    </row>
    <row r="227" spans="1:38" x14ac:dyDescent="0.35">
      <c r="A227" s="6" t="s">
        <v>393</v>
      </c>
      <c r="B227" s="6">
        <v>10225</v>
      </c>
      <c r="C227" s="6">
        <v>0</v>
      </c>
      <c r="D227" s="6">
        <v>0</v>
      </c>
      <c r="E227" s="6">
        <v>1</v>
      </c>
      <c r="F227" s="6">
        <v>1</v>
      </c>
      <c r="G227" s="6">
        <v>5</v>
      </c>
      <c r="H227" s="6">
        <v>3</v>
      </c>
      <c r="I227" s="6">
        <v>0</v>
      </c>
      <c r="J227" s="6">
        <v>59472</v>
      </c>
      <c r="K227" s="6">
        <v>0</v>
      </c>
      <c r="L227" s="6">
        <v>19</v>
      </c>
      <c r="M227" s="6" t="s">
        <v>39</v>
      </c>
      <c r="N227" s="6" t="s">
        <v>40</v>
      </c>
      <c r="O227" s="6">
        <v>2109</v>
      </c>
      <c r="P227" s="7">
        <v>31075</v>
      </c>
      <c r="Q227" s="8">
        <v>40</v>
      </c>
      <c r="R227" s="8" t="s">
        <v>41</v>
      </c>
      <c r="S227" s="6" t="s">
        <v>42</v>
      </c>
      <c r="T227" s="6" t="s">
        <v>43</v>
      </c>
      <c r="U227" s="6" t="s">
        <v>44</v>
      </c>
      <c r="V227" s="6" t="s">
        <v>45</v>
      </c>
      <c r="W227" s="6" t="s">
        <v>46</v>
      </c>
      <c r="X227" s="7">
        <v>41791</v>
      </c>
      <c r="Y227" s="8">
        <f t="shared" ca="1" si="3"/>
        <v>12</v>
      </c>
      <c r="Z227" s="7"/>
      <c r="AA227" s="6" t="s">
        <v>47</v>
      </c>
      <c r="AB227" s="6" t="s">
        <v>48</v>
      </c>
      <c r="AC227" s="6" t="s">
        <v>49</v>
      </c>
      <c r="AD227" s="6" t="s">
        <v>103</v>
      </c>
      <c r="AE227" s="6">
        <v>18</v>
      </c>
      <c r="AF227" s="6" t="s">
        <v>83</v>
      </c>
      <c r="AG227" s="6" t="s">
        <v>61</v>
      </c>
      <c r="AH227" s="6">
        <v>4.8</v>
      </c>
      <c r="AI227" s="6">
        <v>3</v>
      </c>
      <c r="AJ227" s="6">
        <v>0</v>
      </c>
      <c r="AK227" s="7">
        <v>43647</v>
      </c>
      <c r="AL227" s="6">
        <v>14</v>
      </c>
    </row>
    <row r="228" spans="1:38" x14ac:dyDescent="0.35">
      <c r="A228" s="6" t="s">
        <v>394</v>
      </c>
      <c r="B228" s="6">
        <v>10262</v>
      </c>
      <c r="C228" s="6">
        <v>0</v>
      </c>
      <c r="D228" s="6">
        <v>2</v>
      </c>
      <c r="E228" s="6">
        <v>0</v>
      </c>
      <c r="F228" s="6">
        <v>5</v>
      </c>
      <c r="G228" s="6">
        <v>5</v>
      </c>
      <c r="H228" s="6">
        <v>3</v>
      </c>
      <c r="I228" s="6">
        <v>0</v>
      </c>
      <c r="J228" s="6">
        <v>46430</v>
      </c>
      <c r="K228" s="6">
        <v>1</v>
      </c>
      <c r="L228" s="6">
        <v>19</v>
      </c>
      <c r="M228" s="6" t="s">
        <v>39</v>
      </c>
      <c r="N228" s="6" t="s">
        <v>40</v>
      </c>
      <c r="O228" s="6">
        <v>2474</v>
      </c>
      <c r="P228" s="7">
        <v>26811</v>
      </c>
      <c r="Q228" s="8">
        <v>52</v>
      </c>
      <c r="R228" s="8" t="s">
        <v>41</v>
      </c>
      <c r="S228" s="6" t="s">
        <v>64</v>
      </c>
      <c r="T228" s="6" t="s">
        <v>70</v>
      </c>
      <c r="U228" s="6" t="s">
        <v>44</v>
      </c>
      <c r="V228" s="6" t="s">
        <v>45</v>
      </c>
      <c r="W228" s="6" t="s">
        <v>46</v>
      </c>
      <c r="X228" s="7">
        <v>41176</v>
      </c>
      <c r="Y228" s="8">
        <f t="shared" ca="1" si="3"/>
        <v>13</v>
      </c>
      <c r="Z228" s="7">
        <v>41443</v>
      </c>
      <c r="AA228" s="6" t="s">
        <v>97</v>
      </c>
      <c r="AB228" s="6" t="s">
        <v>57</v>
      </c>
      <c r="AC228" s="6" t="s">
        <v>49</v>
      </c>
      <c r="AD228" s="6" t="s">
        <v>66</v>
      </c>
      <c r="AE228" s="6">
        <v>20</v>
      </c>
      <c r="AF228" s="6" t="s">
        <v>60</v>
      </c>
      <c r="AG228" s="6" t="s">
        <v>61</v>
      </c>
      <c r="AH228" s="6">
        <v>4.5</v>
      </c>
      <c r="AI228" s="6">
        <v>5</v>
      </c>
      <c r="AJ228" s="6">
        <v>0</v>
      </c>
      <c r="AK228" s="7">
        <v>41309</v>
      </c>
      <c r="AL228" s="6">
        <v>16</v>
      </c>
    </row>
    <row r="229" spans="1:38" x14ac:dyDescent="0.35">
      <c r="A229" s="6" t="s">
        <v>395</v>
      </c>
      <c r="B229" s="6">
        <v>10131</v>
      </c>
      <c r="C229" s="6">
        <v>1</v>
      </c>
      <c r="D229" s="6">
        <v>1</v>
      </c>
      <c r="E229" s="6">
        <v>1</v>
      </c>
      <c r="F229" s="6">
        <v>5</v>
      </c>
      <c r="G229" s="6">
        <v>1</v>
      </c>
      <c r="H229" s="6">
        <v>3</v>
      </c>
      <c r="I229" s="6">
        <v>1</v>
      </c>
      <c r="J229" s="6">
        <v>83363</v>
      </c>
      <c r="K229" s="6">
        <v>1</v>
      </c>
      <c r="L229" s="6">
        <v>23</v>
      </c>
      <c r="M229" s="6" t="s">
        <v>77</v>
      </c>
      <c r="N229" s="6" t="s">
        <v>40</v>
      </c>
      <c r="O229" s="6">
        <v>2045</v>
      </c>
      <c r="P229" s="7">
        <v>26624</v>
      </c>
      <c r="Q229" s="8">
        <v>52</v>
      </c>
      <c r="R229" s="8" t="s">
        <v>41</v>
      </c>
      <c r="S229" s="6" t="s">
        <v>42</v>
      </c>
      <c r="T229" s="6" t="s">
        <v>55</v>
      </c>
      <c r="U229" s="6" t="s">
        <v>111</v>
      </c>
      <c r="V229" s="6" t="s">
        <v>45</v>
      </c>
      <c r="W229" s="6" t="s">
        <v>85</v>
      </c>
      <c r="X229" s="7">
        <v>40595</v>
      </c>
      <c r="Y229" s="8">
        <f t="shared" ca="1" si="3"/>
        <v>15</v>
      </c>
      <c r="Z229" s="7">
        <v>42231</v>
      </c>
      <c r="AA229" s="6" t="s">
        <v>56</v>
      </c>
      <c r="AB229" s="6" t="s">
        <v>57</v>
      </c>
      <c r="AC229" s="6" t="s">
        <v>78</v>
      </c>
      <c r="AD229" s="6" t="s">
        <v>135</v>
      </c>
      <c r="AE229" s="6">
        <v>2</v>
      </c>
      <c r="AF229" s="6" t="s">
        <v>87</v>
      </c>
      <c r="AG229" s="6" t="s">
        <v>61</v>
      </c>
      <c r="AH229" s="6">
        <v>4.1500000000000004</v>
      </c>
      <c r="AI229" s="6">
        <v>4</v>
      </c>
      <c r="AJ229" s="6">
        <v>0</v>
      </c>
      <c r="AK229" s="7">
        <v>41748</v>
      </c>
      <c r="AL229" s="6">
        <v>4</v>
      </c>
    </row>
    <row r="230" spans="1:38" x14ac:dyDescent="0.35">
      <c r="A230" s="6" t="s">
        <v>396</v>
      </c>
      <c r="B230" s="6">
        <v>10239</v>
      </c>
      <c r="C230" s="6">
        <v>1</v>
      </c>
      <c r="D230" s="6">
        <v>1</v>
      </c>
      <c r="E230" s="6">
        <v>0</v>
      </c>
      <c r="F230" s="6">
        <v>1</v>
      </c>
      <c r="G230" s="6">
        <v>3</v>
      </c>
      <c r="H230" s="6">
        <v>3</v>
      </c>
      <c r="I230" s="6">
        <v>0</v>
      </c>
      <c r="J230" s="6">
        <v>95920</v>
      </c>
      <c r="K230" s="6">
        <v>0</v>
      </c>
      <c r="L230" s="6">
        <v>4</v>
      </c>
      <c r="M230" s="6" t="s">
        <v>200</v>
      </c>
      <c r="N230" s="6" t="s">
        <v>40</v>
      </c>
      <c r="O230" s="6">
        <v>2110</v>
      </c>
      <c r="P230" s="7">
        <v>31854</v>
      </c>
      <c r="Q230" s="8">
        <v>38</v>
      </c>
      <c r="R230" s="8" t="s">
        <v>41</v>
      </c>
      <c r="S230" s="6" t="s">
        <v>64</v>
      </c>
      <c r="T230" s="6" t="s">
        <v>55</v>
      </c>
      <c r="U230" s="6" t="s">
        <v>44</v>
      </c>
      <c r="V230" s="6" t="s">
        <v>45</v>
      </c>
      <c r="W230" s="6" t="s">
        <v>85</v>
      </c>
      <c r="X230" s="7">
        <v>42410</v>
      </c>
      <c r="Y230" s="8">
        <f t="shared" ca="1" si="3"/>
        <v>10</v>
      </c>
      <c r="Z230" s="7"/>
      <c r="AA230" s="6" t="s">
        <v>47</v>
      </c>
      <c r="AB230" s="6" t="s">
        <v>48</v>
      </c>
      <c r="AC230" s="6" t="s">
        <v>58</v>
      </c>
      <c r="AD230" s="6" t="s">
        <v>201</v>
      </c>
      <c r="AE230" s="6">
        <v>13</v>
      </c>
      <c r="AF230" s="6" t="s">
        <v>60</v>
      </c>
      <c r="AG230" s="6" t="s">
        <v>61</v>
      </c>
      <c r="AH230" s="6">
        <v>4.4000000000000004</v>
      </c>
      <c r="AI230" s="6">
        <v>4</v>
      </c>
      <c r="AJ230" s="6">
        <v>6</v>
      </c>
      <c r="AK230" s="7">
        <v>43618</v>
      </c>
      <c r="AL230" s="6">
        <v>10</v>
      </c>
    </row>
    <row r="231" spans="1:38" x14ac:dyDescent="0.35">
      <c r="A231" s="6" t="s">
        <v>397</v>
      </c>
      <c r="B231" s="6">
        <v>10152</v>
      </c>
      <c r="C231" s="6">
        <v>0</v>
      </c>
      <c r="D231" s="6">
        <v>2</v>
      </c>
      <c r="E231" s="6">
        <v>1</v>
      </c>
      <c r="F231" s="6">
        <v>5</v>
      </c>
      <c r="G231" s="6">
        <v>5</v>
      </c>
      <c r="H231" s="6">
        <v>3</v>
      </c>
      <c r="I231" s="6">
        <v>0</v>
      </c>
      <c r="J231" s="6">
        <v>61729</v>
      </c>
      <c r="K231" s="6">
        <v>1</v>
      </c>
      <c r="L231" s="6">
        <v>19</v>
      </c>
      <c r="M231" s="6" t="s">
        <v>39</v>
      </c>
      <c r="N231" s="6" t="s">
        <v>40</v>
      </c>
      <c r="O231" s="6">
        <v>2478</v>
      </c>
      <c r="P231" s="7">
        <v>31617</v>
      </c>
      <c r="Q231" s="8">
        <v>38</v>
      </c>
      <c r="R231" s="8" t="s">
        <v>41</v>
      </c>
      <c r="S231" s="6" t="s">
        <v>42</v>
      </c>
      <c r="T231" s="6" t="s">
        <v>70</v>
      </c>
      <c r="U231" s="6" t="s">
        <v>44</v>
      </c>
      <c r="V231" s="6" t="s">
        <v>45</v>
      </c>
      <c r="W231" s="6" t="s">
        <v>46</v>
      </c>
      <c r="X231" s="7">
        <v>40812</v>
      </c>
      <c r="Y231" s="8">
        <f t="shared" ca="1" si="3"/>
        <v>14</v>
      </c>
      <c r="Z231" s="7">
        <v>43285</v>
      </c>
      <c r="AA231" s="6" t="s">
        <v>197</v>
      </c>
      <c r="AB231" s="6" t="s">
        <v>57</v>
      </c>
      <c r="AC231" s="6" t="s">
        <v>49</v>
      </c>
      <c r="AD231" s="6" t="s">
        <v>50</v>
      </c>
      <c r="AE231" s="6">
        <v>22</v>
      </c>
      <c r="AF231" s="6" t="s">
        <v>60</v>
      </c>
      <c r="AG231" s="6" t="s">
        <v>61</v>
      </c>
      <c r="AH231" s="6">
        <v>3.8</v>
      </c>
      <c r="AI231" s="6">
        <v>5</v>
      </c>
      <c r="AJ231" s="6">
        <v>0</v>
      </c>
      <c r="AK231" s="7">
        <v>43192</v>
      </c>
      <c r="AL231" s="6">
        <v>19</v>
      </c>
    </row>
    <row r="232" spans="1:38" x14ac:dyDescent="0.35">
      <c r="A232" s="6" t="s">
        <v>398</v>
      </c>
      <c r="B232" s="6">
        <v>10140</v>
      </c>
      <c r="C232" s="6">
        <v>1</v>
      </c>
      <c r="D232" s="6">
        <v>1</v>
      </c>
      <c r="E232" s="6">
        <v>1</v>
      </c>
      <c r="F232" s="6">
        <v>1</v>
      </c>
      <c r="G232" s="6">
        <v>6</v>
      </c>
      <c r="H232" s="6">
        <v>3</v>
      </c>
      <c r="I232" s="6">
        <v>0</v>
      </c>
      <c r="J232" s="6">
        <v>61809</v>
      </c>
      <c r="K232" s="6">
        <v>0</v>
      </c>
      <c r="L232" s="6">
        <v>3</v>
      </c>
      <c r="M232" s="6" t="s">
        <v>143</v>
      </c>
      <c r="N232" s="6" t="s">
        <v>399</v>
      </c>
      <c r="O232" s="6">
        <v>83706</v>
      </c>
      <c r="P232" s="7">
        <v>27384</v>
      </c>
      <c r="Q232" s="8">
        <v>50</v>
      </c>
      <c r="R232" s="8" t="s">
        <v>41</v>
      </c>
      <c r="S232" s="6" t="s">
        <v>42</v>
      </c>
      <c r="T232" s="6" t="s">
        <v>55</v>
      </c>
      <c r="U232" s="6" t="s">
        <v>44</v>
      </c>
      <c r="V232" s="6" t="s">
        <v>45</v>
      </c>
      <c r="W232" s="6" t="s">
        <v>46</v>
      </c>
      <c r="X232" s="7">
        <v>41978</v>
      </c>
      <c r="Y232" s="8">
        <f t="shared" ca="1" si="3"/>
        <v>11</v>
      </c>
      <c r="Z232" s="7"/>
      <c r="AA232" s="6" t="s">
        <v>47</v>
      </c>
      <c r="AB232" s="6" t="s">
        <v>48</v>
      </c>
      <c r="AC232" s="6" t="s">
        <v>145</v>
      </c>
      <c r="AD232" s="6" t="s">
        <v>146</v>
      </c>
      <c r="AE232" s="6">
        <v>17</v>
      </c>
      <c r="AF232" s="6" t="s">
        <v>121</v>
      </c>
      <c r="AG232" s="6" t="s">
        <v>61</v>
      </c>
      <c r="AH232" s="6">
        <v>3.98</v>
      </c>
      <c r="AI232" s="6">
        <v>3</v>
      </c>
      <c r="AJ232" s="6">
        <v>0</v>
      </c>
      <c r="AK232" s="7">
        <v>43493</v>
      </c>
      <c r="AL232" s="6">
        <v>4</v>
      </c>
    </row>
    <row r="233" spans="1:38" x14ac:dyDescent="0.35">
      <c r="A233" s="6" t="s">
        <v>400</v>
      </c>
      <c r="B233" s="6">
        <v>10058</v>
      </c>
      <c r="C233" s="6">
        <v>0</v>
      </c>
      <c r="D233" s="6">
        <v>2</v>
      </c>
      <c r="E233" s="6">
        <v>1</v>
      </c>
      <c r="F233" s="6">
        <v>5</v>
      </c>
      <c r="G233" s="6">
        <v>5</v>
      </c>
      <c r="H233" s="6">
        <v>3</v>
      </c>
      <c r="I233" s="6">
        <v>0</v>
      </c>
      <c r="J233" s="6">
        <v>45115</v>
      </c>
      <c r="K233" s="6">
        <v>1</v>
      </c>
      <c r="L233" s="6">
        <v>19</v>
      </c>
      <c r="M233" s="6" t="s">
        <v>39</v>
      </c>
      <c r="N233" s="6" t="s">
        <v>40</v>
      </c>
      <c r="O233" s="6">
        <v>2176</v>
      </c>
      <c r="P233" s="7">
        <v>31528</v>
      </c>
      <c r="Q233" s="8">
        <v>39</v>
      </c>
      <c r="R233" s="8" t="s">
        <v>41</v>
      </c>
      <c r="S233" s="6" t="s">
        <v>42</v>
      </c>
      <c r="T233" s="6" t="s">
        <v>70</v>
      </c>
      <c r="U233" s="6" t="s">
        <v>44</v>
      </c>
      <c r="V233" s="6" t="s">
        <v>92</v>
      </c>
      <c r="W233" s="6" t="s">
        <v>46</v>
      </c>
      <c r="X233" s="7">
        <v>40679</v>
      </c>
      <c r="Y233" s="8">
        <f t="shared" ca="1" si="3"/>
        <v>15</v>
      </c>
      <c r="Z233" s="7">
        <v>42384</v>
      </c>
      <c r="AA233" s="6" t="s">
        <v>134</v>
      </c>
      <c r="AB233" s="6" t="s">
        <v>57</v>
      </c>
      <c r="AC233" s="6" t="s">
        <v>49</v>
      </c>
      <c r="AD233" s="6" t="s">
        <v>68</v>
      </c>
      <c r="AE233" s="6">
        <v>16</v>
      </c>
      <c r="AF233" s="6" t="s">
        <v>51</v>
      </c>
      <c r="AG233" s="6" t="s">
        <v>61</v>
      </c>
      <c r="AH233" s="6">
        <v>5</v>
      </c>
      <c r="AI233" s="6">
        <v>4</v>
      </c>
      <c r="AJ233" s="6">
        <v>0</v>
      </c>
      <c r="AK233" s="7">
        <v>42093</v>
      </c>
      <c r="AL233" s="6">
        <v>11</v>
      </c>
    </row>
    <row r="234" spans="1:38" x14ac:dyDescent="0.35">
      <c r="A234" s="6" t="s">
        <v>401</v>
      </c>
      <c r="B234" s="6">
        <v>10011</v>
      </c>
      <c r="C234" s="6">
        <v>1</v>
      </c>
      <c r="D234" s="6">
        <v>1</v>
      </c>
      <c r="E234" s="6">
        <v>0</v>
      </c>
      <c r="F234" s="6">
        <v>1</v>
      </c>
      <c r="G234" s="6">
        <v>5</v>
      </c>
      <c r="H234" s="6">
        <v>4</v>
      </c>
      <c r="I234" s="6">
        <v>0</v>
      </c>
      <c r="J234" s="6">
        <v>46738</v>
      </c>
      <c r="K234" s="6">
        <v>0</v>
      </c>
      <c r="L234" s="6">
        <v>19</v>
      </c>
      <c r="M234" s="6" t="s">
        <v>39</v>
      </c>
      <c r="N234" s="6" t="s">
        <v>40</v>
      </c>
      <c r="O234" s="6">
        <v>2171</v>
      </c>
      <c r="P234" s="7">
        <v>32128</v>
      </c>
      <c r="Q234" s="8">
        <v>37</v>
      </c>
      <c r="R234" s="8" t="s">
        <v>41</v>
      </c>
      <c r="S234" s="6" t="s">
        <v>64</v>
      </c>
      <c r="T234" s="6" t="s">
        <v>55</v>
      </c>
      <c r="U234" s="6" t="s">
        <v>44</v>
      </c>
      <c r="V234" s="6" t="s">
        <v>45</v>
      </c>
      <c r="W234" s="6" t="s">
        <v>116</v>
      </c>
      <c r="X234" s="7">
        <v>40875</v>
      </c>
      <c r="Y234" s="8">
        <f t="shared" ca="1" si="3"/>
        <v>14</v>
      </c>
      <c r="Z234" s="7"/>
      <c r="AA234" s="6" t="s">
        <v>47</v>
      </c>
      <c r="AB234" s="6" t="s">
        <v>48</v>
      </c>
      <c r="AC234" s="6" t="s">
        <v>49</v>
      </c>
      <c r="AD234" s="6" t="s">
        <v>72</v>
      </c>
      <c r="AE234" s="6"/>
      <c r="AF234" s="6" t="s">
        <v>73</v>
      </c>
      <c r="AG234" s="6" t="s">
        <v>52</v>
      </c>
      <c r="AH234" s="6">
        <v>4.3600000000000003</v>
      </c>
      <c r="AI234" s="6">
        <v>5</v>
      </c>
      <c r="AJ234" s="6">
        <v>0</v>
      </c>
      <c r="AK234" s="7">
        <v>43771</v>
      </c>
      <c r="AL234" s="6">
        <v>16</v>
      </c>
    </row>
    <row r="235" spans="1:38" x14ac:dyDescent="0.35">
      <c r="A235" s="6" t="s">
        <v>402</v>
      </c>
      <c r="B235" s="6">
        <v>10230</v>
      </c>
      <c r="C235" s="6">
        <v>0</v>
      </c>
      <c r="D235" s="6">
        <v>2</v>
      </c>
      <c r="E235" s="6">
        <v>0</v>
      </c>
      <c r="F235" s="6">
        <v>5</v>
      </c>
      <c r="G235" s="6">
        <v>5</v>
      </c>
      <c r="H235" s="6">
        <v>3</v>
      </c>
      <c r="I235" s="6">
        <v>0</v>
      </c>
      <c r="J235" s="6">
        <v>64971</v>
      </c>
      <c r="K235" s="6">
        <v>1</v>
      </c>
      <c r="L235" s="6">
        <v>20</v>
      </c>
      <c r="M235" s="6" t="s">
        <v>63</v>
      </c>
      <c r="N235" s="6" t="s">
        <v>40</v>
      </c>
      <c r="O235" s="6">
        <v>1902</v>
      </c>
      <c r="P235" s="7">
        <v>29690</v>
      </c>
      <c r="Q235" s="8">
        <v>44</v>
      </c>
      <c r="R235" s="8" t="s">
        <v>41</v>
      </c>
      <c r="S235" s="6" t="s">
        <v>64</v>
      </c>
      <c r="T235" s="6" t="s">
        <v>70</v>
      </c>
      <c r="U235" s="6" t="s">
        <v>111</v>
      </c>
      <c r="V235" s="6" t="s">
        <v>45</v>
      </c>
      <c r="W235" s="6" t="s">
        <v>85</v>
      </c>
      <c r="X235" s="7">
        <v>40812</v>
      </c>
      <c r="Y235" s="8">
        <f t="shared" ca="1" si="3"/>
        <v>14</v>
      </c>
      <c r="Z235" s="7">
        <v>40838</v>
      </c>
      <c r="AA235" s="6" t="s">
        <v>71</v>
      </c>
      <c r="AB235" s="6" t="s">
        <v>57</v>
      </c>
      <c r="AC235" s="6" t="s">
        <v>49</v>
      </c>
      <c r="AD235" s="6" t="s">
        <v>94</v>
      </c>
      <c r="AE235" s="6">
        <v>14</v>
      </c>
      <c r="AF235" s="6" t="s">
        <v>73</v>
      </c>
      <c r="AG235" s="6" t="s">
        <v>61</v>
      </c>
      <c r="AH235" s="6">
        <v>4.5</v>
      </c>
      <c r="AI235" s="6">
        <v>4</v>
      </c>
      <c r="AJ235" s="6">
        <v>0</v>
      </c>
      <c r="AK235" s="7">
        <v>40838</v>
      </c>
      <c r="AL235" s="6">
        <v>10</v>
      </c>
    </row>
    <row r="236" spans="1:38" x14ac:dyDescent="0.35">
      <c r="A236" s="6" t="s">
        <v>403</v>
      </c>
      <c r="B236" s="6">
        <v>10224</v>
      </c>
      <c r="C236" s="6">
        <v>1</v>
      </c>
      <c r="D236" s="6">
        <v>1</v>
      </c>
      <c r="E236" s="6">
        <v>1</v>
      </c>
      <c r="F236" s="6">
        <v>5</v>
      </c>
      <c r="G236" s="6">
        <v>5</v>
      </c>
      <c r="H236" s="6">
        <v>3</v>
      </c>
      <c r="I236" s="6">
        <v>0</v>
      </c>
      <c r="J236" s="6">
        <v>55578</v>
      </c>
      <c r="K236" s="6">
        <v>1</v>
      </c>
      <c r="L236" s="6">
        <v>20</v>
      </c>
      <c r="M236" s="6" t="s">
        <v>63</v>
      </c>
      <c r="N236" s="6" t="s">
        <v>40</v>
      </c>
      <c r="O236" s="6">
        <v>2138</v>
      </c>
      <c r="P236" s="7">
        <v>31283</v>
      </c>
      <c r="Q236" s="8">
        <v>39</v>
      </c>
      <c r="R236" s="8" t="s">
        <v>41</v>
      </c>
      <c r="S236" s="6" t="s">
        <v>42</v>
      </c>
      <c r="T236" s="6" t="s">
        <v>55</v>
      </c>
      <c r="U236" s="6" t="s">
        <v>44</v>
      </c>
      <c r="V236" s="6" t="s">
        <v>45</v>
      </c>
      <c r="W236" s="6" t="s">
        <v>46</v>
      </c>
      <c r="X236" s="7">
        <v>40670</v>
      </c>
      <c r="Y236" s="8">
        <f t="shared" ca="1" si="3"/>
        <v>15</v>
      </c>
      <c r="Z236" s="7">
        <v>41123</v>
      </c>
      <c r="AA236" s="6" t="s">
        <v>93</v>
      </c>
      <c r="AB236" s="6" t="s">
        <v>57</v>
      </c>
      <c r="AC236" s="6" t="s">
        <v>49</v>
      </c>
      <c r="AD236" s="6" t="s">
        <v>66</v>
      </c>
      <c r="AE236" s="6">
        <v>20</v>
      </c>
      <c r="AF236" s="6" t="s">
        <v>60</v>
      </c>
      <c r="AG236" s="6" t="s">
        <v>61</v>
      </c>
      <c r="AH236" s="6">
        <v>4.2</v>
      </c>
      <c r="AI236" s="6">
        <v>5</v>
      </c>
      <c r="AJ236" s="6">
        <v>0</v>
      </c>
      <c r="AK236" s="7">
        <v>41061</v>
      </c>
      <c r="AL236" s="6">
        <v>13</v>
      </c>
    </row>
    <row r="237" spans="1:38" x14ac:dyDescent="0.35">
      <c r="A237" s="6" t="s">
        <v>404</v>
      </c>
      <c r="B237" s="6">
        <v>10047</v>
      </c>
      <c r="C237" s="6">
        <v>1</v>
      </c>
      <c r="D237" s="6">
        <v>1</v>
      </c>
      <c r="E237" s="6">
        <v>1</v>
      </c>
      <c r="F237" s="6">
        <v>5</v>
      </c>
      <c r="G237" s="6">
        <v>5</v>
      </c>
      <c r="H237" s="6">
        <v>3</v>
      </c>
      <c r="I237" s="6">
        <v>0</v>
      </c>
      <c r="J237" s="6">
        <v>50428</v>
      </c>
      <c r="K237" s="6">
        <v>1</v>
      </c>
      <c r="L237" s="6">
        <v>19</v>
      </c>
      <c r="M237" s="6" t="s">
        <v>39</v>
      </c>
      <c r="N237" s="6" t="s">
        <v>40</v>
      </c>
      <c r="O237" s="6">
        <v>1420</v>
      </c>
      <c r="P237" s="7">
        <v>32282</v>
      </c>
      <c r="Q237" s="8">
        <v>37</v>
      </c>
      <c r="R237" s="8" t="s">
        <v>41</v>
      </c>
      <c r="S237" s="6" t="s">
        <v>42</v>
      </c>
      <c r="T237" s="6" t="s">
        <v>55</v>
      </c>
      <c r="U237" s="6" t="s">
        <v>44</v>
      </c>
      <c r="V237" s="6" t="s">
        <v>45</v>
      </c>
      <c r="W237" s="6" t="s">
        <v>85</v>
      </c>
      <c r="X237" s="7">
        <v>40817</v>
      </c>
      <c r="Y237" s="8">
        <f t="shared" ca="1" si="3"/>
        <v>14</v>
      </c>
      <c r="Z237" s="7">
        <v>42395</v>
      </c>
      <c r="AA237" s="6" t="s">
        <v>107</v>
      </c>
      <c r="AB237" s="6" t="s">
        <v>57</v>
      </c>
      <c r="AC237" s="6" t="s">
        <v>49</v>
      </c>
      <c r="AD237" s="6" t="s">
        <v>75</v>
      </c>
      <c r="AE237" s="6">
        <v>11</v>
      </c>
      <c r="AF237" s="6" t="s">
        <v>60</v>
      </c>
      <c r="AG237" s="6" t="s">
        <v>61</v>
      </c>
      <c r="AH237" s="6">
        <v>5</v>
      </c>
      <c r="AI237" s="6">
        <v>3</v>
      </c>
      <c r="AJ237" s="6">
        <v>0</v>
      </c>
      <c r="AK237" s="7">
        <v>42278</v>
      </c>
      <c r="AL237" s="6">
        <v>11</v>
      </c>
    </row>
    <row r="238" spans="1:38" x14ac:dyDescent="0.35">
      <c r="A238" s="6" t="s">
        <v>405</v>
      </c>
      <c r="B238" s="6">
        <v>10285</v>
      </c>
      <c r="C238" s="6">
        <v>1</v>
      </c>
      <c r="D238" s="6">
        <v>1</v>
      </c>
      <c r="E238" s="6">
        <v>0</v>
      </c>
      <c r="F238" s="6">
        <v>4</v>
      </c>
      <c r="G238" s="6">
        <v>5</v>
      </c>
      <c r="H238" s="6">
        <v>2</v>
      </c>
      <c r="I238" s="6">
        <v>0</v>
      </c>
      <c r="J238" s="6">
        <v>61422</v>
      </c>
      <c r="K238" s="6">
        <v>1</v>
      </c>
      <c r="L238" s="6">
        <v>19</v>
      </c>
      <c r="M238" s="6" t="s">
        <v>39</v>
      </c>
      <c r="N238" s="6" t="s">
        <v>40</v>
      </c>
      <c r="O238" s="6">
        <v>1460</v>
      </c>
      <c r="P238" s="7">
        <v>32106</v>
      </c>
      <c r="Q238" s="8">
        <v>37</v>
      </c>
      <c r="R238" s="8" t="s">
        <v>41</v>
      </c>
      <c r="S238" s="6" t="s">
        <v>64</v>
      </c>
      <c r="T238" s="6" t="s">
        <v>55</v>
      </c>
      <c r="U238" s="6" t="s">
        <v>44</v>
      </c>
      <c r="V238" s="6" t="s">
        <v>45</v>
      </c>
      <c r="W238" s="6" t="s">
        <v>46</v>
      </c>
      <c r="X238" s="7">
        <v>40817</v>
      </c>
      <c r="Y238" s="8">
        <f t="shared" ca="1" si="3"/>
        <v>14</v>
      </c>
      <c r="Z238" s="7">
        <v>42507</v>
      </c>
      <c r="AA238" s="6" t="s">
        <v>107</v>
      </c>
      <c r="AB238" s="6" t="s">
        <v>108</v>
      </c>
      <c r="AC238" s="6" t="s">
        <v>49</v>
      </c>
      <c r="AD238" s="6" t="s">
        <v>82</v>
      </c>
      <c r="AE238" s="6">
        <v>19</v>
      </c>
      <c r="AF238" s="6" t="s">
        <v>60</v>
      </c>
      <c r="AG238" s="6" t="s">
        <v>122</v>
      </c>
      <c r="AH238" s="6">
        <v>3.6</v>
      </c>
      <c r="AI238" s="6">
        <v>3</v>
      </c>
      <c r="AJ238" s="6">
        <v>0</v>
      </c>
      <c r="AK238" s="7">
        <v>42494</v>
      </c>
      <c r="AL238" s="6">
        <v>16</v>
      </c>
    </row>
    <row r="239" spans="1:38" x14ac:dyDescent="0.35">
      <c r="A239" s="6" t="s">
        <v>406</v>
      </c>
      <c r="B239" s="6">
        <v>10020</v>
      </c>
      <c r="C239" s="6">
        <v>0</v>
      </c>
      <c r="D239" s="6">
        <v>4</v>
      </c>
      <c r="E239" s="6">
        <v>1</v>
      </c>
      <c r="F239" s="6">
        <v>1</v>
      </c>
      <c r="G239" s="6">
        <v>5</v>
      </c>
      <c r="H239" s="6">
        <v>4</v>
      </c>
      <c r="I239" s="6">
        <v>0</v>
      </c>
      <c r="J239" s="6">
        <v>63353</v>
      </c>
      <c r="K239" s="6">
        <v>0</v>
      </c>
      <c r="L239" s="6">
        <v>19</v>
      </c>
      <c r="M239" s="6" t="s">
        <v>39</v>
      </c>
      <c r="N239" s="6" t="s">
        <v>40</v>
      </c>
      <c r="O239" s="6">
        <v>1730</v>
      </c>
      <c r="P239" s="7">
        <v>23314</v>
      </c>
      <c r="Q239" s="8">
        <v>61</v>
      </c>
      <c r="R239" s="8" t="s">
        <v>96</v>
      </c>
      <c r="S239" s="6" t="s">
        <v>42</v>
      </c>
      <c r="T239" s="6" t="s">
        <v>81</v>
      </c>
      <c r="U239" s="6" t="s">
        <v>44</v>
      </c>
      <c r="V239" s="6" t="s">
        <v>45</v>
      </c>
      <c r="W239" s="6" t="s">
        <v>46</v>
      </c>
      <c r="X239" s="7">
        <v>41493</v>
      </c>
      <c r="Y239" s="8">
        <f t="shared" ca="1" si="3"/>
        <v>12</v>
      </c>
      <c r="Z239" s="7"/>
      <c r="AA239" s="6" t="s">
        <v>47</v>
      </c>
      <c r="AB239" s="6" t="s">
        <v>48</v>
      </c>
      <c r="AC239" s="6" t="s">
        <v>49</v>
      </c>
      <c r="AD239" s="6" t="s">
        <v>86</v>
      </c>
      <c r="AE239" s="6">
        <v>12</v>
      </c>
      <c r="AF239" s="6" t="s">
        <v>83</v>
      </c>
      <c r="AG239" s="6" t="s">
        <v>52</v>
      </c>
      <c r="AH239" s="6">
        <v>3.6</v>
      </c>
      <c r="AI239" s="6">
        <v>5</v>
      </c>
      <c r="AJ239" s="6">
        <v>0</v>
      </c>
      <c r="AK239" s="7">
        <v>43771</v>
      </c>
      <c r="AL239" s="6">
        <v>4</v>
      </c>
    </row>
    <row r="240" spans="1:38" x14ac:dyDescent="0.35">
      <c r="A240" s="6" t="s">
        <v>407</v>
      </c>
      <c r="B240" s="6">
        <v>10162</v>
      </c>
      <c r="C240" s="6">
        <v>1</v>
      </c>
      <c r="D240" s="6">
        <v>1</v>
      </c>
      <c r="E240" s="6">
        <v>0</v>
      </c>
      <c r="F240" s="6">
        <v>1</v>
      </c>
      <c r="G240" s="6">
        <v>3</v>
      </c>
      <c r="H240" s="6">
        <v>3</v>
      </c>
      <c r="I240" s="6">
        <v>0</v>
      </c>
      <c r="J240" s="6">
        <v>89883</v>
      </c>
      <c r="K240" s="6">
        <v>0</v>
      </c>
      <c r="L240" s="6">
        <v>9</v>
      </c>
      <c r="M240" s="6" t="s">
        <v>99</v>
      </c>
      <c r="N240" s="6" t="s">
        <v>40</v>
      </c>
      <c r="O240" s="6">
        <v>1886</v>
      </c>
      <c r="P240" s="7">
        <v>30910</v>
      </c>
      <c r="Q240" s="8">
        <v>40</v>
      </c>
      <c r="R240" s="8" t="s">
        <v>41</v>
      </c>
      <c r="S240" s="6" t="s">
        <v>64</v>
      </c>
      <c r="T240" s="6" t="s">
        <v>55</v>
      </c>
      <c r="U240" s="6" t="s">
        <v>44</v>
      </c>
      <c r="V240" s="6" t="s">
        <v>45</v>
      </c>
      <c r="W240" s="6" t="s">
        <v>46</v>
      </c>
      <c r="X240" s="7">
        <v>42051</v>
      </c>
      <c r="Y240" s="8">
        <f t="shared" ca="1" si="3"/>
        <v>11</v>
      </c>
      <c r="Z240" s="7"/>
      <c r="AA240" s="6" t="s">
        <v>47</v>
      </c>
      <c r="AB240" s="6" t="s">
        <v>48</v>
      </c>
      <c r="AC240" s="6" t="s">
        <v>58</v>
      </c>
      <c r="AD240" s="6" t="s">
        <v>59</v>
      </c>
      <c r="AE240" s="6">
        <v>4</v>
      </c>
      <c r="AF240" s="6" t="s">
        <v>83</v>
      </c>
      <c r="AG240" s="6" t="s">
        <v>61</v>
      </c>
      <c r="AH240" s="6">
        <v>3.69</v>
      </c>
      <c r="AI240" s="6">
        <v>5</v>
      </c>
      <c r="AJ240" s="6">
        <v>6</v>
      </c>
      <c r="AK240" s="7">
        <v>43510</v>
      </c>
      <c r="AL240" s="6">
        <v>15</v>
      </c>
    </row>
    <row r="241" spans="1:38" x14ac:dyDescent="0.35">
      <c r="A241" s="6" t="s">
        <v>408</v>
      </c>
      <c r="B241" s="6">
        <v>10149</v>
      </c>
      <c r="C241" s="6">
        <v>0</v>
      </c>
      <c r="D241" s="6">
        <v>0</v>
      </c>
      <c r="E241" s="6">
        <v>0</v>
      </c>
      <c r="F241" s="6">
        <v>5</v>
      </c>
      <c r="G241" s="6">
        <v>3</v>
      </c>
      <c r="H241" s="6">
        <v>3</v>
      </c>
      <c r="I241" s="6">
        <v>0</v>
      </c>
      <c r="J241" s="6">
        <v>120000</v>
      </c>
      <c r="K241" s="6">
        <v>1</v>
      </c>
      <c r="L241" s="6">
        <v>29</v>
      </c>
      <c r="M241" s="6" t="s">
        <v>409</v>
      </c>
      <c r="N241" s="6" t="s">
        <v>40</v>
      </c>
      <c r="O241" s="6">
        <v>2703</v>
      </c>
      <c r="P241" s="7">
        <v>31942</v>
      </c>
      <c r="Q241" s="8">
        <v>38</v>
      </c>
      <c r="R241" s="8" t="s">
        <v>41</v>
      </c>
      <c r="S241" s="6" t="s">
        <v>64</v>
      </c>
      <c r="T241" s="6" t="s">
        <v>43</v>
      </c>
      <c r="U241" s="6" t="s">
        <v>44</v>
      </c>
      <c r="V241" s="6" t="s">
        <v>92</v>
      </c>
      <c r="W241" s="6" t="s">
        <v>46</v>
      </c>
      <c r="X241" s="7">
        <v>42125</v>
      </c>
      <c r="Y241" s="8">
        <f t="shared" ca="1" si="3"/>
        <v>11</v>
      </c>
      <c r="Z241" s="7">
        <v>43384</v>
      </c>
      <c r="AA241" s="6" t="s">
        <v>93</v>
      </c>
      <c r="AB241" s="6" t="s">
        <v>57</v>
      </c>
      <c r="AC241" s="6" t="s">
        <v>58</v>
      </c>
      <c r="AD241" s="6" t="s">
        <v>59</v>
      </c>
      <c r="AE241" s="6">
        <v>4</v>
      </c>
      <c r="AF241" s="6" t="s">
        <v>51</v>
      </c>
      <c r="AG241" s="6" t="s">
        <v>61</v>
      </c>
      <c r="AH241" s="6">
        <v>3.88</v>
      </c>
      <c r="AI241" s="6">
        <v>3</v>
      </c>
      <c r="AJ241" s="6">
        <v>7</v>
      </c>
      <c r="AK241" s="7">
        <v>43144</v>
      </c>
      <c r="AL241" s="6">
        <v>12</v>
      </c>
    </row>
    <row r="242" spans="1:38" x14ac:dyDescent="0.35">
      <c r="A242" s="6" t="s">
        <v>410</v>
      </c>
      <c r="B242" s="6">
        <v>10086</v>
      </c>
      <c r="C242" s="6">
        <v>0</v>
      </c>
      <c r="D242" s="6">
        <v>0</v>
      </c>
      <c r="E242" s="6">
        <v>0</v>
      </c>
      <c r="F242" s="6">
        <v>1</v>
      </c>
      <c r="G242" s="6">
        <v>3</v>
      </c>
      <c r="H242" s="6">
        <v>3</v>
      </c>
      <c r="I242" s="6">
        <v>0</v>
      </c>
      <c r="J242" s="6">
        <v>150290</v>
      </c>
      <c r="K242" s="6">
        <v>0</v>
      </c>
      <c r="L242" s="6">
        <v>7</v>
      </c>
      <c r="M242" s="6" t="s">
        <v>411</v>
      </c>
      <c r="N242" s="6" t="s">
        <v>40</v>
      </c>
      <c r="O242" s="6">
        <v>2056</v>
      </c>
      <c r="P242" s="7">
        <v>25039</v>
      </c>
      <c r="Q242" s="8">
        <v>57</v>
      </c>
      <c r="R242" s="8" t="s">
        <v>41</v>
      </c>
      <c r="S242" s="6" t="s">
        <v>64</v>
      </c>
      <c r="T242" s="6" t="s">
        <v>43</v>
      </c>
      <c r="U242" s="6" t="s">
        <v>44</v>
      </c>
      <c r="V242" s="6" t="s">
        <v>45</v>
      </c>
      <c r="W242" s="6" t="s">
        <v>85</v>
      </c>
      <c r="X242" s="7">
        <v>42917</v>
      </c>
      <c r="Y242" s="8">
        <f t="shared" ca="1" si="3"/>
        <v>9</v>
      </c>
      <c r="Z242" s="7"/>
      <c r="AA242" s="6" t="s">
        <v>47</v>
      </c>
      <c r="AB242" s="6" t="s">
        <v>48</v>
      </c>
      <c r="AC242" s="6" t="s">
        <v>58</v>
      </c>
      <c r="AD242" s="6" t="s">
        <v>201</v>
      </c>
      <c r="AE242" s="6">
        <v>13</v>
      </c>
      <c r="AF242" s="6" t="s">
        <v>60</v>
      </c>
      <c r="AG242" s="6" t="s">
        <v>61</v>
      </c>
      <c r="AH242" s="6">
        <v>4.9400000000000004</v>
      </c>
      <c r="AI242" s="6">
        <v>3</v>
      </c>
      <c r="AJ242" s="6">
        <v>5</v>
      </c>
      <c r="AK242" s="7">
        <v>43618</v>
      </c>
      <c r="AL242" s="6">
        <v>17</v>
      </c>
    </row>
    <row r="243" spans="1:38" x14ac:dyDescent="0.35">
      <c r="A243" s="6" t="s">
        <v>412</v>
      </c>
      <c r="B243" s="6">
        <v>10054</v>
      </c>
      <c r="C243" s="6">
        <v>0</v>
      </c>
      <c r="D243" s="6">
        <v>3</v>
      </c>
      <c r="E243" s="6">
        <v>0</v>
      </c>
      <c r="F243" s="6">
        <v>1</v>
      </c>
      <c r="G243" s="6">
        <v>5</v>
      </c>
      <c r="H243" s="6">
        <v>3</v>
      </c>
      <c r="I243" s="6">
        <v>0</v>
      </c>
      <c r="J243" s="6">
        <v>60627</v>
      </c>
      <c r="K243" s="6">
        <v>0</v>
      </c>
      <c r="L243" s="6">
        <v>19</v>
      </c>
      <c r="M243" s="6" t="s">
        <v>39</v>
      </c>
      <c r="N243" s="6" t="s">
        <v>40</v>
      </c>
      <c r="O243" s="6">
        <v>1886</v>
      </c>
      <c r="P243" s="7">
        <v>27667</v>
      </c>
      <c r="Q243" s="8">
        <v>49</v>
      </c>
      <c r="R243" s="8" t="s">
        <v>41</v>
      </c>
      <c r="S243" s="6" t="s">
        <v>64</v>
      </c>
      <c r="T243" s="6" t="s">
        <v>141</v>
      </c>
      <c r="U243" s="6" t="s">
        <v>44</v>
      </c>
      <c r="V243" s="6" t="s">
        <v>45</v>
      </c>
      <c r="W243" s="6" t="s">
        <v>46</v>
      </c>
      <c r="X243" s="7">
        <v>41791</v>
      </c>
      <c r="Y243" s="8">
        <f t="shared" ca="1" si="3"/>
        <v>12</v>
      </c>
      <c r="Z243" s="7"/>
      <c r="AA243" s="6" t="s">
        <v>47</v>
      </c>
      <c r="AB243" s="6" t="s">
        <v>48</v>
      </c>
      <c r="AC243" s="6" t="s">
        <v>49</v>
      </c>
      <c r="AD243" s="6" t="s">
        <v>94</v>
      </c>
      <c r="AE243" s="6">
        <v>14</v>
      </c>
      <c r="AF243" s="6" t="s">
        <v>205</v>
      </c>
      <c r="AG243" s="6" t="s">
        <v>61</v>
      </c>
      <c r="AH243" s="6">
        <v>5</v>
      </c>
      <c r="AI243" s="6">
        <v>4</v>
      </c>
      <c r="AJ243" s="6">
        <v>0</v>
      </c>
      <c r="AK243" s="7">
        <v>43496</v>
      </c>
      <c r="AL243" s="6">
        <v>8</v>
      </c>
    </row>
    <row r="244" spans="1:38" x14ac:dyDescent="0.35">
      <c r="A244" s="6" t="s">
        <v>413</v>
      </c>
      <c r="B244" s="6">
        <v>10065</v>
      </c>
      <c r="C244" s="6">
        <v>0</v>
      </c>
      <c r="D244" s="6">
        <v>0</v>
      </c>
      <c r="E244" s="6">
        <v>1</v>
      </c>
      <c r="F244" s="6">
        <v>5</v>
      </c>
      <c r="G244" s="6">
        <v>5</v>
      </c>
      <c r="H244" s="6">
        <v>3</v>
      </c>
      <c r="I244" s="6">
        <v>0</v>
      </c>
      <c r="J244" s="6">
        <v>53180</v>
      </c>
      <c r="K244" s="6">
        <v>1</v>
      </c>
      <c r="L244" s="6">
        <v>19</v>
      </c>
      <c r="M244" s="6" t="s">
        <v>39</v>
      </c>
      <c r="N244" s="6" t="s">
        <v>40</v>
      </c>
      <c r="O244" s="6">
        <v>2155</v>
      </c>
      <c r="P244" s="7">
        <v>26749</v>
      </c>
      <c r="Q244" s="8">
        <v>52</v>
      </c>
      <c r="R244" s="8" t="s">
        <v>41</v>
      </c>
      <c r="S244" s="6" t="s">
        <v>42</v>
      </c>
      <c r="T244" s="6" t="s">
        <v>43</v>
      </c>
      <c r="U244" s="6" t="s">
        <v>44</v>
      </c>
      <c r="V244" s="6" t="s">
        <v>45</v>
      </c>
      <c r="W244" s="6" t="s">
        <v>46</v>
      </c>
      <c r="X244" s="7">
        <v>40637</v>
      </c>
      <c r="Y244" s="8">
        <f t="shared" ca="1" si="3"/>
        <v>15</v>
      </c>
      <c r="Z244" s="7">
        <v>43325</v>
      </c>
      <c r="AA244" s="6" t="s">
        <v>93</v>
      </c>
      <c r="AB244" s="6" t="s">
        <v>57</v>
      </c>
      <c r="AC244" s="6" t="s">
        <v>49</v>
      </c>
      <c r="AD244" s="6" t="s">
        <v>66</v>
      </c>
      <c r="AE244" s="6">
        <v>20</v>
      </c>
      <c r="AF244" s="6" t="s">
        <v>73</v>
      </c>
      <c r="AG244" s="6" t="s">
        <v>61</v>
      </c>
      <c r="AH244" s="6">
        <v>5</v>
      </c>
      <c r="AI244" s="6">
        <v>5</v>
      </c>
      <c r="AJ244" s="6">
        <v>0</v>
      </c>
      <c r="AK244" s="7">
        <v>43138</v>
      </c>
      <c r="AL244" s="6">
        <v>4</v>
      </c>
    </row>
    <row r="245" spans="1:38" x14ac:dyDescent="0.35">
      <c r="A245" s="6" t="s">
        <v>414</v>
      </c>
      <c r="B245" s="6">
        <v>10198</v>
      </c>
      <c r="C245" s="6">
        <v>0</v>
      </c>
      <c r="D245" s="6">
        <v>0</v>
      </c>
      <c r="E245" s="6">
        <v>1</v>
      </c>
      <c r="F245" s="6">
        <v>1</v>
      </c>
      <c r="G245" s="6">
        <v>3</v>
      </c>
      <c r="H245" s="6">
        <v>3</v>
      </c>
      <c r="I245" s="6">
        <v>0</v>
      </c>
      <c r="J245" s="6">
        <v>140920</v>
      </c>
      <c r="K245" s="6">
        <v>0</v>
      </c>
      <c r="L245" s="6">
        <v>13</v>
      </c>
      <c r="M245" s="6" t="s">
        <v>415</v>
      </c>
      <c r="N245" s="6" t="s">
        <v>40</v>
      </c>
      <c r="O245" s="6">
        <v>2481</v>
      </c>
      <c r="P245" s="7">
        <v>30188</v>
      </c>
      <c r="Q245" s="8">
        <v>42</v>
      </c>
      <c r="R245" s="8" t="s">
        <v>41</v>
      </c>
      <c r="S245" s="6" t="s">
        <v>42</v>
      </c>
      <c r="T245" s="6" t="s">
        <v>43</v>
      </c>
      <c r="U245" s="6" t="s">
        <v>44</v>
      </c>
      <c r="V245" s="6" t="s">
        <v>45</v>
      </c>
      <c r="W245" s="6" t="s">
        <v>46</v>
      </c>
      <c r="X245" s="7">
        <v>41294</v>
      </c>
      <c r="Y245" s="8">
        <f t="shared" ca="1" si="3"/>
        <v>13</v>
      </c>
      <c r="Z245" s="7"/>
      <c r="AA245" s="6" t="s">
        <v>47</v>
      </c>
      <c r="AB245" s="6" t="s">
        <v>48</v>
      </c>
      <c r="AC245" s="6" t="s">
        <v>58</v>
      </c>
      <c r="AD245" s="6" t="s">
        <v>151</v>
      </c>
      <c r="AE245" s="6">
        <v>5</v>
      </c>
      <c r="AF245" s="6" t="s">
        <v>60</v>
      </c>
      <c r="AG245" s="6" t="s">
        <v>61</v>
      </c>
      <c r="AH245" s="6">
        <v>3.6</v>
      </c>
      <c r="AI245" s="6">
        <v>5</v>
      </c>
      <c r="AJ245" s="6">
        <v>7</v>
      </c>
      <c r="AK245" s="7">
        <v>43514</v>
      </c>
      <c r="AL245" s="6">
        <v>13</v>
      </c>
    </row>
    <row r="246" spans="1:38" x14ac:dyDescent="0.35">
      <c r="A246" s="6" t="s">
        <v>416</v>
      </c>
      <c r="B246" s="6">
        <v>10222</v>
      </c>
      <c r="C246" s="6">
        <v>0</v>
      </c>
      <c r="D246" s="6">
        <v>2</v>
      </c>
      <c r="E246" s="6">
        <v>1</v>
      </c>
      <c r="F246" s="6">
        <v>5</v>
      </c>
      <c r="G246" s="6">
        <v>3</v>
      </c>
      <c r="H246" s="6">
        <v>3</v>
      </c>
      <c r="I246" s="6">
        <v>1</v>
      </c>
      <c r="J246" s="6">
        <v>148999</v>
      </c>
      <c r="K246" s="6">
        <v>1</v>
      </c>
      <c r="L246" s="6">
        <v>13</v>
      </c>
      <c r="M246" s="6" t="s">
        <v>415</v>
      </c>
      <c r="N246" s="6" t="s">
        <v>40</v>
      </c>
      <c r="O246" s="6">
        <v>1915</v>
      </c>
      <c r="P246" s="7">
        <v>31120</v>
      </c>
      <c r="Q246" s="8">
        <v>40</v>
      </c>
      <c r="R246" s="8" t="s">
        <v>41</v>
      </c>
      <c r="S246" s="6" t="s">
        <v>42</v>
      </c>
      <c r="T246" s="6" t="s">
        <v>70</v>
      </c>
      <c r="U246" s="6" t="s">
        <v>44</v>
      </c>
      <c r="V246" s="6" t="s">
        <v>45</v>
      </c>
      <c r="W246" s="6" t="s">
        <v>85</v>
      </c>
      <c r="X246" s="7">
        <v>41153</v>
      </c>
      <c r="Y246" s="8">
        <f t="shared" ca="1" si="3"/>
        <v>13</v>
      </c>
      <c r="Z246" s="7">
        <v>42105</v>
      </c>
      <c r="AA246" s="6" t="s">
        <v>65</v>
      </c>
      <c r="AB246" s="6" t="s">
        <v>57</v>
      </c>
      <c r="AC246" s="6" t="s">
        <v>58</v>
      </c>
      <c r="AD246" s="6" t="s">
        <v>151</v>
      </c>
      <c r="AE246" s="6">
        <v>5</v>
      </c>
      <c r="AF246" s="6" t="s">
        <v>87</v>
      </c>
      <c r="AG246" s="6" t="s">
        <v>61</v>
      </c>
      <c r="AH246" s="6">
        <v>4.3</v>
      </c>
      <c r="AI246" s="6">
        <v>4</v>
      </c>
      <c r="AJ246" s="6">
        <v>6</v>
      </c>
      <c r="AK246" s="7">
        <v>42095</v>
      </c>
      <c r="AL246" s="6">
        <v>8</v>
      </c>
    </row>
    <row r="247" spans="1:38" x14ac:dyDescent="0.35">
      <c r="A247" s="6" t="s">
        <v>417</v>
      </c>
      <c r="B247" s="6">
        <v>10126</v>
      </c>
      <c r="C247" s="6">
        <v>1</v>
      </c>
      <c r="D247" s="6">
        <v>1</v>
      </c>
      <c r="E247" s="6">
        <v>0</v>
      </c>
      <c r="F247" s="6">
        <v>1</v>
      </c>
      <c r="G247" s="6">
        <v>4</v>
      </c>
      <c r="H247" s="6">
        <v>3</v>
      </c>
      <c r="I247" s="6">
        <v>0</v>
      </c>
      <c r="J247" s="6">
        <v>86214</v>
      </c>
      <c r="K247" s="6">
        <v>0</v>
      </c>
      <c r="L247" s="6">
        <v>24</v>
      </c>
      <c r="M247" s="6" t="s">
        <v>77</v>
      </c>
      <c r="N247" s="6" t="s">
        <v>40</v>
      </c>
      <c r="O247" s="6">
        <v>2132</v>
      </c>
      <c r="P247" s="7">
        <v>28577</v>
      </c>
      <c r="Q247" s="8">
        <v>47</v>
      </c>
      <c r="R247" s="8" t="s">
        <v>41</v>
      </c>
      <c r="S247" s="6" t="s">
        <v>64</v>
      </c>
      <c r="T247" s="6" t="s">
        <v>55</v>
      </c>
      <c r="U247" s="6" t="s">
        <v>44</v>
      </c>
      <c r="V247" s="6" t="s">
        <v>45</v>
      </c>
      <c r="W247" s="6" t="s">
        <v>46</v>
      </c>
      <c r="X247" s="7">
        <v>41040</v>
      </c>
      <c r="Y247" s="8">
        <f t="shared" ca="1" si="3"/>
        <v>14</v>
      </c>
      <c r="Z247" s="7"/>
      <c r="AA247" s="6" t="s">
        <v>47</v>
      </c>
      <c r="AB247" s="6" t="s">
        <v>48</v>
      </c>
      <c r="AC247" s="6" t="s">
        <v>78</v>
      </c>
      <c r="AD247" s="6" t="s">
        <v>79</v>
      </c>
      <c r="AE247" s="6">
        <v>10</v>
      </c>
      <c r="AF247" s="6" t="s">
        <v>60</v>
      </c>
      <c r="AG247" s="6" t="s">
        <v>61</v>
      </c>
      <c r="AH247" s="6">
        <v>4.2</v>
      </c>
      <c r="AI247" s="6">
        <v>3</v>
      </c>
      <c r="AJ247" s="6">
        <v>6</v>
      </c>
      <c r="AK247" s="7">
        <v>43509</v>
      </c>
      <c r="AL247" s="6">
        <v>2</v>
      </c>
    </row>
    <row r="248" spans="1:38" x14ac:dyDescent="0.35">
      <c r="A248" s="6" t="s">
        <v>418</v>
      </c>
      <c r="B248" s="6">
        <v>10295</v>
      </c>
      <c r="C248" s="6">
        <v>0</v>
      </c>
      <c r="D248" s="6">
        <v>0</v>
      </c>
      <c r="E248" s="6">
        <v>0</v>
      </c>
      <c r="F248" s="6">
        <v>2</v>
      </c>
      <c r="G248" s="6">
        <v>5</v>
      </c>
      <c r="H248" s="6">
        <v>2</v>
      </c>
      <c r="I248" s="6">
        <v>1</v>
      </c>
      <c r="J248" s="6">
        <v>47750</v>
      </c>
      <c r="K248" s="6">
        <v>0</v>
      </c>
      <c r="L248" s="6">
        <v>19</v>
      </c>
      <c r="M248" s="6" t="s">
        <v>39</v>
      </c>
      <c r="N248" s="6" t="s">
        <v>40</v>
      </c>
      <c r="O248" s="6">
        <v>1801</v>
      </c>
      <c r="P248" s="7">
        <v>25065</v>
      </c>
      <c r="Q248" s="8">
        <v>56</v>
      </c>
      <c r="R248" s="8" t="s">
        <v>41</v>
      </c>
      <c r="S248" s="6" t="s">
        <v>64</v>
      </c>
      <c r="T248" s="6" t="s">
        <v>43</v>
      </c>
      <c r="U248" s="6" t="s">
        <v>44</v>
      </c>
      <c r="V248" s="6" t="s">
        <v>45</v>
      </c>
      <c r="W248" s="6" t="s">
        <v>85</v>
      </c>
      <c r="X248" s="7">
        <v>42467</v>
      </c>
      <c r="Y248" s="8">
        <f t="shared" ca="1" si="3"/>
        <v>10</v>
      </c>
      <c r="Z248" s="7"/>
      <c r="AA248" s="6" t="s">
        <v>47</v>
      </c>
      <c r="AB248" s="6" t="s">
        <v>48</v>
      </c>
      <c r="AC248" s="6" t="s">
        <v>49</v>
      </c>
      <c r="AD248" s="6" t="s">
        <v>103</v>
      </c>
      <c r="AE248" s="6">
        <v>18</v>
      </c>
      <c r="AF248" s="6" t="s">
        <v>87</v>
      </c>
      <c r="AG248" s="6" t="s">
        <v>122</v>
      </c>
      <c r="AH248" s="6">
        <v>2.6</v>
      </c>
      <c r="AI248" s="6">
        <v>4</v>
      </c>
      <c r="AJ248" s="6">
        <v>0</v>
      </c>
      <c r="AK248" s="7">
        <v>43514</v>
      </c>
      <c r="AL248" s="6">
        <v>4</v>
      </c>
    </row>
    <row r="249" spans="1:38" x14ac:dyDescent="0.35">
      <c r="A249" s="6" t="s">
        <v>419</v>
      </c>
      <c r="B249" s="6">
        <v>10260</v>
      </c>
      <c r="C249" s="6">
        <v>0</v>
      </c>
      <c r="D249" s="6">
        <v>0</v>
      </c>
      <c r="E249" s="6">
        <v>1</v>
      </c>
      <c r="F249" s="6">
        <v>5</v>
      </c>
      <c r="G249" s="6">
        <v>5</v>
      </c>
      <c r="H249" s="6">
        <v>3</v>
      </c>
      <c r="I249" s="6">
        <v>0</v>
      </c>
      <c r="J249" s="6">
        <v>46428</v>
      </c>
      <c r="K249" s="6">
        <v>1</v>
      </c>
      <c r="L249" s="6">
        <v>19</v>
      </c>
      <c r="M249" s="6" t="s">
        <v>39</v>
      </c>
      <c r="N249" s="6" t="s">
        <v>40</v>
      </c>
      <c r="O249" s="6">
        <v>2148</v>
      </c>
      <c r="P249" s="7">
        <v>32074</v>
      </c>
      <c r="Q249" s="8">
        <v>37</v>
      </c>
      <c r="R249" s="8" t="s">
        <v>41</v>
      </c>
      <c r="S249" s="6" t="s">
        <v>42</v>
      </c>
      <c r="T249" s="6" t="s">
        <v>43</v>
      </c>
      <c r="U249" s="6" t="s">
        <v>44</v>
      </c>
      <c r="V249" s="6" t="s">
        <v>45</v>
      </c>
      <c r="W249" s="6" t="s">
        <v>46</v>
      </c>
      <c r="X249" s="7">
        <v>39934</v>
      </c>
      <c r="Y249" s="8">
        <f t="shared" ca="1" si="3"/>
        <v>17</v>
      </c>
      <c r="Z249" s="7">
        <v>43311</v>
      </c>
      <c r="AA249" s="6" t="s">
        <v>166</v>
      </c>
      <c r="AB249" s="6" t="s">
        <v>57</v>
      </c>
      <c r="AC249" s="6" t="s">
        <v>49</v>
      </c>
      <c r="AD249" s="6" t="s">
        <v>50</v>
      </c>
      <c r="AE249" s="6">
        <v>22</v>
      </c>
      <c r="AF249" s="6" t="s">
        <v>73</v>
      </c>
      <c r="AG249" s="6" t="s">
        <v>61</v>
      </c>
      <c r="AH249" s="6">
        <v>4.5999999999999996</v>
      </c>
      <c r="AI249" s="6">
        <v>5</v>
      </c>
      <c r="AJ249" s="6">
        <v>0</v>
      </c>
      <c r="AK249" s="7">
        <v>43222</v>
      </c>
      <c r="AL249" s="6">
        <v>7</v>
      </c>
    </row>
    <row r="250" spans="1:38" x14ac:dyDescent="0.35">
      <c r="A250" s="6" t="s">
        <v>420</v>
      </c>
      <c r="B250" s="6">
        <v>10233</v>
      </c>
      <c r="C250" s="6">
        <v>1</v>
      </c>
      <c r="D250" s="6">
        <v>1</v>
      </c>
      <c r="E250" s="6">
        <v>1</v>
      </c>
      <c r="F250" s="6">
        <v>1</v>
      </c>
      <c r="G250" s="6">
        <v>5</v>
      </c>
      <c r="H250" s="6">
        <v>3</v>
      </c>
      <c r="I250" s="6">
        <v>0</v>
      </c>
      <c r="J250" s="6">
        <v>57975</v>
      </c>
      <c r="K250" s="6">
        <v>0</v>
      </c>
      <c r="L250" s="6">
        <v>20</v>
      </c>
      <c r="M250" s="6" t="s">
        <v>63</v>
      </c>
      <c r="N250" s="6" t="s">
        <v>40</v>
      </c>
      <c r="O250" s="6">
        <v>2062</v>
      </c>
      <c r="P250" s="7">
        <v>19503</v>
      </c>
      <c r="Q250" s="8">
        <v>72</v>
      </c>
      <c r="R250" s="8" t="s">
        <v>96</v>
      </c>
      <c r="S250" s="6" t="s">
        <v>42</v>
      </c>
      <c r="T250" s="6" t="s">
        <v>55</v>
      </c>
      <c r="U250" s="6" t="s">
        <v>44</v>
      </c>
      <c r="V250" s="6" t="s">
        <v>45</v>
      </c>
      <c r="W250" s="6" t="s">
        <v>46</v>
      </c>
      <c r="X250" s="7">
        <v>40420</v>
      </c>
      <c r="Y250" s="8">
        <f t="shared" ca="1" si="3"/>
        <v>15</v>
      </c>
      <c r="Z250" s="7"/>
      <c r="AA250" s="6" t="s">
        <v>47</v>
      </c>
      <c r="AB250" s="6" t="s">
        <v>48</v>
      </c>
      <c r="AC250" s="6" t="s">
        <v>49</v>
      </c>
      <c r="AD250" s="6" t="s">
        <v>103</v>
      </c>
      <c r="AE250" s="6">
        <v>18</v>
      </c>
      <c r="AF250" s="6" t="s">
        <v>121</v>
      </c>
      <c r="AG250" s="6" t="s">
        <v>61</v>
      </c>
      <c r="AH250" s="6">
        <v>4.0999999999999996</v>
      </c>
      <c r="AI250" s="6">
        <v>3</v>
      </c>
      <c r="AJ250" s="6">
        <v>0</v>
      </c>
      <c r="AK250" s="7">
        <v>43739</v>
      </c>
      <c r="AL250" s="6">
        <v>13</v>
      </c>
    </row>
    <row r="251" spans="1:38" x14ac:dyDescent="0.35">
      <c r="A251" s="6" t="s">
        <v>421</v>
      </c>
      <c r="B251" s="6">
        <v>10229</v>
      </c>
      <c r="C251" s="6">
        <v>0</v>
      </c>
      <c r="D251" s="6">
        <v>2</v>
      </c>
      <c r="E251" s="6">
        <v>1</v>
      </c>
      <c r="F251" s="6">
        <v>5</v>
      </c>
      <c r="G251" s="6">
        <v>3</v>
      </c>
      <c r="H251" s="6">
        <v>3</v>
      </c>
      <c r="I251" s="6">
        <v>0</v>
      </c>
      <c r="J251" s="6">
        <v>88527</v>
      </c>
      <c r="K251" s="6">
        <v>1</v>
      </c>
      <c r="L251" s="6">
        <v>9</v>
      </c>
      <c r="M251" s="6" t="s">
        <v>422</v>
      </c>
      <c r="N251" s="6" t="s">
        <v>40</v>
      </c>
      <c r="O251" s="6">
        <v>2452</v>
      </c>
      <c r="P251" s="7">
        <v>27653</v>
      </c>
      <c r="Q251" s="8">
        <v>49</v>
      </c>
      <c r="R251" s="8" t="s">
        <v>41</v>
      </c>
      <c r="S251" s="6" t="s">
        <v>42</v>
      </c>
      <c r="T251" s="6" t="s">
        <v>70</v>
      </c>
      <c r="U251" s="6" t="s">
        <v>44</v>
      </c>
      <c r="V251" s="6" t="s">
        <v>45</v>
      </c>
      <c r="W251" s="6" t="s">
        <v>85</v>
      </c>
      <c r="X251" s="7">
        <v>42125</v>
      </c>
      <c r="Y251" s="8">
        <f t="shared" ca="1" si="3"/>
        <v>11</v>
      </c>
      <c r="Z251" s="7">
        <v>42308</v>
      </c>
      <c r="AA251" s="6" t="s">
        <v>65</v>
      </c>
      <c r="AB251" s="6" t="s">
        <v>57</v>
      </c>
      <c r="AC251" s="6" t="s">
        <v>58</v>
      </c>
      <c r="AD251" s="6" t="s">
        <v>59</v>
      </c>
      <c r="AE251" s="6">
        <v>4</v>
      </c>
      <c r="AF251" s="6" t="s">
        <v>51</v>
      </c>
      <c r="AG251" s="6" t="s">
        <v>61</v>
      </c>
      <c r="AH251" s="6">
        <v>4.2</v>
      </c>
      <c r="AI251" s="6">
        <v>3</v>
      </c>
      <c r="AJ251" s="6">
        <v>5</v>
      </c>
      <c r="AK251" s="7">
        <v>42114</v>
      </c>
      <c r="AL251" s="6">
        <v>2</v>
      </c>
    </row>
    <row r="252" spans="1:38" x14ac:dyDescent="0.35">
      <c r="A252" s="6" t="s">
        <v>423</v>
      </c>
      <c r="B252" s="6">
        <v>10169</v>
      </c>
      <c r="C252" s="6">
        <v>1</v>
      </c>
      <c r="D252" s="6">
        <v>1</v>
      </c>
      <c r="E252" s="6">
        <v>0</v>
      </c>
      <c r="F252" s="6">
        <v>1</v>
      </c>
      <c r="G252" s="6">
        <v>5</v>
      </c>
      <c r="H252" s="6">
        <v>3</v>
      </c>
      <c r="I252" s="6">
        <v>0</v>
      </c>
      <c r="J252" s="6">
        <v>56147</v>
      </c>
      <c r="K252" s="6">
        <v>0</v>
      </c>
      <c r="L252" s="6">
        <v>19</v>
      </c>
      <c r="M252" s="6" t="s">
        <v>39</v>
      </c>
      <c r="N252" s="6" t="s">
        <v>40</v>
      </c>
      <c r="O252" s="6">
        <v>2154</v>
      </c>
      <c r="P252" s="7">
        <v>24851</v>
      </c>
      <c r="Q252" s="8">
        <v>57</v>
      </c>
      <c r="R252" s="8" t="s">
        <v>41</v>
      </c>
      <c r="S252" s="6" t="s">
        <v>64</v>
      </c>
      <c r="T252" s="6" t="s">
        <v>55</v>
      </c>
      <c r="U252" s="6" t="s">
        <v>44</v>
      </c>
      <c r="V252" s="6" t="s">
        <v>45</v>
      </c>
      <c r="W252" s="6" t="s">
        <v>85</v>
      </c>
      <c r="X252" s="7">
        <v>41547</v>
      </c>
      <c r="Y252" s="8">
        <f t="shared" ca="1" si="3"/>
        <v>12</v>
      </c>
      <c r="Z252" s="7"/>
      <c r="AA252" s="6" t="s">
        <v>47</v>
      </c>
      <c r="AB252" s="6" t="s">
        <v>48</v>
      </c>
      <c r="AC252" s="6" t="s">
        <v>49</v>
      </c>
      <c r="AD252" s="6" t="s">
        <v>68</v>
      </c>
      <c r="AE252" s="6">
        <v>16</v>
      </c>
      <c r="AF252" s="6" t="s">
        <v>51</v>
      </c>
      <c r="AG252" s="6" t="s">
        <v>61</v>
      </c>
      <c r="AH252" s="6">
        <v>3.51</v>
      </c>
      <c r="AI252" s="6">
        <v>3</v>
      </c>
      <c r="AJ252" s="6">
        <v>0</v>
      </c>
      <c r="AK252" s="7">
        <v>43514</v>
      </c>
      <c r="AL252" s="6">
        <v>2</v>
      </c>
    </row>
    <row r="253" spans="1:38" x14ac:dyDescent="0.35">
      <c r="A253" s="6" t="s">
        <v>424</v>
      </c>
      <c r="B253" s="6">
        <v>10071</v>
      </c>
      <c r="C253" s="6">
        <v>0</v>
      </c>
      <c r="D253" s="6">
        <v>0</v>
      </c>
      <c r="E253" s="6">
        <v>0</v>
      </c>
      <c r="F253" s="6">
        <v>3</v>
      </c>
      <c r="G253" s="6">
        <v>5</v>
      </c>
      <c r="H253" s="6">
        <v>3</v>
      </c>
      <c r="I253" s="6">
        <v>0</v>
      </c>
      <c r="J253" s="6">
        <v>50923</v>
      </c>
      <c r="K253" s="6">
        <v>0</v>
      </c>
      <c r="L253" s="6">
        <v>19</v>
      </c>
      <c r="M253" s="6" t="s">
        <v>39</v>
      </c>
      <c r="N253" s="6" t="s">
        <v>40</v>
      </c>
      <c r="O253" s="6">
        <v>2191</v>
      </c>
      <c r="P253" s="7">
        <v>30452</v>
      </c>
      <c r="Q253" s="8">
        <v>42</v>
      </c>
      <c r="R253" s="8" t="s">
        <v>41</v>
      </c>
      <c r="S253" s="6" t="s">
        <v>64</v>
      </c>
      <c r="T253" s="6" t="s">
        <v>43</v>
      </c>
      <c r="U253" s="6" t="s">
        <v>44</v>
      </c>
      <c r="V253" s="6" t="s">
        <v>45</v>
      </c>
      <c r="W253" s="6" t="s">
        <v>116</v>
      </c>
      <c r="X253" s="7">
        <v>41547</v>
      </c>
      <c r="Y253" s="8">
        <f t="shared" ca="1" si="3"/>
        <v>12</v>
      </c>
      <c r="Z253" s="7"/>
      <c r="AA253" s="6" t="s">
        <v>47</v>
      </c>
      <c r="AB253" s="6" t="s">
        <v>48</v>
      </c>
      <c r="AC253" s="6" t="s">
        <v>49</v>
      </c>
      <c r="AD253" s="6" t="s">
        <v>72</v>
      </c>
      <c r="AE253" s="6"/>
      <c r="AF253" s="6" t="s">
        <v>73</v>
      </c>
      <c r="AG253" s="6" t="s">
        <v>61</v>
      </c>
      <c r="AH253" s="6">
        <v>5</v>
      </c>
      <c r="AI253" s="6">
        <v>5</v>
      </c>
      <c r="AJ253" s="6">
        <v>0</v>
      </c>
      <c r="AK253" s="7">
        <v>43618</v>
      </c>
      <c r="AL253" s="6">
        <v>14</v>
      </c>
    </row>
    <row r="254" spans="1:38" x14ac:dyDescent="0.35">
      <c r="A254" s="6" t="s">
        <v>425</v>
      </c>
      <c r="B254" s="6">
        <v>10179</v>
      </c>
      <c r="C254" s="6">
        <v>1</v>
      </c>
      <c r="D254" s="6">
        <v>1</v>
      </c>
      <c r="E254" s="6">
        <v>0</v>
      </c>
      <c r="F254" s="6">
        <v>1</v>
      </c>
      <c r="G254" s="6">
        <v>3</v>
      </c>
      <c r="H254" s="6">
        <v>3</v>
      </c>
      <c r="I254" s="6">
        <v>0</v>
      </c>
      <c r="J254" s="6">
        <v>50750</v>
      </c>
      <c r="K254" s="6">
        <v>0</v>
      </c>
      <c r="L254" s="6">
        <v>15</v>
      </c>
      <c r="M254" s="6" t="s">
        <v>229</v>
      </c>
      <c r="N254" s="6" t="s">
        <v>40</v>
      </c>
      <c r="O254" s="6">
        <v>1773</v>
      </c>
      <c r="P254" s="7">
        <v>30481</v>
      </c>
      <c r="Q254" s="8">
        <v>42</v>
      </c>
      <c r="R254" s="8" t="s">
        <v>41</v>
      </c>
      <c r="S254" s="6" t="s">
        <v>64</v>
      </c>
      <c r="T254" s="6" t="s">
        <v>55</v>
      </c>
      <c r="U254" s="6" t="s">
        <v>44</v>
      </c>
      <c r="V254" s="6" t="s">
        <v>45</v>
      </c>
      <c r="W254" s="6" t="s">
        <v>46</v>
      </c>
      <c r="X254" s="7">
        <v>41547</v>
      </c>
      <c r="Y254" s="8">
        <f t="shared" ca="1" si="3"/>
        <v>12</v>
      </c>
      <c r="Z254" s="7"/>
      <c r="AA254" s="6" t="s">
        <v>47</v>
      </c>
      <c r="AB254" s="6" t="s">
        <v>48</v>
      </c>
      <c r="AC254" s="6" t="s">
        <v>58</v>
      </c>
      <c r="AD254" s="6" t="s">
        <v>90</v>
      </c>
      <c r="AE254" s="6">
        <v>7</v>
      </c>
      <c r="AF254" s="6" t="s">
        <v>51</v>
      </c>
      <c r="AG254" s="6" t="s">
        <v>61</v>
      </c>
      <c r="AH254" s="6">
        <v>3.31</v>
      </c>
      <c r="AI254" s="6">
        <v>3</v>
      </c>
      <c r="AJ254" s="6">
        <v>6</v>
      </c>
      <c r="AK254" s="7">
        <v>43647</v>
      </c>
      <c r="AL254" s="6">
        <v>7</v>
      </c>
    </row>
    <row r="255" spans="1:38" x14ac:dyDescent="0.35">
      <c r="A255" s="6" t="s">
        <v>426</v>
      </c>
      <c r="B255" s="6">
        <v>10091</v>
      </c>
      <c r="C255" s="6">
        <v>1</v>
      </c>
      <c r="D255" s="6">
        <v>1</v>
      </c>
      <c r="E255" s="6">
        <v>0</v>
      </c>
      <c r="F255" s="6">
        <v>1</v>
      </c>
      <c r="G255" s="6">
        <v>5</v>
      </c>
      <c r="H255" s="6">
        <v>3</v>
      </c>
      <c r="I255" s="6">
        <v>0</v>
      </c>
      <c r="J255" s="6">
        <v>52087</v>
      </c>
      <c r="K255" s="6">
        <v>0</v>
      </c>
      <c r="L255" s="6">
        <v>19</v>
      </c>
      <c r="M255" s="6" t="s">
        <v>39</v>
      </c>
      <c r="N255" s="6" t="s">
        <v>40</v>
      </c>
      <c r="O255" s="6">
        <v>2149</v>
      </c>
      <c r="P255" s="7">
        <v>31121</v>
      </c>
      <c r="Q255" s="8">
        <v>40</v>
      </c>
      <c r="R255" s="8" t="s">
        <v>41</v>
      </c>
      <c r="S255" s="6" t="s">
        <v>64</v>
      </c>
      <c r="T255" s="6" t="s">
        <v>55</v>
      </c>
      <c r="U255" s="6" t="s">
        <v>44</v>
      </c>
      <c r="V255" s="6" t="s">
        <v>45</v>
      </c>
      <c r="W255" s="6" t="s">
        <v>46</v>
      </c>
      <c r="X255" s="7">
        <v>41505</v>
      </c>
      <c r="Y255" s="8">
        <f t="shared" ca="1" si="3"/>
        <v>12</v>
      </c>
      <c r="Z255" s="7"/>
      <c r="AA255" s="6" t="s">
        <v>47</v>
      </c>
      <c r="AB255" s="6" t="s">
        <v>48</v>
      </c>
      <c r="AC255" s="6" t="s">
        <v>49</v>
      </c>
      <c r="AD255" s="6" t="s">
        <v>75</v>
      </c>
      <c r="AE255" s="6">
        <v>11</v>
      </c>
      <c r="AF255" s="6" t="s">
        <v>51</v>
      </c>
      <c r="AG255" s="6" t="s">
        <v>61</v>
      </c>
      <c r="AH255" s="6">
        <v>4.8099999999999996</v>
      </c>
      <c r="AI255" s="6">
        <v>4</v>
      </c>
      <c r="AJ255" s="6">
        <v>0</v>
      </c>
      <c r="AK255" s="7">
        <v>43511</v>
      </c>
      <c r="AL255" s="6">
        <v>15</v>
      </c>
    </row>
    <row r="256" spans="1:38" x14ac:dyDescent="0.35">
      <c r="A256" s="6" t="s">
        <v>427</v>
      </c>
      <c r="B256" s="6">
        <v>10178</v>
      </c>
      <c r="C256" s="6">
        <v>1</v>
      </c>
      <c r="D256" s="6">
        <v>1</v>
      </c>
      <c r="E256" s="6">
        <v>1</v>
      </c>
      <c r="F256" s="6">
        <v>1</v>
      </c>
      <c r="G256" s="6">
        <v>3</v>
      </c>
      <c r="H256" s="6">
        <v>3</v>
      </c>
      <c r="I256" s="6">
        <v>0</v>
      </c>
      <c r="J256" s="6">
        <v>87826</v>
      </c>
      <c r="K256" s="6">
        <v>0</v>
      </c>
      <c r="L256" s="6">
        <v>9</v>
      </c>
      <c r="M256" s="6" t="s">
        <v>99</v>
      </c>
      <c r="N256" s="6" t="s">
        <v>40</v>
      </c>
      <c r="O256" s="6">
        <v>2110</v>
      </c>
      <c r="P256" s="7">
        <v>25293</v>
      </c>
      <c r="Q256" s="8">
        <v>56</v>
      </c>
      <c r="R256" s="8" t="s">
        <v>41</v>
      </c>
      <c r="S256" s="6" t="s">
        <v>42</v>
      </c>
      <c r="T256" s="6" t="s">
        <v>55</v>
      </c>
      <c r="U256" s="6" t="s">
        <v>44</v>
      </c>
      <c r="V256" s="6" t="s">
        <v>92</v>
      </c>
      <c r="W256" s="6" t="s">
        <v>46</v>
      </c>
      <c r="X256" s="7">
        <v>42125</v>
      </c>
      <c r="Y256" s="8">
        <f t="shared" ca="1" si="3"/>
        <v>11</v>
      </c>
      <c r="Z256" s="7"/>
      <c r="AA256" s="6" t="s">
        <v>47</v>
      </c>
      <c r="AB256" s="6" t="s">
        <v>48</v>
      </c>
      <c r="AC256" s="6" t="s">
        <v>58</v>
      </c>
      <c r="AD256" s="6" t="s">
        <v>59</v>
      </c>
      <c r="AE256" s="6">
        <v>4</v>
      </c>
      <c r="AF256" s="6" t="s">
        <v>83</v>
      </c>
      <c r="AG256" s="6" t="s">
        <v>61</v>
      </c>
      <c r="AH256" s="6">
        <v>3.32</v>
      </c>
      <c r="AI256" s="6">
        <v>3</v>
      </c>
      <c r="AJ256" s="6">
        <v>7</v>
      </c>
      <c r="AK256" s="7">
        <v>43479</v>
      </c>
      <c r="AL256" s="6">
        <v>16</v>
      </c>
    </row>
    <row r="257" spans="1:38" x14ac:dyDescent="0.35">
      <c r="A257" s="6" t="s">
        <v>428</v>
      </c>
      <c r="B257" s="6">
        <v>10039</v>
      </c>
      <c r="C257" s="6">
        <v>0</v>
      </c>
      <c r="D257" s="6">
        <v>0</v>
      </c>
      <c r="E257" s="6">
        <v>0</v>
      </c>
      <c r="F257" s="6">
        <v>1</v>
      </c>
      <c r="G257" s="6">
        <v>1</v>
      </c>
      <c r="H257" s="6">
        <v>3</v>
      </c>
      <c r="I257" s="6">
        <v>0</v>
      </c>
      <c r="J257" s="6">
        <v>51920</v>
      </c>
      <c r="K257" s="6">
        <v>0</v>
      </c>
      <c r="L257" s="6">
        <v>2</v>
      </c>
      <c r="M257" s="6" t="s">
        <v>283</v>
      </c>
      <c r="N257" s="6" t="s">
        <v>40</v>
      </c>
      <c r="O257" s="6">
        <v>2330</v>
      </c>
      <c r="P257" s="7">
        <v>33381</v>
      </c>
      <c r="Q257" s="8">
        <v>34</v>
      </c>
      <c r="R257" s="8" t="s">
        <v>41</v>
      </c>
      <c r="S257" s="6" t="s">
        <v>64</v>
      </c>
      <c r="T257" s="6" t="s">
        <v>43</v>
      </c>
      <c r="U257" s="6" t="s">
        <v>44</v>
      </c>
      <c r="V257" s="6" t="s">
        <v>45</v>
      </c>
      <c r="W257" s="6" t="s">
        <v>46</v>
      </c>
      <c r="X257" s="7">
        <v>42009</v>
      </c>
      <c r="Y257" s="8">
        <f t="shared" ca="1" si="3"/>
        <v>11</v>
      </c>
      <c r="Z257" s="7"/>
      <c r="AA257" s="6" t="s">
        <v>47</v>
      </c>
      <c r="AB257" s="6" t="s">
        <v>48</v>
      </c>
      <c r="AC257" s="6" t="s">
        <v>130</v>
      </c>
      <c r="AD257" s="6" t="s">
        <v>131</v>
      </c>
      <c r="AE257" s="6">
        <v>1</v>
      </c>
      <c r="AF257" s="6" t="s">
        <v>205</v>
      </c>
      <c r="AG257" s="6" t="s">
        <v>61</v>
      </c>
      <c r="AH257" s="6">
        <v>5</v>
      </c>
      <c r="AI257" s="6">
        <v>3</v>
      </c>
      <c r="AJ257" s="6">
        <v>5</v>
      </c>
      <c r="AK257" s="7">
        <v>43480</v>
      </c>
      <c r="AL257" s="6">
        <v>2</v>
      </c>
    </row>
    <row r="258" spans="1:38" x14ac:dyDescent="0.35">
      <c r="A258" s="6" t="s">
        <v>429</v>
      </c>
      <c r="B258" s="6">
        <v>10095</v>
      </c>
      <c r="C258" s="6">
        <v>0</v>
      </c>
      <c r="D258" s="6">
        <v>0</v>
      </c>
      <c r="E258" s="6">
        <v>0</v>
      </c>
      <c r="F258" s="6">
        <v>5</v>
      </c>
      <c r="G258" s="6">
        <v>5</v>
      </c>
      <c r="H258" s="6">
        <v>3</v>
      </c>
      <c r="I258" s="6">
        <v>0</v>
      </c>
      <c r="J258" s="6">
        <v>63878</v>
      </c>
      <c r="K258" s="6">
        <v>1</v>
      </c>
      <c r="L258" s="6">
        <v>20</v>
      </c>
      <c r="M258" s="6" t="s">
        <v>63</v>
      </c>
      <c r="N258" s="6" t="s">
        <v>40</v>
      </c>
      <c r="O258" s="6">
        <v>1851</v>
      </c>
      <c r="P258" s="7">
        <v>31808</v>
      </c>
      <c r="Q258" s="8">
        <v>38</v>
      </c>
      <c r="R258" s="8" t="s">
        <v>41</v>
      </c>
      <c r="S258" s="6" t="s">
        <v>64</v>
      </c>
      <c r="T258" s="6" t="s">
        <v>43</v>
      </c>
      <c r="U258" s="6" t="s">
        <v>44</v>
      </c>
      <c r="V258" s="6" t="s">
        <v>45</v>
      </c>
      <c r="W258" s="6" t="s">
        <v>46</v>
      </c>
      <c r="X258" s="7">
        <v>40112</v>
      </c>
      <c r="Y258" s="8">
        <f t="shared" ca="1" si="3"/>
        <v>16</v>
      </c>
      <c r="Z258" s="7">
        <v>42220</v>
      </c>
      <c r="AA258" s="6" t="s">
        <v>300</v>
      </c>
      <c r="AB258" s="6" t="s">
        <v>57</v>
      </c>
      <c r="AC258" s="6" t="s">
        <v>49</v>
      </c>
      <c r="AD258" s="6" t="s">
        <v>50</v>
      </c>
      <c r="AE258" s="6">
        <v>22</v>
      </c>
      <c r="AF258" s="6" t="s">
        <v>121</v>
      </c>
      <c r="AG258" s="6" t="s">
        <v>61</v>
      </c>
      <c r="AH258" s="6">
        <v>4.68</v>
      </c>
      <c r="AI258" s="6">
        <v>4</v>
      </c>
      <c r="AJ258" s="6">
        <v>0</v>
      </c>
      <c r="AK258" s="7">
        <v>42039</v>
      </c>
      <c r="AL258" s="6">
        <v>20</v>
      </c>
    </row>
    <row r="259" spans="1:38" x14ac:dyDescent="0.35">
      <c r="A259" s="6" t="s">
        <v>430</v>
      </c>
      <c r="B259" s="6">
        <v>10027</v>
      </c>
      <c r="C259" s="6">
        <v>0</v>
      </c>
      <c r="D259" s="6">
        <v>0</v>
      </c>
      <c r="E259" s="6">
        <v>1</v>
      </c>
      <c r="F259" s="6">
        <v>1</v>
      </c>
      <c r="G259" s="6">
        <v>5</v>
      </c>
      <c r="H259" s="6">
        <v>4</v>
      </c>
      <c r="I259" s="6">
        <v>0</v>
      </c>
      <c r="J259" s="6">
        <v>60656</v>
      </c>
      <c r="K259" s="6">
        <v>0</v>
      </c>
      <c r="L259" s="6">
        <v>20</v>
      </c>
      <c r="M259" s="6" t="s">
        <v>63</v>
      </c>
      <c r="N259" s="6" t="s">
        <v>40</v>
      </c>
      <c r="O259" s="6">
        <v>2045</v>
      </c>
      <c r="P259" s="7">
        <v>20407</v>
      </c>
      <c r="Q259" s="8">
        <v>69</v>
      </c>
      <c r="R259" s="8" t="s">
        <v>96</v>
      </c>
      <c r="S259" s="6" t="s">
        <v>42</v>
      </c>
      <c r="T259" s="6" t="s">
        <v>43</v>
      </c>
      <c r="U259" s="6" t="s">
        <v>44</v>
      </c>
      <c r="V259" s="6" t="s">
        <v>45</v>
      </c>
      <c r="W259" s="6" t="s">
        <v>46</v>
      </c>
      <c r="X259" s="7">
        <v>41911</v>
      </c>
      <c r="Y259" s="8">
        <f t="shared" ref="Y259:Y312" ca="1" si="4">INT(YEARFRAC(X259,TODAY()))</f>
        <v>11</v>
      </c>
      <c r="Z259" s="7"/>
      <c r="AA259" s="6" t="s">
        <v>47</v>
      </c>
      <c r="AB259" s="6" t="s">
        <v>48</v>
      </c>
      <c r="AC259" s="6" t="s">
        <v>49</v>
      </c>
      <c r="AD259" s="6" t="s">
        <v>68</v>
      </c>
      <c r="AE259" s="6">
        <v>16</v>
      </c>
      <c r="AF259" s="6" t="s">
        <v>60</v>
      </c>
      <c r="AG259" s="6" t="s">
        <v>52</v>
      </c>
      <c r="AH259" s="6">
        <v>4.3</v>
      </c>
      <c r="AI259" s="6">
        <v>3</v>
      </c>
      <c r="AJ259" s="6">
        <v>0</v>
      </c>
      <c r="AK259" s="7">
        <v>43493</v>
      </c>
      <c r="AL259" s="6">
        <v>4</v>
      </c>
    </row>
    <row r="260" spans="1:38" x14ac:dyDescent="0.35">
      <c r="A260" s="6" t="s">
        <v>431</v>
      </c>
      <c r="B260" s="6">
        <v>10291</v>
      </c>
      <c r="C260" s="6">
        <v>0</v>
      </c>
      <c r="D260" s="6">
        <v>2</v>
      </c>
      <c r="E260" s="6">
        <v>1</v>
      </c>
      <c r="F260" s="6">
        <v>1</v>
      </c>
      <c r="G260" s="6">
        <v>6</v>
      </c>
      <c r="H260" s="6">
        <v>2</v>
      </c>
      <c r="I260" s="6">
        <v>1</v>
      </c>
      <c r="J260" s="6">
        <v>72992</v>
      </c>
      <c r="K260" s="6">
        <v>0</v>
      </c>
      <c r="L260" s="6">
        <v>21</v>
      </c>
      <c r="M260" s="6" t="s">
        <v>185</v>
      </c>
      <c r="N260" s="6" t="s">
        <v>40</v>
      </c>
      <c r="O260" s="6">
        <v>1886</v>
      </c>
      <c r="P260" s="7">
        <v>31921</v>
      </c>
      <c r="Q260" s="8">
        <v>38</v>
      </c>
      <c r="R260" s="8" t="s">
        <v>41</v>
      </c>
      <c r="S260" s="6" t="s">
        <v>42</v>
      </c>
      <c r="T260" s="6" t="s">
        <v>70</v>
      </c>
      <c r="U260" s="6" t="s">
        <v>44</v>
      </c>
      <c r="V260" s="6" t="s">
        <v>45</v>
      </c>
      <c r="W260" s="6" t="s">
        <v>85</v>
      </c>
      <c r="X260" s="7">
        <v>41777</v>
      </c>
      <c r="Y260" s="8">
        <f t="shared" ca="1" si="4"/>
        <v>12</v>
      </c>
      <c r="Z260" s="7"/>
      <c r="AA260" s="6" t="s">
        <v>47</v>
      </c>
      <c r="AB260" s="6" t="s">
        <v>48</v>
      </c>
      <c r="AC260" s="6" t="s">
        <v>145</v>
      </c>
      <c r="AD260" s="6" t="s">
        <v>186</v>
      </c>
      <c r="AE260" s="6">
        <v>15</v>
      </c>
      <c r="AF260" s="6" t="s">
        <v>87</v>
      </c>
      <c r="AG260" s="6" t="s">
        <v>122</v>
      </c>
      <c r="AH260" s="6">
        <v>2.4</v>
      </c>
      <c r="AI260" s="6">
        <v>4</v>
      </c>
      <c r="AJ260" s="6">
        <v>0</v>
      </c>
      <c r="AK260" s="7">
        <v>43481</v>
      </c>
      <c r="AL260" s="6">
        <v>16</v>
      </c>
    </row>
    <row r="261" spans="1:38" x14ac:dyDescent="0.35">
      <c r="A261" s="6" t="s">
        <v>432</v>
      </c>
      <c r="B261" s="6">
        <v>10153</v>
      </c>
      <c r="C261" s="6">
        <v>1</v>
      </c>
      <c r="D261" s="6">
        <v>1</v>
      </c>
      <c r="E261" s="6">
        <v>0</v>
      </c>
      <c r="F261" s="6">
        <v>5</v>
      </c>
      <c r="G261" s="6">
        <v>1</v>
      </c>
      <c r="H261" s="6">
        <v>3</v>
      </c>
      <c r="I261" s="6">
        <v>1</v>
      </c>
      <c r="J261" s="6">
        <v>55000</v>
      </c>
      <c r="K261" s="6">
        <v>1</v>
      </c>
      <c r="L261" s="6">
        <v>2</v>
      </c>
      <c r="M261" s="6" t="s">
        <v>283</v>
      </c>
      <c r="N261" s="6" t="s">
        <v>40</v>
      </c>
      <c r="O261" s="6">
        <v>1844</v>
      </c>
      <c r="P261" s="7">
        <v>30527</v>
      </c>
      <c r="Q261" s="8">
        <v>41</v>
      </c>
      <c r="R261" s="8" t="s">
        <v>41</v>
      </c>
      <c r="S261" s="6" t="s">
        <v>64</v>
      </c>
      <c r="T261" s="6" t="s">
        <v>55</v>
      </c>
      <c r="U261" s="6" t="s">
        <v>44</v>
      </c>
      <c r="V261" s="6" t="s">
        <v>45</v>
      </c>
      <c r="W261" s="6" t="s">
        <v>85</v>
      </c>
      <c r="X261" s="7">
        <v>40812</v>
      </c>
      <c r="Y261" s="8">
        <f t="shared" ca="1" si="4"/>
        <v>14</v>
      </c>
      <c r="Z261" s="7">
        <v>41542</v>
      </c>
      <c r="AA261" s="6" t="s">
        <v>56</v>
      </c>
      <c r="AB261" s="6" t="s">
        <v>57</v>
      </c>
      <c r="AC261" s="6" t="s">
        <v>130</v>
      </c>
      <c r="AD261" s="6" t="s">
        <v>131</v>
      </c>
      <c r="AE261" s="6">
        <v>1</v>
      </c>
      <c r="AF261" s="6" t="s">
        <v>87</v>
      </c>
      <c r="AG261" s="6" t="s">
        <v>61</v>
      </c>
      <c r="AH261" s="6">
        <v>3.8</v>
      </c>
      <c r="AI261" s="6">
        <v>4</v>
      </c>
      <c r="AJ261" s="6">
        <v>4</v>
      </c>
      <c r="AK261" s="7">
        <v>41501</v>
      </c>
      <c r="AL261" s="6">
        <v>17</v>
      </c>
    </row>
    <row r="262" spans="1:38" x14ac:dyDescent="0.35">
      <c r="A262" s="6" t="s">
        <v>433</v>
      </c>
      <c r="B262" s="6">
        <v>10157</v>
      </c>
      <c r="C262" s="6">
        <v>0</v>
      </c>
      <c r="D262" s="6">
        <v>0</v>
      </c>
      <c r="E262" s="6">
        <v>0</v>
      </c>
      <c r="F262" s="6">
        <v>1</v>
      </c>
      <c r="G262" s="6">
        <v>5</v>
      </c>
      <c r="H262" s="6">
        <v>3</v>
      </c>
      <c r="I262" s="6">
        <v>0</v>
      </c>
      <c r="J262" s="6">
        <v>58939</v>
      </c>
      <c r="K262" s="6">
        <v>0</v>
      </c>
      <c r="L262" s="6">
        <v>19</v>
      </c>
      <c r="M262" s="6" t="s">
        <v>39</v>
      </c>
      <c r="N262" s="6" t="s">
        <v>40</v>
      </c>
      <c r="O262" s="6">
        <v>2130</v>
      </c>
      <c r="P262" s="7">
        <v>31157</v>
      </c>
      <c r="Q262" s="8">
        <v>40</v>
      </c>
      <c r="R262" s="8" t="s">
        <v>41</v>
      </c>
      <c r="S262" s="6" t="s">
        <v>64</v>
      </c>
      <c r="T262" s="6" t="s">
        <v>43</v>
      </c>
      <c r="U262" s="6" t="s">
        <v>44</v>
      </c>
      <c r="V262" s="6" t="s">
        <v>45</v>
      </c>
      <c r="W262" s="6" t="s">
        <v>46</v>
      </c>
      <c r="X262" s="7">
        <v>41589</v>
      </c>
      <c r="Y262" s="8">
        <f t="shared" ca="1" si="4"/>
        <v>12</v>
      </c>
      <c r="Z262" s="7"/>
      <c r="AA262" s="6" t="s">
        <v>47</v>
      </c>
      <c r="AB262" s="6" t="s">
        <v>48</v>
      </c>
      <c r="AC262" s="6" t="s">
        <v>49</v>
      </c>
      <c r="AD262" s="6" t="s">
        <v>82</v>
      </c>
      <c r="AE262" s="6">
        <v>19</v>
      </c>
      <c r="AF262" s="6" t="s">
        <v>83</v>
      </c>
      <c r="AG262" s="6" t="s">
        <v>61</v>
      </c>
      <c r="AH262" s="6">
        <v>3.73</v>
      </c>
      <c r="AI262" s="6">
        <v>3</v>
      </c>
      <c r="AJ262" s="6">
        <v>0</v>
      </c>
      <c r="AK262" s="7">
        <v>43489</v>
      </c>
      <c r="AL262" s="6">
        <v>16</v>
      </c>
    </row>
    <row r="263" spans="1:38" x14ac:dyDescent="0.35">
      <c r="A263" s="6" t="s">
        <v>434</v>
      </c>
      <c r="B263" s="6">
        <v>10119</v>
      </c>
      <c r="C263" s="6">
        <v>1</v>
      </c>
      <c r="D263" s="6">
        <v>1</v>
      </c>
      <c r="E263" s="6">
        <v>0</v>
      </c>
      <c r="F263" s="6">
        <v>1</v>
      </c>
      <c r="G263" s="6">
        <v>3</v>
      </c>
      <c r="H263" s="6">
        <v>3</v>
      </c>
      <c r="I263" s="6">
        <v>0</v>
      </c>
      <c r="J263" s="6">
        <v>66593</v>
      </c>
      <c r="K263" s="6">
        <v>0</v>
      </c>
      <c r="L263" s="6">
        <v>14</v>
      </c>
      <c r="M263" s="6" t="s">
        <v>89</v>
      </c>
      <c r="N263" s="6" t="s">
        <v>40</v>
      </c>
      <c r="O263" s="6">
        <v>2360</v>
      </c>
      <c r="P263" s="7">
        <v>25293</v>
      </c>
      <c r="Q263" s="8">
        <v>56</v>
      </c>
      <c r="R263" s="8" t="s">
        <v>41</v>
      </c>
      <c r="S263" s="6" t="s">
        <v>64</v>
      </c>
      <c r="T263" s="6" t="s">
        <v>55</v>
      </c>
      <c r="U263" s="6" t="s">
        <v>44</v>
      </c>
      <c r="V263" s="6" t="s">
        <v>45</v>
      </c>
      <c r="W263" s="6" t="s">
        <v>85</v>
      </c>
      <c r="X263" s="7">
        <v>40822</v>
      </c>
      <c r="Y263" s="8">
        <f t="shared" ca="1" si="4"/>
        <v>14</v>
      </c>
      <c r="Z263" s="7"/>
      <c r="AA263" s="6" t="s">
        <v>47</v>
      </c>
      <c r="AB263" s="6" t="s">
        <v>48</v>
      </c>
      <c r="AC263" s="6" t="s">
        <v>58</v>
      </c>
      <c r="AD263" s="6" t="s">
        <v>170</v>
      </c>
      <c r="AE263" s="6">
        <v>6</v>
      </c>
      <c r="AF263" s="6" t="s">
        <v>51</v>
      </c>
      <c r="AG263" s="6" t="s">
        <v>61</v>
      </c>
      <c r="AH263" s="6">
        <v>4.3</v>
      </c>
      <c r="AI263" s="6">
        <v>3</v>
      </c>
      <c r="AJ263" s="6">
        <v>5</v>
      </c>
      <c r="AK263" s="7">
        <v>43679</v>
      </c>
      <c r="AL263" s="6">
        <v>19</v>
      </c>
    </row>
    <row r="264" spans="1:38" x14ac:dyDescent="0.35">
      <c r="A264" s="6" t="s">
        <v>435</v>
      </c>
      <c r="B264" s="6">
        <v>10180</v>
      </c>
      <c r="C264" s="6">
        <v>1</v>
      </c>
      <c r="D264" s="6">
        <v>1</v>
      </c>
      <c r="E264" s="6">
        <v>1</v>
      </c>
      <c r="F264" s="6">
        <v>2</v>
      </c>
      <c r="G264" s="6">
        <v>3</v>
      </c>
      <c r="H264" s="6">
        <v>3</v>
      </c>
      <c r="I264" s="6">
        <v>0</v>
      </c>
      <c r="J264" s="6">
        <v>87565</v>
      </c>
      <c r="K264" s="6">
        <v>0</v>
      </c>
      <c r="L264" s="6">
        <v>28</v>
      </c>
      <c r="M264" s="6" t="s">
        <v>183</v>
      </c>
      <c r="N264" s="6" t="s">
        <v>40</v>
      </c>
      <c r="O264" s="6">
        <v>1545</v>
      </c>
      <c r="P264" s="7">
        <v>28910</v>
      </c>
      <c r="Q264" s="8">
        <v>46</v>
      </c>
      <c r="R264" s="8" t="s">
        <v>41</v>
      </c>
      <c r="S264" s="6" t="s">
        <v>42</v>
      </c>
      <c r="T264" s="6" t="s">
        <v>55</v>
      </c>
      <c r="U264" s="6" t="s">
        <v>44</v>
      </c>
      <c r="V264" s="6" t="s">
        <v>45</v>
      </c>
      <c r="W264" s="6" t="s">
        <v>116</v>
      </c>
      <c r="X264" s="7">
        <v>42551</v>
      </c>
      <c r="Y264" s="8">
        <f t="shared" ca="1" si="4"/>
        <v>10</v>
      </c>
      <c r="Z264" s="7"/>
      <c r="AA264" s="6" t="s">
        <v>47</v>
      </c>
      <c r="AB264" s="6" t="s">
        <v>48</v>
      </c>
      <c r="AC264" s="6" t="s">
        <v>58</v>
      </c>
      <c r="AD264" s="6" t="s">
        <v>90</v>
      </c>
      <c r="AE264" s="6">
        <v>7</v>
      </c>
      <c r="AF264" s="6" t="s">
        <v>51</v>
      </c>
      <c r="AG264" s="6" t="s">
        <v>61</v>
      </c>
      <c r="AH264" s="6">
        <v>3.27</v>
      </c>
      <c r="AI264" s="6">
        <v>4</v>
      </c>
      <c r="AJ264" s="6">
        <v>5</v>
      </c>
      <c r="AK264" s="7">
        <v>43479</v>
      </c>
      <c r="AL264" s="6">
        <v>13</v>
      </c>
    </row>
    <row r="265" spans="1:38" x14ac:dyDescent="0.35">
      <c r="A265" s="6" t="s">
        <v>436</v>
      </c>
      <c r="B265" s="6">
        <v>10302</v>
      </c>
      <c r="C265" s="6">
        <v>1</v>
      </c>
      <c r="D265" s="6">
        <v>1</v>
      </c>
      <c r="E265" s="6">
        <v>0</v>
      </c>
      <c r="F265" s="6">
        <v>1</v>
      </c>
      <c r="G265" s="6">
        <v>5</v>
      </c>
      <c r="H265" s="6">
        <v>1</v>
      </c>
      <c r="I265" s="6">
        <v>0</v>
      </c>
      <c r="J265" s="6">
        <v>64021</v>
      </c>
      <c r="K265" s="6">
        <v>0</v>
      </c>
      <c r="L265" s="6">
        <v>19</v>
      </c>
      <c r="M265" s="6" t="s">
        <v>39</v>
      </c>
      <c r="N265" s="6" t="s">
        <v>40</v>
      </c>
      <c r="O265" s="6">
        <v>2093</v>
      </c>
      <c r="P265" s="7">
        <v>28719</v>
      </c>
      <c r="Q265" s="8">
        <v>46</v>
      </c>
      <c r="R265" s="8" t="s">
        <v>41</v>
      </c>
      <c r="S265" s="6" t="s">
        <v>64</v>
      </c>
      <c r="T265" s="6" t="s">
        <v>55</v>
      </c>
      <c r="U265" s="6" t="s">
        <v>44</v>
      </c>
      <c r="V265" s="6" t="s">
        <v>45</v>
      </c>
      <c r="W265" s="6" t="s">
        <v>46</v>
      </c>
      <c r="X265" s="7">
        <v>40959</v>
      </c>
      <c r="Y265" s="8">
        <f t="shared" ca="1" si="4"/>
        <v>14</v>
      </c>
      <c r="Z265" s="7"/>
      <c r="AA265" s="6" t="s">
        <v>47</v>
      </c>
      <c r="AB265" s="6" t="s">
        <v>48</v>
      </c>
      <c r="AC265" s="6" t="s">
        <v>49</v>
      </c>
      <c r="AD265" s="6" t="s">
        <v>86</v>
      </c>
      <c r="AE265" s="6">
        <v>12</v>
      </c>
      <c r="AF265" s="6" t="s">
        <v>60</v>
      </c>
      <c r="AG265" s="6" t="s">
        <v>195</v>
      </c>
      <c r="AH265" s="6">
        <v>2.4</v>
      </c>
      <c r="AI265" s="6">
        <v>2</v>
      </c>
      <c r="AJ265" s="6">
        <v>1</v>
      </c>
      <c r="AK265" s="7">
        <v>43521</v>
      </c>
      <c r="AL265" s="6">
        <v>20</v>
      </c>
    </row>
    <row r="266" spans="1:38" x14ac:dyDescent="0.35">
      <c r="A266" s="6" t="s">
        <v>437</v>
      </c>
      <c r="B266" s="6">
        <v>10090</v>
      </c>
      <c r="C266" s="6">
        <v>1</v>
      </c>
      <c r="D266" s="6">
        <v>1</v>
      </c>
      <c r="E266" s="6">
        <v>0</v>
      </c>
      <c r="F266" s="6">
        <v>1</v>
      </c>
      <c r="G266" s="6">
        <v>5</v>
      </c>
      <c r="H266" s="6">
        <v>3</v>
      </c>
      <c r="I266" s="6">
        <v>0</v>
      </c>
      <c r="J266" s="6">
        <v>65714</v>
      </c>
      <c r="K266" s="6">
        <v>0</v>
      </c>
      <c r="L266" s="6">
        <v>18</v>
      </c>
      <c r="M266" s="6" t="s">
        <v>133</v>
      </c>
      <c r="N266" s="6" t="s">
        <v>40</v>
      </c>
      <c r="O266" s="6">
        <v>2451</v>
      </c>
      <c r="P266" s="7">
        <v>27667</v>
      </c>
      <c r="Q266" s="8">
        <v>49</v>
      </c>
      <c r="R266" s="8" t="s">
        <v>41</v>
      </c>
      <c r="S266" s="6" t="s">
        <v>64</v>
      </c>
      <c r="T266" s="6" t="s">
        <v>55</v>
      </c>
      <c r="U266" s="6" t="s">
        <v>44</v>
      </c>
      <c r="V266" s="6" t="s">
        <v>45</v>
      </c>
      <c r="W266" s="6" t="s">
        <v>46</v>
      </c>
      <c r="X266" s="7">
        <v>40949</v>
      </c>
      <c r="Y266" s="8">
        <f t="shared" ca="1" si="4"/>
        <v>14</v>
      </c>
      <c r="Z266" s="7"/>
      <c r="AA266" s="6" t="s">
        <v>47</v>
      </c>
      <c r="AB266" s="6" t="s">
        <v>48</v>
      </c>
      <c r="AC266" s="6" t="s">
        <v>49</v>
      </c>
      <c r="AD266" s="6" t="s">
        <v>135</v>
      </c>
      <c r="AE266" s="6">
        <v>2</v>
      </c>
      <c r="AF266" s="6" t="s">
        <v>51</v>
      </c>
      <c r="AG266" s="6" t="s">
        <v>61</v>
      </c>
      <c r="AH266" s="6">
        <v>4.83</v>
      </c>
      <c r="AI266" s="6">
        <v>5</v>
      </c>
      <c r="AJ266" s="6">
        <v>0</v>
      </c>
      <c r="AK266" s="7">
        <v>43510</v>
      </c>
      <c r="AL266" s="6">
        <v>15</v>
      </c>
    </row>
    <row r="267" spans="1:38" x14ac:dyDescent="0.35">
      <c r="A267" s="6" t="s">
        <v>438</v>
      </c>
      <c r="B267" s="6">
        <v>10030</v>
      </c>
      <c r="C267" s="6">
        <v>0</v>
      </c>
      <c r="D267" s="6">
        <v>2</v>
      </c>
      <c r="E267" s="6">
        <v>0</v>
      </c>
      <c r="F267" s="6">
        <v>5</v>
      </c>
      <c r="G267" s="6">
        <v>5</v>
      </c>
      <c r="H267" s="6">
        <v>4</v>
      </c>
      <c r="I267" s="6">
        <v>0</v>
      </c>
      <c r="J267" s="6">
        <v>62425</v>
      </c>
      <c r="K267" s="6">
        <v>1</v>
      </c>
      <c r="L267" s="6">
        <v>19</v>
      </c>
      <c r="M267" s="6" t="s">
        <v>39</v>
      </c>
      <c r="N267" s="6" t="s">
        <v>40</v>
      </c>
      <c r="O267" s="6">
        <v>2359</v>
      </c>
      <c r="P267" s="7">
        <v>26749</v>
      </c>
      <c r="Q267" s="8">
        <v>52</v>
      </c>
      <c r="R267" s="8" t="s">
        <v>41</v>
      </c>
      <c r="S267" s="6" t="s">
        <v>64</v>
      </c>
      <c r="T267" s="6" t="s">
        <v>70</v>
      </c>
      <c r="U267" s="6" t="s">
        <v>44</v>
      </c>
      <c r="V267" s="6" t="s">
        <v>45</v>
      </c>
      <c r="W267" s="6" t="s">
        <v>46</v>
      </c>
      <c r="X267" s="7">
        <v>40676</v>
      </c>
      <c r="Y267" s="8">
        <f t="shared" ca="1" si="4"/>
        <v>15</v>
      </c>
      <c r="Z267" s="7">
        <v>42184</v>
      </c>
      <c r="AA267" s="6" t="s">
        <v>97</v>
      </c>
      <c r="AB267" s="6" t="s">
        <v>57</v>
      </c>
      <c r="AC267" s="6" t="s">
        <v>49</v>
      </c>
      <c r="AD267" s="6" t="s">
        <v>94</v>
      </c>
      <c r="AE267" s="6">
        <v>14</v>
      </c>
      <c r="AF267" s="6" t="s">
        <v>51</v>
      </c>
      <c r="AG267" s="6" t="s">
        <v>52</v>
      </c>
      <c r="AH267" s="6">
        <v>4.0999999999999996</v>
      </c>
      <c r="AI267" s="6">
        <v>4</v>
      </c>
      <c r="AJ267" s="6">
        <v>0</v>
      </c>
      <c r="AK267" s="7">
        <v>42038</v>
      </c>
      <c r="AL267" s="6">
        <v>16</v>
      </c>
    </row>
    <row r="268" spans="1:38" x14ac:dyDescent="0.35">
      <c r="A268" s="6" t="s">
        <v>439</v>
      </c>
      <c r="B268" s="6">
        <v>10278</v>
      </c>
      <c r="C268" s="6">
        <v>0</v>
      </c>
      <c r="D268" s="6">
        <v>2</v>
      </c>
      <c r="E268" s="6">
        <v>0</v>
      </c>
      <c r="F268" s="6">
        <v>1</v>
      </c>
      <c r="G268" s="6">
        <v>5</v>
      </c>
      <c r="H268" s="6">
        <v>3</v>
      </c>
      <c r="I268" s="6">
        <v>0</v>
      </c>
      <c r="J268" s="6">
        <v>47961</v>
      </c>
      <c r="K268" s="6">
        <v>0</v>
      </c>
      <c r="L268" s="6">
        <v>19</v>
      </c>
      <c r="M268" s="6" t="s">
        <v>39</v>
      </c>
      <c r="N268" s="6" t="s">
        <v>40</v>
      </c>
      <c r="O268" s="6">
        <v>2050</v>
      </c>
      <c r="P268" s="7">
        <v>30188</v>
      </c>
      <c r="Q268" s="8">
        <v>42</v>
      </c>
      <c r="R268" s="8" t="s">
        <v>41</v>
      </c>
      <c r="S268" s="6" t="s">
        <v>64</v>
      </c>
      <c r="T268" s="6" t="s">
        <v>70</v>
      </c>
      <c r="U268" s="6" t="s">
        <v>44</v>
      </c>
      <c r="V268" s="6" t="s">
        <v>45</v>
      </c>
      <c r="W268" s="6" t="s">
        <v>102</v>
      </c>
      <c r="X268" s="7">
        <v>40817</v>
      </c>
      <c r="Y268" s="8">
        <f t="shared" ca="1" si="4"/>
        <v>14</v>
      </c>
      <c r="Z268" s="7"/>
      <c r="AA268" s="6" t="s">
        <v>47</v>
      </c>
      <c r="AB268" s="6" t="s">
        <v>48</v>
      </c>
      <c r="AC268" s="6" t="s">
        <v>49</v>
      </c>
      <c r="AD268" s="6" t="s">
        <v>66</v>
      </c>
      <c r="AE268" s="6">
        <v>20</v>
      </c>
      <c r="AF268" s="6" t="s">
        <v>73</v>
      </c>
      <c r="AG268" s="6" t="s">
        <v>61</v>
      </c>
      <c r="AH268" s="6">
        <v>4.0999999999999996</v>
      </c>
      <c r="AI268" s="6">
        <v>4</v>
      </c>
      <c r="AJ268" s="6">
        <v>0</v>
      </c>
      <c r="AK268" s="7">
        <v>43648</v>
      </c>
      <c r="AL268" s="6">
        <v>9</v>
      </c>
    </row>
    <row r="269" spans="1:38" x14ac:dyDescent="0.35">
      <c r="A269" s="6" t="s">
        <v>440</v>
      </c>
      <c r="B269" s="6">
        <v>10307</v>
      </c>
      <c r="C269" s="6">
        <v>1</v>
      </c>
      <c r="D269" s="6">
        <v>1</v>
      </c>
      <c r="E269" s="6">
        <v>1</v>
      </c>
      <c r="F269" s="6">
        <v>1</v>
      </c>
      <c r="G269" s="6">
        <v>6</v>
      </c>
      <c r="H269" s="6">
        <v>1</v>
      </c>
      <c r="I269" s="6">
        <v>0</v>
      </c>
      <c r="J269" s="6">
        <v>58273</v>
      </c>
      <c r="K269" s="6">
        <v>0</v>
      </c>
      <c r="L269" s="6">
        <v>3</v>
      </c>
      <c r="M269" s="6" t="s">
        <v>143</v>
      </c>
      <c r="N269" s="6" t="s">
        <v>441</v>
      </c>
      <c r="O269" s="6">
        <v>89139</v>
      </c>
      <c r="P269" s="7">
        <v>31120</v>
      </c>
      <c r="Q269" s="8">
        <v>40</v>
      </c>
      <c r="R269" s="8" t="s">
        <v>41</v>
      </c>
      <c r="S269" s="6" t="s">
        <v>42</v>
      </c>
      <c r="T269" s="6" t="s">
        <v>55</v>
      </c>
      <c r="U269" s="6" t="s">
        <v>44</v>
      </c>
      <c r="V269" s="6" t="s">
        <v>45</v>
      </c>
      <c r="W269" s="6" t="s">
        <v>46</v>
      </c>
      <c r="X269" s="7">
        <v>41978</v>
      </c>
      <c r="Y269" s="8">
        <f t="shared" ca="1" si="4"/>
        <v>11</v>
      </c>
      <c r="Z269" s="7"/>
      <c r="AA269" s="6" t="s">
        <v>47</v>
      </c>
      <c r="AB269" s="6" t="s">
        <v>48</v>
      </c>
      <c r="AC269" s="6" t="s">
        <v>145</v>
      </c>
      <c r="AD269" s="6" t="s">
        <v>164</v>
      </c>
      <c r="AE269" s="6">
        <v>21</v>
      </c>
      <c r="AF269" s="6" t="s">
        <v>205</v>
      </c>
      <c r="AG269" s="6" t="s">
        <v>195</v>
      </c>
      <c r="AH269" s="6">
        <v>1.81</v>
      </c>
      <c r="AI269" s="6">
        <v>2</v>
      </c>
      <c r="AJ269" s="6">
        <v>0</v>
      </c>
      <c r="AK269" s="7">
        <v>43482</v>
      </c>
      <c r="AL269" s="6">
        <v>5</v>
      </c>
    </row>
    <row r="270" spans="1:38" x14ac:dyDescent="0.35">
      <c r="A270" s="6" t="s">
        <v>442</v>
      </c>
      <c r="B270" s="6">
        <v>10147</v>
      </c>
      <c r="C270" s="6">
        <v>0</v>
      </c>
      <c r="D270" s="6">
        <v>0</v>
      </c>
      <c r="E270" s="6">
        <v>1</v>
      </c>
      <c r="F270" s="6">
        <v>1</v>
      </c>
      <c r="G270" s="6">
        <v>1</v>
      </c>
      <c r="H270" s="6">
        <v>3</v>
      </c>
      <c r="I270" s="6">
        <v>0</v>
      </c>
      <c r="J270" s="6">
        <v>63003</v>
      </c>
      <c r="K270" s="6">
        <v>0</v>
      </c>
      <c r="L270" s="6">
        <v>1</v>
      </c>
      <c r="M270" s="6" t="s">
        <v>138</v>
      </c>
      <c r="N270" s="6" t="s">
        <v>40</v>
      </c>
      <c r="O270" s="6">
        <v>2703</v>
      </c>
      <c r="P270" s="7">
        <v>28577</v>
      </c>
      <c r="Q270" s="8">
        <v>47</v>
      </c>
      <c r="R270" s="8" t="s">
        <v>41</v>
      </c>
      <c r="S270" s="6" t="s">
        <v>42</v>
      </c>
      <c r="T270" s="6" t="s">
        <v>43</v>
      </c>
      <c r="U270" s="6" t="s">
        <v>44</v>
      </c>
      <c r="V270" s="6" t="s">
        <v>45</v>
      </c>
      <c r="W270" s="6" t="s">
        <v>46</v>
      </c>
      <c r="X270" s="7">
        <v>41911</v>
      </c>
      <c r="Y270" s="8">
        <f t="shared" ca="1" si="4"/>
        <v>11</v>
      </c>
      <c r="Z270" s="7"/>
      <c r="AA270" s="6" t="s">
        <v>47</v>
      </c>
      <c r="AB270" s="6" t="s">
        <v>48</v>
      </c>
      <c r="AC270" s="6" t="s">
        <v>130</v>
      </c>
      <c r="AD270" s="6" t="s">
        <v>131</v>
      </c>
      <c r="AE270" s="6">
        <v>1</v>
      </c>
      <c r="AF270" s="6" t="s">
        <v>60</v>
      </c>
      <c r="AG270" s="6" t="s">
        <v>61</v>
      </c>
      <c r="AH270" s="6">
        <v>3.9</v>
      </c>
      <c r="AI270" s="6">
        <v>5</v>
      </c>
      <c r="AJ270" s="6">
        <v>5</v>
      </c>
      <c r="AK270" s="7">
        <v>43483</v>
      </c>
      <c r="AL270" s="6">
        <v>9</v>
      </c>
    </row>
    <row r="271" spans="1:38" x14ac:dyDescent="0.35">
      <c r="A271" s="6" t="s">
        <v>443</v>
      </c>
      <c r="B271" s="6">
        <v>10266</v>
      </c>
      <c r="C271" s="6">
        <v>1</v>
      </c>
      <c r="D271" s="6">
        <v>1</v>
      </c>
      <c r="E271" s="6">
        <v>1</v>
      </c>
      <c r="F271" s="6">
        <v>1</v>
      </c>
      <c r="G271" s="6">
        <v>5</v>
      </c>
      <c r="H271" s="6">
        <v>3</v>
      </c>
      <c r="I271" s="6">
        <v>0</v>
      </c>
      <c r="J271" s="6">
        <v>61355</v>
      </c>
      <c r="K271" s="6">
        <v>0</v>
      </c>
      <c r="L271" s="6">
        <v>19</v>
      </c>
      <c r="M271" s="6" t="s">
        <v>39</v>
      </c>
      <c r="N271" s="6" t="s">
        <v>40</v>
      </c>
      <c r="O271" s="6">
        <v>2301</v>
      </c>
      <c r="P271" s="7">
        <v>25065</v>
      </c>
      <c r="Q271" s="8">
        <v>56</v>
      </c>
      <c r="R271" s="8" t="s">
        <v>41</v>
      </c>
      <c r="S271" s="6" t="s">
        <v>42</v>
      </c>
      <c r="T271" s="6" t="s">
        <v>55</v>
      </c>
      <c r="U271" s="6" t="s">
        <v>44</v>
      </c>
      <c r="V271" s="6" t="s">
        <v>45</v>
      </c>
      <c r="W271" s="6" t="s">
        <v>116</v>
      </c>
      <c r="X271" s="7">
        <v>41687</v>
      </c>
      <c r="Y271" s="8">
        <f t="shared" ca="1" si="4"/>
        <v>12</v>
      </c>
      <c r="Z271" s="7"/>
      <c r="AA271" s="6" t="s">
        <v>47</v>
      </c>
      <c r="AB271" s="6" t="s">
        <v>48</v>
      </c>
      <c r="AC271" s="6" t="s">
        <v>49</v>
      </c>
      <c r="AD271" s="6" t="s">
        <v>103</v>
      </c>
      <c r="AE271" s="6">
        <v>18</v>
      </c>
      <c r="AF271" s="6" t="s">
        <v>51</v>
      </c>
      <c r="AG271" s="6" t="s">
        <v>61</v>
      </c>
      <c r="AH271" s="6">
        <v>4.7</v>
      </c>
      <c r="AI271" s="6">
        <v>3</v>
      </c>
      <c r="AJ271" s="6">
        <v>0</v>
      </c>
      <c r="AK271" s="7">
        <v>43770</v>
      </c>
      <c r="AL271" s="6">
        <v>4</v>
      </c>
    </row>
    <row r="272" spans="1:38" x14ac:dyDescent="0.35">
      <c r="A272" s="6" t="s">
        <v>444</v>
      </c>
      <c r="B272" s="6">
        <v>10241</v>
      </c>
      <c r="C272" s="6">
        <v>1</v>
      </c>
      <c r="D272" s="6">
        <v>1</v>
      </c>
      <c r="E272" s="6">
        <v>0</v>
      </c>
      <c r="F272" s="6">
        <v>1</v>
      </c>
      <c r="G272" s="6">
        <v>6</v>
      </c>
      <c r="H272" s="6">
        <v>3</v>
      </c>
      <c r="I272" s="6">
        <v>0</v>
      </c>
      <c r="J272" s="6">
        <v>60120</v>
      </c>
      <c r="K272" s="6">
        <v>0</v>
      </c>
      <c r="L272" s="6">
        <v>3</v>
      </c>
      <c r="M272" s="6" t="s">
        <v>143</v>
      </c>
      <c r="N272" s="6" t="s">
        <v>445</v>
      </c>
      <c r="O272" s="6">
        <v>59102</v>
      </c>
      <c r="P272" s="7">
        <v>32074</v>
      </c>
      <c r="Q272" s="8">
        <v>37</v>
      </c>
      <c r="R272" s="8" t="s">
        <v>41</v>
      </c>
      <c r="S272" s="6" t="s">
        <v>64</v>
      </c>
      <c r="T272" s="6" t="s">
        <v>55</v>
      </c>
      <c r="U272" s="6" t="s">
        <v>44</v>
      </c>
      <c r="V272" s="6" t="s">
        <v>45</v>
      </c>
      <c r="W272" s="6" t="s">
        <v>85</v>
      </c>
      <c r="X272" s="7">
        <v>40448</v>
      </c>
      <c r="Y272" s="8">
        <f t="shared" ca="1" si="4"/>
        <v>15</v>
      </c>
      <c r="Z272" s="7"/>
      <c r="AA272" s="6" t="s">
        <v>47</v>
      </c>
      <c r="AB272" s="6" t="s">
        <v>48</v>
      </c>
      <c r="AC272" s="6" t="s">
        <v>145</v>
      </c>
      <c r="AD272" s="6" t="s">
        <v>146</v>
      </c>
      <c r="AE272" s="6">
        <v>17</v>
      </c>
      <c r="AF272" s="6" t="s">
        <v>60</v>
      </c>
      <c r="AG272" s="6" t="s">
        <v>61</v>
      </c>
      <c r="AH272" s="6">
        <v>4.0999999999999996</v>
      </c>
      <c r="AI272" s="6">
        <v>4</v>
      </c>
      <c r="AJ272" s="6">
        <v>0</v>
      </c>
      <c r="AK272" s="7">
        <v>43496</v>
      </c>
      <c r="AL272" s="6">
        <v>18</v>
      </c>
    </row>
    <row r="273" spans="1:38" x14ac:dyDescent="0.35">
      <c r="A273" s="6" t="s">
        <v>446</v>
      </c>
      <c r="B273" s="6">
        <v>10158</v>
      </c>
      <c r="C273" s="6">
        <v>1</v>
      </c>
      <c r="D273" s="6">
        <v>1</v>
      </c>
      <c r="E273" s="6">
        <v>0</v>
      </c>
      <c r="F273" s="6">
        <v>1</v>
      </c>
      <c r="G273" s="6">
        <v>5</v>
      </c>
      <c r="H273" s="6">
        <v>3</v>
      </c>
      <c r="I273" s="6">
        <v>0</v>
      </c>
      <c r="J273" s="6">
        <v>63682</v>
      </c>
      <c r="K273" s="6">
        <v>0</v>
      </c>
      <c r="L273" s="6">
        <v>18</v>
      </c>
      <c r="M273" s="6" t="s">
        <v>133</v>
      </c>
      <c r="N273" s="6" t="s">
        <v>40</v>
      </c>
      <c r="O273" s="6">
        <v>1776</v>
      </c>
      <c r="P273" s="7">
        <v>19503</v>
      </c>
      <c r="Q273" s="8">
        <v>72</v>
      </c>
      <c r="R273" s="8" t="s">
        <v>96</v>
      </c>
      <c r="S273" s="6" t="s">
        <v>64</v>
      </c>
      <c r="T273" s="6" t="s">
        <v>55</v>
      </c>
      <c r="U273" s="6" t="s">
        <v>44</v>
      </c>
      <c r="V273" s="6" t="s">
        <v>45</v>
      </c>
      <c r="W273" s="6" t="s">
        <v>85</v>
      </c>
      <c r="X273" s="7">
        <v>40026</v>
      </c>
      <c r="Y273" s="8">
        <f t="shared" ca="1" si="4"/>
        <v>16</v>
      </c>
      <c r="Z273" s="7"/>
      <c r="AA273" s="6" t="s">
        <v>47</v>
      </c>
      <c r="AB273" s="6" t="s">
        <v>48</v>
      </c>
      <c r="AC273" s="6" t="s">
        <v>49</v>
      </c>
      <c r="AD273" s="6" t="s">
        <v>135</v>
      </c>
      <c r="AE273" s="6">
        <v>2</v>
      </c>
      <c r="AF273" s="6" t="s">
        <v>60</v>
      </c>
      <c r="AG273" s="6" t="s">
        <v>61</v>
      </c>
      <c r="AH273" s="6">
        <v>3.73</v>
      </c>
      <c r="AI273" s="6">
        <v>4</v>
      </c>
      <c r="AJ273" s="6">
        <v>0</v>
      </c>
      <c r="AK273" s="7">
        <v>43489</v>
      </c>
      <c r="AL273" s="6">
        <v>12</v>
      </c>
    </row>
    <row r="274" spans="1:38" x14ac:dyDescent="0.35">
      <c r="A274" s="6" t="s">
        <v>447</v>
      </c>
      <c r="B274" s="6">
        <v>10117</v>
      </c>
      <c r="C274" s="6">
        <v>1</v>
      </c>
      <c r="D274" s="6">
        <v>1</v>
      </c>
      <c r="E274" s="6">
        <v>1</v>
      </c>
      <c r="F274" s="6">
        <v>1</v>
      </c>
      <c r="G274" s="6">
        <v>5</v>
      </c>
      <c r="H274" s="6">
        <v>3</v>
      </c>
      <c r="I274" s="6">
        <v>0</v>
      </c>
      <c r="J274" s="6">
        <v>63025</v>
      </c>
      <c r="K274" s="6">
        <v>0</v>
      </c>
      <c r="L274" s="6">
        <v>19</v>
      </c>
      <c r="M274" s="6" t="s">
        <v>39</v>
      </c>
      <c r="N274" s="6" t="s">
        <v>40</v>
      </c>
      <c r="O274" s="6">
        <v>2747</v>
      </c>
      <c r="P274" s="7">
        <v>27653</v>
      </c>
      <c r="Q274" s="8">
        <v>49</v>
      </c>
      <c r="R274" s="8" t="s">
        <v>41</v>
      </c>
      <c r="S274" s="6" t="s">
        <v>42</v>
      </c>
      <c r="T274" s="6" t="s">
        <v>55</v>
      </c>
      <c r="U274" s="6" t="s">
        <v>44</v>
      </c>
      <c r="V274" s="6" t="s">
        <v>92</v>
      </c>
      <c r="W274" s="6" t="s">
        <v>46</v>
      </c>
      <c r="X274" s="7">
        <v>42125</v>
      </c>
      <c r="Y274" s="8">
        <f t="shared" ca="1" si="4"/>
        <v>11</v>
      </c>
      <c r="Z274" s="7"/>
      <c r="AA274" s="6" t="s">
        <v>47</v>
      </c>
      <c r="AB274" s="6" t="s">
        <v>48</v>
      </c>
      <c r="AC274" s="6" t="s">
        <v>49</v>
      </c>
      <c r="AD274" s="6" t="s">
        <v>50</v>
      </c>
      <c r="AE274" s="6">
        <v>22</v>
      </c>
      <c r="AF274" s="6" t="s">
        <v>73</v>
      </c>
      <c r="AG274" s="6" t="s">
        <v>61</v>
      </c>
      <c r="AH274" s="6">
        <v>4.3600000000000003</v>
      </c>
      <c r="AI274" s="6">
        <v>5</v>
      </c>
      <c r="AJ274" s="6">
        <v>0</v>
      </c>
      <c r="AK274" s="7">
        <v>43489</v>
      </c>
      <c r="AL274" s="6">
        <v>10</v>
      </c>
    </row>
    <row r="275" spans="1:38" x14ac:dyDescent="0.35">
      <c r="A275" s="6" t="s">
        <v>448</v>
      </c>
      <c r="B275" s="6">
        <v>10209</v>
      </c>
      <c r="C275" s="6">
        <v>0</v>
      </c>
      <c r="D275" s="6">
        <v>0</v>
      </c>
      <c r="E275" s="6">
        <v>0</v>
      </c>
      <c r="F275" s="6">
        <v>1</v>
      </c>
      <c r="G275" s="6">
        <v>5</v>
      </c>
      <c r="H275" s="6">
        <v>3</v>
      </c>
      <c r="I275" s="6">
        <v>0</v>
      </c>
      <c r="J275" s="6">
        <v>59238</v>
      </c>
      <c r="K275" s="6">
        <v>0</v>
      </c>
      <c r="L275" s="6">
        <v>19</v>
      </c>
      <c r="M275" s="6" t="s">
        <v>39</v>
      </c>
      <c r="N275" s="6" t="s">
        <v>40</v>
      </c>
      <c r="O275" s="6">
        <v>2718</v>
      </c>
      <c r="P275" s="7">
        <v>24852</v>
      </c>
      <c r="Q275" s="8">
        <v>57</v>
      </c>
      <c r="R275" s="8" t="s">
        <v>41</v>
      </c>
      <c r="S275" s="6" t="s">
        <v>64</v>
      </c>
      <c r="T275" s="6" t="s">
        <v>43</v>
      </c>
      <c r="U275" s="6" t="s">
        <v>111</v>
      </c>
      <c r="V275" s="6" t="s">
        <v>45</v>
      </c>
      <c r="W275" s="6" t="s">
        <v>116</v>
      </c>
      <c r="X275" s="7">
        <v>40677</v>
      </c>
      <c r="Y275" s="8">
        <f t="shared" ca="1" si="4"/>
        <v>15</v>
      </c>
      <c r="Z275" s="7"/>
      <c r="AA275" s="6" t="s">
        <v>47</v>
      </c>
      <c r="AB275" s="6" t="s">
        <v>48</v>
      </c>
      <c r="AC275" s="6" t="s">
        <v>49</v>
      </c>
      <c r="AD275" s="6" t="s">
        <v>68</v>
      </c>
      <c r="AE275" s="6">
        <v>16</v>
      </c>
      <c r="AF275" s="6" t="s">
        <v>60</v>
      </c>
      <c r="AG275" s="6" t="s">
        <v>61</v>
      </c>
      <c r="AH275" s="6">
        <v>3.4</v>
      </c>
      <c r="AI275" s="6">
        <v>5</v>
      </c>
      <c r="AJ275" s="6">
        <v>0</v>
      </c>
      <c r="AK275" s="7">
        <v>43496</v>
      </c>
      <c r="AL275" s="6">
        <v>13</v>
      </c>
    </row>
    <row r="276" spans="1:38" x14ac:dyDescent="0.35">
      <c r="A276" s="6" t="s">
        <v>449</v>
      </c>
      <c r="B276" s="6">
        <v>10024</v>
      </c>
      <c r="C276" s="6">
        <v>0</v>
      </c>
      <c r="D276" s="6">
        <v>0</v>
      </c>
      <c r="E276" s="6">
        <v>1</v>
      </c>
      <c r="F276" s="6">
        <v>1</v>
      </c>
      <c r="G276" s="6">
        <v>4</v>
      </c>
      <c r="H276" s="6">
        <v>4</v>
      </c>
      <c r="I276" s="6">
        <v>0</v>
      </c>
      <c r="J276" s="6">
        <v>92989</v>
      </c>
      <c r="K276" s="6">
        <v>0</v>
      </c>
      <c r="L276" s="6">
        <v>24</v>
      </c>
      <c r="M276" s="6" t="s">
        <v>77</v>
      </c>
      <c r="N276" s="6" t="s">
        <v>40</v>
      </c>
      <c r="O276" s="6">
        <v>2140</v>
      </c>
      <c r="P276" s="7">
        <v>30452</v>
      </c>
      <c r="Q276" s="8">
        <v>42</v>
      </c>
      <c r="R276" s="8" t="s">
        <v>41</v>
      </c>
      <c r="S276" s="6" t="s">
        <v>42</v>
      </c>
      <c r="T276" s="6" t="s">
        <v>43</v>
      </c>
      <c r="U276" s="6" t="s">
        <v>44</v>
      </c>
      <c r="V276" s="6" t="s">
        <v>45</v>
      </c>
      <c r="W276" s="6" t="s">
        <v>46</v>
      </c>
      <c r="X276" s="7">
        <v>41827</v>
      </c>
      <c r="Y276" s="8">
        <f t="shared" ca="1" si="4"/>
        <v>12</v>
      </c>
      <c r="Z276" s="7"/>
      <c r="AA276" s="6" t="s">
        <v>47</v>
      </c>
      <c r="AB276" s="6" t="s">
        <v>48</v>
      </c>
      <c r="AC276" s="6" t="s">
        <v>78</v>
      </c>
      <c r="AD276" s="6" t="s">
        <v>79</v>
      </c>
      <c r="AE276" s="6">
        <v>10</v>
      </c>
      <c r="AF276" s="6" t="s">
        <v>51</v>
      </c>
      <c r="AG276" s="6" t="s">
        <v>52</v>
      </c>
      <c r="AH276" s="6">
        <v>4.5</v>
      </c>
      <c r="AI276" s="6">
        <v>5</v>
      </c>
      <c r="AJ276" s="6">
        <v>5</v>
      </c>
      <c r="AK276" s="7">
        <v>43514</v>
      </c>
      <c r="AL276" s="6">
        <v>1</v>
      </c>
    </row>
    <row r="277" spans="1:38" x14ac:dyDescent="0.35">
      <c r="A277" s="6" t="s">
        <v>450</v>
      </c>
      <c r="B277" s="6">
        <v>10173</v>
      </c>
      <c r="C277" s="6">
        <v>1</v>
      </c>
      <c r="D277" s="6">
        <v>1</v>
      </c>
      <c r="E277" s="6">
        <v>1</v>
      </c>
      <c r="F277" s="6">
        <v>1</v>
      </c>
      <c r="G277" s="6">
        <v>3</v>
      </c>
      <c r="H277" s="6">
        <v>3</v>
      </c>
      <c r="I277" s="6">
        <v>0</v>
      </c>
      <c r="J277" s="6">
        <v>90100</v>
      </c>
      <c r="K277" s="6">
        <v>0</v>
      </c>
      <c r="L277" s="6">
        <v>4</v>
      </c>
      <c r="M277" s="6" t="s">
        <v>200</v>
      </c>
      <c r="N277" s="6" t="s">
        <v>40</v>
      </c>
      <c r="O277" s="6">
        <v>2134</v>
      </c>
      <c r="P277" s="7">
        <v>30481</v>
      </c>
      <c r="Q277" s="8">
        <v>42</v>
      </c>
      <c r="R277" s="8" t="s">
        <v>41</v>
      </c>
      <c r="S277" s="6" t="s">
        <v>42</v>
      </c>
      <c r="T277" s="6" t="s">
        <v>55</v>
      </c>
      <c r="U277" s="6" t="s">
        <v>44</v>
      </c>
      <c r="V277" s="6" t="s">
        <v>45</v>
      </c>
      <c r="W277" s="6" t="s">
        <v>46</v>
      </c>
      <c r="X277" s="7">
        <v>42845</v>
      </c>
      <c r="Y277" s="8">
        <f t="shared" ca="1" si="4"/>
        <v>9</v>
      </c>
      <c r="Z277" s="7"/>
      <c r="AA277" s="6" t="s">
        <v>47</v>
      </c>
      <c r="AB277" s="6" t="s">
        <v>48</v>
      </c>
      <c r="AC277" s="6" t="s">
        <v>58</v>
      </c>
      <c r="AD277" s="6" t="s">
        <v>201</v>
      </c>
      <c r="AE277" s="6">
        <v>13</v>
      </c>
      <c r="AF277" s="6" t="s">
        <v>60</v>
      </c>
      <c r="AG277" s="6" t="s">
        <v>61</v>
      </c>
      <c r="AH277" s="6">
        <v>3.4</v>
      </c>
      <c r="AI277" s="6">
        <v>3</v>
      </c>
      <c r="AJ277" s="6">
        <v>6</v>
      </c>
      <c r="AK277" s="7">
        <v>43497</v>
      </c>
      <c r="AL277" s="6">
        <v>14</v>
      </c>
    </row>
    <row r="278" spans="1:38" x14ac:dyDescent="0.35">
      <c r="A278" s="6" t="s">
        <v>451</v>
      </c>
      <c r="B278" s="6">
        <v>10221</v>
      </c>
      <c r="C278" s="6">
        <v>1</v>
      </c>
      <c r="D278" s="6">
        <v>1</v>
      </c>
      <c r="E278" s="6">
        <v>0</v>
      </c>
      <c r="F278" s="6">
        <v>5</v>
      </c>
      <c r="G278" s="6">
        <v>5</v>
      </c>
      <c r="H278" s="6">
        <v>3</v>
      </c>
      <c r="I278" s="6">
        <v>1</v>
      </c>
      <c r="J278" s="6">
        <v>60754</v>
      </c>
      <c r="K278" s="6">
        <v>1</v>
      </c>
      <c r="L278" s="6">
        <v>19</v>
      </c>
      <c r="M278" s="6" t="s">
        <v>39</v>
      </c>
      <c r="N278" s="6" t="s">
        <v>40</v>
      </c>
      <c r="O278" s="6">
        <v>1801</v>
      </c>
      <c r="P278" s="7">
        <v>31121</v>
      </c>
      <c r="Q278" s="8">
        <v>40</v>
      </c>
      <c r="R278" s="8" t="s">
        <v>41</v>
      </c>
      <c r="S278" s="6" t="s">
        <v>64</v>
      </c>
      <c r="T278" s="6" t="s">
        <v>55</v>
      </c>
      <c r="U278" s="6" t="s">
        <v>168</v>
      </c>
      <c r="V278" s="6" t="s">
        <v>45</v>
      </c>
      <c r="W278" s="6" t="s">
        <v>85</v>
      </c>
      <c r="X278" s="7">
        <v>39930</v>
      </c>
      <c r="Y278" s="8">
        <f t="shared" ca="1" si="4"/>
        <v>17</v>
      </c>
      <c r="Z278" s="7">
        <v>41278</v>
      </c>
      <c r="AA278" s="6" t="s">
        <v>93</v>
      </c>
      <c r="AB278" s="6" t="s">
        <v>57</v>
      </c>
      <c r="AC278" s="6" t="s">
        <v>49</v>
      </c>
      <c r="AD278" s="6" t="s">
        <v>72</v>
      </c>
      <c r="AE278" s="6">
        <v>39</v>
      </c>
      <c r="AF278" s="6" t="s">
        <v>87</v>
      </c>
      <c r="AG278" s="6" t="s">
        <v>61</v>
      </c>
      <c r="AH278" s="6">
        <v>4.5</v>
      </c>
      <c r="AI278" s="6">
        <v>5</v>
      </c>
      <c r="AJ278" s="6">
        <v>0</v>
      </c>
      <c r="AK278" s="7">
        <v>40954</v>
      </c>
      <c r="AL278" s="6">
        <v>11</v>
      </c>
    </row>
    <row r="279" spans="1:38" x14ac:dyDescent="0.35">
      <c r="A279" s="6" t="s">
        <v>452</v>
      </c>
      <c r="B279" s="6">
        <v>10146</v>
      </c>
      <c r="C279" s="6">
        <v>1</v>
      </c>
      <c r="D279" s="6">
        <v>1</v>
      </c>
      <c r="E279" s="6">
        <v>0</v>
      </c>
      <c r="F279" s="6">
        <v>5</v>
      </c>
      <c r="G279" s="6">
        <v>5</v>
      </c>
      <c r="H279" s="6">
        <v>3</v>
      </c>
      <c r="I279" s="6">
        <v>0</v>
      </c>
      <c r="J279" s="6">
        <v>72202</v>
      </c>
      <c r="K279" s="6">
        <v>1</v>
      </c>
      <c r="L279" s="6">
        <v>20</v>
      </c>
      <c r="M279" s="6" t="s">
        <v>63</v>
      </c>
      <c r="N279" s="6" t="s">
        <v>40</v>
      </c>
      <c r="O279" s="6">
        <v>2129</v>
      </c>
      <c r="P279" s="7">
        <v>25293</v>
      </c>
      <c r="Q279" s="8">
        <v>56</v>
      </c>
      <c r="R279" s="8" t="s">
        <v>41</v>
      </c>
      <c r="S279" s="6" t="s">
        <v>64</v>
      </c>
      <c r="T279" s="6" t="s">
        <v>55</v>
      </c>
      <c r="U279" s="6" t="s">
        <v>44</v>
      </c>
      <c r="V279" s="6" t="s">
        <v>45</v>
      </c>
      <c r="W279" s="6" t="s">
        <v>46</v>
      </c>
      <c r="X279" s="7">
        <v>40679</v>
      </c>
      <c r="Y279" s="8">
        <f t="shared" ca="1" si="4"/>
        <v>15</v>
      </c>
      <c r="Z279" s="7">
        <v>42954</v>
      </c>
      <c r="AA279" s="6" t="s">
        <v>93</v>
      </c>
      <c r="AB279" s="6" t="s">
        <v>57</v>
      </c>
      <c r="AC279" s="6" t="s">
        <v>49</v>
      </c>
      <c r="AD279" s="6" t="s">
        <v>68</v>
      </c>
      <c r="AE279" s="6">
        <v>16</v>
      </c>
      <c r="AF279" s="6" t="s">
        <v>73</v>
      </c>
      <c r="AG279" s="6" t="s">
        <v>61</v>
      </c>
      <c r="AH279" s="6">
        <v>3.93</v>
      </c>
      <c r="AI279" s="6">
        <v>3</v>
      </c>
      <c r="AJ279" s="6">
        <v>0</v>
      </c>
      <c r="AK279" s="7">
        <v>42843</v>
      </c>
      <c r="AL279" s="6">
        <v>3</v>
      </c>
    </row>
    <row r="280" spans="1:38" x14ac:dyDescent="0.35">
      <c r="A280" s="6" t="s">
        <v>453</v>
      </c>
      <c r="B280" s="6">
        <v>10161</v>
      </c>
      <c r="C280" s="6">
        <v>0</v>
      </c>
      <c r="D280" s="6">
        <v>0</v>
      </c>
      <c r="E280" s="6">
        <v>0</v>
      </c>
      <c r="F280" s="6">
        <v>1</v>
      </c>
      <c r="G280" s="6">
        <v>6</v>
      </c>
      <c r="H280" s="6">
        <v>3</v>
      </c>
      <c r="I280" s="6">
        <v>0</v>
      </c>
      <c r="J280" s="6">
        <v>58370</v>
      </c>
      <c r="K280" s="6">
        <v>0</v>
      </c>
      <c r="L280" s="6">
        <v>3</v>
      </c>
      <c r="M280" s="6" t="s">
        <v>143</v>
      </c>
      <c r="N280" s="6" t="s">
        <v>454</v>
      </c>
      <c r="O280" s="6">
        <v>97756</v>
      </c>
      <c r="P280" s="7">
        <v>33381</v>
      </c>
      <c r="Q280" s="8">
        <v>34</v>
      </c>
      <c r="R280" s="8" t="s">
        <v>41</v>
      </c>
      <c r="S280" s="6" t="s">
        <v>64</v>
      </c>
      <c r="T280" s="6" t="s">
        <v>43</v>
      </c>
      <c r="U280" s="6" t="s">
        <v>44</v>
      </c>
      <c r="V280" s="6" t="s">
        <v>45</v>
      </c>
      <c r="W280" s="6" t="s">
        <v>85</v>
      </c>
      <c r="X280" s="7">
        <v>41911</v>
      </c>
      <c r="Y280" s="8">
        <f t="shared" ca="1" si="4"/>
        <v>11</v>
      </c>
      <c r="Z280" s="7"/>
      <c r="AA280" s="6" t="s">
        <v>47</v>
      </c>
      <c r="AB280" s="6" t="s">
        <v>48</v>
      </c>
      <c r="AC280" s="6" t="s">
        <v>145</v>
      </c>
      <c r="AD280" s="6" t="s">
        <v>164</v>
      </c>
      <c r="AE280" s="6">
        <v>21</v>
      </c>
      <c r="AF280" s="6" t="s">
        <v>60</v>
      </c>
      <c r="AG280" s="6" t="s">
        <v>61</v>
      </c>
      <c r="AH280" s="6">
        <v>3.69</v>
      </c>
      <c r="AI280" s="6">
        <v>3</v>
      </c>
      <c r="AJ280" s="6">
        <v>0</v>
      </c>
      <c r="AK280" s="7">
        <v>43493</v>
      </c>
      <c r="AL280" s="6">
        <v>18</v>
      </c>
    </row>
    <row r="281" spans="1:38" x14ac:dyDescent="0.35">
      <c r="A281" s="6" t="s">
        <v>455</v>
      </c>
      <c r="B281" s="6">
        <v>10141</v>
      </c>
      <c r="C281" s="6">
        <v>0</v>
      </c>
      <c r="D281" s="6">
        <v>0</v>
      </c>
      <c r="E281" s="6">
        <v>0</v>
      </c>
      <c r="F281" s="6">
        <v>5</v>
      </c>
      <c r="G281" s="6">
        <v>5</v>
      </c>
      <c r="H281" s="6">
        <v>3</v>
      </c>
      <c r="I281" s="6">
        <v>0</v>
      </c>
      <c r="J281" s="6">
        <v>48413</v>
      </c>
      <c r="K281" s="6">
        <v>1</v>
      </c>
      <c r="L281" s="6">
        <v>19</v>
      </c>
      <c r="M281" s="6" t="s">
        <v>39</v>
      </c>
      <c r="N281" s="6" t="s">
        <v>40</v>
      </c>
      <c r="O281" s="6">
        <v>2066</v>
      </c>
      <c r="P281" s="7">
        <v>31808</v>
      </c>
      <c r="Q281" s="8">
        <v>38</v>
      </c>
      <c r="R281" s="8" t="s">
        <v>41</v>
      </c>
      <c r="S281" s="6" t="s">
        <v>64</v>
      </c>
      <c r="T281" s="6" t="s">
        <v>43</v>
      </c>
      <c r="U281" s="6" t="s">
        <v>44</v>
      </c>
      <c r="V281" s="6" t="s">
        <v>45</v>
      </c>
      <c r="W281" s="6" t="s">
        <v>46</v>
      </c>
      <c r="X281" s="7">
        <v>40670</v>
      </c>
      <c r="Y281" s="8">
        <f t="shared" ca="1" si="4"/>
        <v>15</v>
      </c>
      <c r="Z281" s="7">
        <v>42499</v>
      </c>
      <c r="AA281" s="6" t="s">
        <v>71</v>
      </c>
      <c r="AB281" s="6" t="s">
        <v>57</v>
      </c>
      <c r="AC281" s="6" t="s">
        <v>49</v>
      </c>
      <c r="AD281" s="6" t="s">
        <v>75</v>
      </c>
      <c r="AE281" s="6">
        <v>11</v>
      </c>
      <c r="AF281" s="6" t="s">
        <v>60</v>
      </c>
      <c r="AG281" s="6" t="s">
        <v>61</v>
      </c>
      <c r="AH281" s="6">
        <v>3.98</v>
      </c>
      <c r="AI281" s="6">
        <v>4</v>
      </c>
      <c r="AJ281" s="6">
        <v>0</v>
      </c>
      <c r="AK281" s="7">
        <v>42403</v>
      </c>
      <c r="AL281" s="6">
        <v>1</v>
      </c>
    </row>
    <row r="282" spans="1:38" x14ac:dyDescent="0.35">
      <c r="A282" s="6" t="s">
        <v>456</v>
      </c>
      <c r="B282" s="6">
        <v>10268</v>
      </c>
      <c r="C282" s="6">
        <v>0</v>
      </c>
      <c r="D282" s="6">
        <v>4</v>
      </c>
      <c r="E282" s="6">
        <v>1</v>
      </c>
      <c r="F282" s="6">
        <v>5</v>
      </c>
      <c r="G282" s="6">
        <v>5</v>
      </c>
      <c r="H282" s="6">
        <v>3</v>
      </c>
      <c r="I282" s="6">
        <v>0</v>
      </c>
      <c r="J282" s="6">
        <v>67176</v>
      </c>
      <c r="K282" s="6">
        <v>1</v>
      </c>
      <c r="L282" s="6">
        <v>20</v>
      </c>
      <c r="M282" s="6" t="s">
        <v>63</v>
      </c>
      <c r="N282" s="6" t="s">
        <v>40</v>
      </c>
      <c r="O282" s="6">
        <v>2472</v>
      </c>
      <c r="P282" s="7">
        <v>20407</v>
      </c>
      <c r="Q282" s="8">
        <v>69</v>
      </c>
      <c r="R282" s="8" t="s">
        <v>96</v>
      </c>
      <c r="S282" s="6" t="s">
        <v>42</v>
      </c>
      <c r="T282" s="6" t="s">
        <v>81</v>
      </c>
      <c r="U282" s="6" t="s">
        <v>44</v>
      </c>
      <c r="V282" s="6" t="s">
        <v>45</v>
      </c>
      <c r="W282" s="6" t="s">
        <v>46</v>
      </c>
      <c r="X282" s="7">
        <v>39258</v>
      </c>
      <c r="Y282" s="8">
        <f t="shared" ca="1" si="4"/>
        <v>19</v>
      </c>
      <c r="Z282" s="7">
        <v>40420</v>
      </c>
      <c r="AA282" s="6" t="s">
        <v>216</v>
      </c>
      <c r="AB282" s="6" t="s">
        <v>57</v>
      </c>
      <c r="AC282" s="6" t="s">
        <v>49</v>
      </c>
      <c r="AD282" s="6" t="s">
        <v>72</v>
      </c>
      <c r="AE282" s="6">
        <v>39</v>
      </c>
      <c r="AF282" s="6" t="s">
        <v>240</v>
      </c>
      <c r="AG282" s="6" t="s">
        <v>61</v>
      </c>
      <c r="AH282" s="6">
        <v>4.0999999999999996</v>
      </c>
      <c r="AI282" s="6">
        <v>4</v>
      </c>
      <c r="AJ282" s="6">
        <v>0</v>
      </c>
      <c r="AK282" s="7">
        <v>40373</v>
      </c>
      <c r="AL282" s="6">
        <v>15</v>
      </c>
    </row>
    <row r="283" spans="1:38" x14ac:dyDescent="0.35">
      <c r="A283" s="6" t="s">
        <v>457</v>
      </c>
      <c r="B283" s="6">
        <v>10123</v>
      </c>
      <c r="C283" s="6">
        <v>0</v>
      </c>
      <c r="D283" s="6">
        <v>2</v>
      </c>
      <c r="E283" s="6">
        <v>0</v>
      </c>
      <c r="F283" s="6">
        <v>1</v>
      </c>
      <c r="G283" s="6">
        <v>5</v>
      </c>
      <c r="H283" s="6">
        <v>3</v>
      </c>
      <c r="I283" s="6">
        <v>0</v>
      </c>
      <c r="J283" s="6">
        <v>56339</v>
      </c>
      <c r="K283" s="6">
        <v>0</v>
      </c>
      <c r="L283" s="6">
        <v>19</v>
      </c>
      <c r="M283" s="6" t="s">
        <v>39</v>
      </c>
      <c r="N283" s="6" t="s">
        <v>40</v>
      </c>
      <c r="O283" s="6">
        <v>2093</v>
      </c>
      <c r="P283" s="7">
        <v>31921</v>
      </c>
      <c r="Q283" s="8">
        <v>38</v>
      </c>
      <c r="R283" s="8" t="s">
        <v>41</v>
      </c>
      <c r="S283" s="6" t="s">
        <v>64</v>
      </c>
      <c r="T283" s="6" t="s">
        <v>70</v>
      </c>
      <c r="U283" s="6" t="s">
        <v>44</v>
      </c>
      <c r="V283" s="6" t="s">
        <v>45</v>
      </c>
      <c r="W283" s="6" t="s">
        <v>85</v>
      </c>
      <c r="X283" s="7">
        <v>41323</v>
      </c>
      <c r="Y283" s="8">
        <f t="shared" ca="1" si="4"/>
        <v>13</v>
      </c>
      <c r="Z283" s="7"/>
      <c r="AA283" s="6" t="s">
        <v>47</v>
      </c>
      <c r="AB283" s="6" t="s">
        <v>48</v>
      </c>
      <c r="AC283" s="6" t="s">
        <v>49</v>
      </c>
      <c r="AD283" s="6" t="s">
        <v>86</v>
      </c>
      <c r="AE283" s="6">
        <v>12</v>
      </c>
      <c r="AF283" s="6" t="s">
        <v>60</v>
      </c>
      <c r="AG283" s="6" t="s">
        <v>61</v>
      </c>
      <c r="AH283" s="6">
        <v>4.21</v>
      </c>
      <c r="AI283" s="6">
        <v>5</v>
      </c>
      <c r="AJ283" s="6">
        <v>0</v>
      </c>
      <c r="AK283" s="7">
        <v>43479</v>
      </c>
      <c r="AL283" s="6">
        <v>4</v>
      </c>
    </row>
    <row r="284" spans="1:38" x14ac:dyDescent="0.35">
      <c r="A284" s="6" t="s">
        <v>458</v>
      </c>
      <c r="B284" s="6">
        <v>10013</v>
      </c>
      <c r="C284" s="6">
        <v>0</v>
      </c>
      <c r="D284" s="6">
        <v>3</v>
      </c>
      <c r="E284" s="6">
        <v>1</v>
      </c>
      <c r="F284" s="6">
        <v>1</v>
      </c>
      <c r="G284" s="6">
        <v>6</v>
      </c>
      <c r="H284" s="6">
        <v>4</v>
      </c>
      <c r="I284" s="6">
        <v>0</v>
      </c>
      <c r="J284" s="6">
        <v>64397</v>
      </c>
      <c r="K284" s="6">
        <v>0</v>
      </c>
      <c r="L284" s="6">
        <v>3</v>
      </c>
      <c r="M284" s="6" t="s">
        <v>143</v>
      </c>
      <c r="N284" s="6" t="s">
        <v>459</v>
      </c>
      <c r="O284" s="6">
        <v>58782</v>
      </c>
      <c r="P284" s="7">
        <v>30527</v>
      </c>
      <c r="Q284" s="8">
        <v>41</v>
      </c>
      <c r="R284" s="8" t="s">
        <v>41</v>
      </c>
      <c r="S284" s="6" t="s">
        <v>42</v>
      </c>
      <c r="T284" s="6" t="s">
        <v>141</v>
      </c>
      <c r="U284" s="6" t="s">
        <v>44</v>
      </c>
      <c r="V284" s="6" t="s">
        <v>45</v>
      </c>
      <c r="W284" s="6" t="s">
        <v>46</v>
      </c>
      <c r="X284" s="7">
        <v>38961</v>
      </c>
      <c r="Y284" s="8">
        <f t="shared" ca="1" si="4"/>
        <v>19</v>
      </c>
      <c r="Z284" s="7"/>
      <c r="AA284" s="6" t="s">
        <v>47</v>
      </c>
      <c r="AB284" s="6" t="s">
        <v>48</v>
      </c>
      <c r="AC284" s="6" t="s">
        <v>145</v>
      </c>
      <c r="AD284" s="6" t="s">
        <v>164</v>
      </c>
      <c r="AE284" s="6">
        <v>21</v>
      </c>
      <c r="AF284" s="6" t="s">
        <v>60</v>
      </c>
      <c r="AG284" s="6" t="s">
        <v>52</v>
      </c>
      <c r="AH284" s="6">
        <v>4.0999999999999996</v>
      </c>
      <c r="AI284" s="6">
        <v>3</v>
      </c>
      <c r="AJ284" s="6">
        <v>0</v>
      </c>
      <c r="AK284" s="7">
        <v>43556</v>
      </c>
      <c r="AL284" s="6">
        <v>6</v>
      </c>
    </row>
    <row r="285" spans="1:38" x14ac:dyDescent="0.35">
      <c r="A285" s="6" t="s">
        <v>460</v>
      </c>
      <c r="B285" s="6">
        <v>10287</v>
      </c>
      <c r="C285" s="6">
        <v>0</v>
      </c>
      <c r="D285" s="6">
        <v>0</v>
      </c>
      <c r="E285" s="6">
        <v>0</v>
      </c>
      <c r="F285" s="6">
        <v>1</v>
      </c>
      <c r="G285" s="6">
        <v>5</v>
      </c>
      <c r="H285" s="6">
        <v>2</v>
      </c>
      <c r="I285" s="6">
        <v>0</v>
      </c>
      <c r="J285" s="6">
        <v>63025</v>
      </c>
      <c r="K285" s="6">
        <v>0</v>
      </c>
      <c r="L285" s="6">
        <v>19</v>
      </c>
      <c r="M285" s="6" t="s">
        <v>39</v>
      </c>
      <c r="N285" s="6" t="s">
        <v>40</v>
      </c>
      <c r="O285" s="6">
        <v>2021</v>
      </c>
      <c r="P285" s="7">
        <v>31157</v>
      </c>
      <c r="Q285" s="8">
        <v>40</v>
      </c>
      <c r="R285" s="8" t="s">
        <v>41</v>
      </c>
      <c r="S285" s="6" t="s">
        <v>64</v>
      </c>
      <c r="T285" s="6" t="s">
        <v>43</v>
      </c>
      <c r="U285" s="6" t="s">
        <v>44</v>
      </c>
      <c r="V285" s="6" t="s">
        <v>45</v>
      </c>
      <c r="W285" s="6" t="s">
        <v>46</v>
      </c>
      <c r="X285" s="7">
        <v>41687</v>
      </c>
      <c r="Y285" s="8">
        <f t="shared" ca="1" si="4"/>
        <v>12</v>
      </c>
      <c r="Z285" s="7"/>
      <c r="AA285" s="6" t="s">
        <v>47</v>
      </c>
      <c r="AB285" s="6" t="s">
        <v>48</v>
      </c>
      <c r="AC285" s="6" t="s">
        <v>49</v>
      </c>
      <c r="AD285" s="6" t="s">
        <v>94</v>
      </c>
      <c r="AE285" s="6">
        <v>14</v>
      </c>
      <c r="AF285" s="6" t="s">
        <v>51</v>
      </c>
      <c r="AG285" s="6" t="s">
        <v>122</v>
      </c>
      <c r="AH285" s="6">
        <v>2.44</v>
      </c>
      <c r="AI285" s="6">
        <v>5</v>
      </c>
      <c r="AJ285" s="6">
        <v>0</v>
      </c>
      <c r="AK285" s="7">
        <v>43771</v>
      </c>
      <c r="AL285" s="6">
        <v>18</v>
      </c>
    </row>
    <row r="286" spans="1:38" x14ac:dyDescent="0.35">
      <c r="A286" s="6" t="s">
        <v>461</v>
      </c>
      <c r="B286" s="6">
        <v>10044</v>
      </c>
      <c r="C286" s="6">
        <v>1</v>
      </c>
      <c r="D286" s="6">
        <v>1</v>
      </c>
      <c r="E286" s="6">
        <v>1</v>
      </c>
      <c r="F286" s="6">
        <v>5</v>
      </c>
      <c r="G286" s="6">
        <v>3</v>
      </c>
      <c r="H286" s="6">
        <v>3</v>
      </c>
      <c r="I286" s="6">
        <v>0</v>
      </c>
      <c r="J286" s="6">
        <v>75281</v>
      </c>
      <c r="K286" s="6">
        <v>1</v>
      </c>
      <c r="L286" s="6">
        <v>15</v>
      </c>
      <c r="M286" s="6" t="s">
        <v>229</v>
      </c>
      <c r="N286" s="6" t="s">
        <v>40</v>
      </c>
      <c r="O286" s="6">
        <v>1420</v>
      </c>
      <c r="P286" s="7">
        <v>29097</v>
      </c>
      <c r="Q286" s="8">
        <v>45</v>
      </c>
      <c r="R286" s="8" t="s">
        <v>41</v>
      </c>
      <c r="S286" s="6" t="s">
        <v>42</v>
      </c>
      <c r="T286" s="6" t="s">
        <v>55</v>
      </c>
      <c r="U286" s="6" t="s">
        <v>44</v>
      </c>
      <c r="V286" s="6" t="s">
        <v>45</v>
      </c>
      <c r="W286" s="6" t="s">
        <v>46</v>
      </c>
      <c r="X286" s="7">
        <v>42125</v>
      </c>
      <c r="Y286" s="8">
        <f t="shared" ca="1" si="4"/>
        <v>11</v>
      </c>
      <c r="Z286" s="7">
        <v>42706</v>
      </c>
      <c r="AA286" s="6" t="s">
        <v>383</v>
      </c>
      <c r="AB286" s="6" t="s">
        <v>57</v>
      </c>
      <c r="AC286" s="6" t="s">
        <v>58</v>
      </c>
      <c r="AD286" s="6" t="s">
        <v>90</v>
      </c>
      <c r="AE286" s="6">
        <v>7</v>
      </c>
      <c r="AF286" s="6" t="s">
        <v>121</v>
      </c>
      <c r="AG286" s="6" t="s">
        <v>61</v>
      </c>
      <c r="AH286" s="6">
        <v>5</v>
      </c>
      <c r="AI286" s="6">
        <v>3</v>
      </c>
      <c r="AJ286" s="6">
        <v>5</v>
      </c>
      <c r="AK286" s="7">
        <v>42109</v>
      </c>
      <c r="AL286" s="6">
        <v>11</v>
      </c>
    </row>
    <row r="287" spans="1:38" x14ac:dyDescent="0.35">
      <c r="A287" s="6" t="s">
        <v>462</v>
      </c>
      <c r="B287" s="6">
        <v>10102</v>
      </c>
      <c r="C287" s="6">
        <v>0</v>
      </c>
      <c r="D287" s="6">
        <v>0</v>
      </c>
      <c r="E287" s="6">
        <v>1</v>
      </c>
      <c r="F287" s="6">
        <v>5</v>
      </c>
      <c r="G287" s="6">
        <v>4</v>
      </c>
      <c r="H287" s="6">
        <v>3</v>
      </c>
      <c r="I287" s="6">
        <v>1</v>
      </c>
      <c r="J287" s="6">
        <v>100416</v>
      </c>
      <c r="K287" s="6">
        <v>1</v>
      </c>
      <c r="L287" s="6">
        <v>24</v>
      </c>
      <c r="M287" s="6" t="s">
        <v>77</v>
      </c>
      <c r="N287" s="6" t="s">
        <v>40</v>
      </c>
      <c r="O287" s="6">
        <v>2451</v>
      </c>
      <c r="P287" s="7">
        <v>28910</v>
      </c>
      <c r="Q287" s="8">
        <v>46</v>
      </c>
      <c r="R287" s="8" t="s">
        <v>41</v>
      </c>
      <c r="S287" s="6" t="s">
        <v>42</v>
      </c>
      <c r="T287" s="6" t="s">
        <v>43</v>
      </c>
      <c r="U287" s="6" t="s">
        <v>168</v>
      </c>
      <c r="V287" s="6" t="s">
        <v>45</v>
      </c>
      <c r="W287" s="6" t="s">
        <v>85</v>
      </c>
      <c r="X287" s="7">
        <v>41323</v>
      </c>
      <c r="Y287" s="8">
        <f t="shared" ca="1" si="4"/>
        <v>13</v>
      </c>
      <c r="Z287" s="7">
        <v>43205</v>
      </c>
      <c r="AA287" s="6" t="s">
        <v>383</v>
      </c>
      <c r="AB287" s="6" t="s">
        <v>57</v>
      </c>
      <c r="AC287" s="6" t="s">
        <v>78</v>
      </c>
      <c r="AD287" s="6" t="s">
        <v>79</v>
      </c>
      <c r="AE287" s="6">
        <v>10</v>
      </c>
      <c r="AF287" s="6" t="s">
        <v>87</v>
      </c>
      <c r="AG287" s="6" t="s">
        <v>61</v>
      </c>
      <c r="AH287" s="6">
        <v>4.5999999999999996</v>
      </c>
      <c r="AI287" s="6">
        <v>3</v>
      </c>
      <c r="AJ287" s="6">
        <v>4</v>
      </c>
      <c r="AK287" s="7">
        <v>43071</v>
      </c>
      <c r="AL287" s="6">
        <v>9</v>
      </c>
    </row>
    <row r="288" spans="1:38" x14ac:dyDescent="0.35">
      <c r="A288" s="6" t="s">
        <v>463</v>
      </c>
      <c r="B288" s="6">
        <v>10270</v>
      </c>
      <c r="C288" s="6">
        <v>0</v>
      </c>
      <c r="D288" s="6">
        <v>0</v>
      </c>
      <c r="E288" s="6">
        <v>0</v>
      </c>
      <c r="F288" s="6">
        <v>5</v>
      </c>
      <c r="G288" s="6">
        <v>5</v>
      </c>
      <c r="H288" s="6">
        <v>3</v>
      </c>
      <c r="I288" s="6">
        <v>0</v>
      </c>
      <c r="J288" s="6">
        <v>74813</v>
      </c>
      <c r="K288" s="6">
        <v>1</v>
      </c>
      <c r="L288" s="6">
        <v>20</v>
      </c>
      <c r="M288" s="6" t="s">
        <v>63</v>
      </c>
      <c r="N288" s="6" t="s">
        <v>40</v>
      </c>
      <c r="O288" s="6">
        <v>1778</v>
      </c>
      <c r="P288" s="7">
        <v>28719</v>
      </c>
      <c r="Q288" s="8">
        <v>46</v>
      </c>
      <c r="R288" s="8" t="s">
        <v>41</v>
      </c>
      <c r="S288" s="6" t="s">
        <v>64</v>
      </c>
      <c r="T288" s="6" t="s">
        <v>43</v>
      </c>
      <c r="U288" s="6" t="s">
        <v>44</v>
      </c>
      <c r="V288" s="6" t="s">
        <v>45</v>
      </c>
      <c r="W288" s="6" t="s">
        <v>46</v>
      </c>
      <c r="X288" s="7">
        <v>40817</v>
      </c>
      <c r="Y288" s="8">
        <f t="shared" ca="1" si="4"/>
        <v>14</v>
      </c>
      <c r="Z288" s="7">
        <v>41677</v>
      </c>
      <c r="AA288" s="6" t="s">
        <v>97</v>
      </c>
      <c r="AB288" s="6" t="s">
        <v>57</v>
      </c>
      <c r="AC288" s="6" t="s">
        <v>49</v>
      </c>
      <c r="AD288" s="6" t="s">
        <v>75</v>
      </c>
      <c r="AE288" s="6">
        <v>11</v>
      </c>
      <c r="AF288" s="6" t="s">
        <v>51</v>
      </c>
      <c r="AG288" s="6" t="s">
        <v>61</v>
      </c>
      <c r="AH288" s="6">
        <v>4.4000000000000004</v>
      </c>
      <c r="AI288" s="6">
        <v>3</v>
      </c>
      <c r="AJ288" s="6">
        <v>0</v>
      </c>
      <c r="AK288" s="7">
        <v>41760</v>
      </c>
      <c r="AL288" s="6">
        <v>5</v>
      </c>
    </row>
    <row r="289" spans="1:38" x14ac:dyDescent="0.35">
      <c r="A289" s="6" t="s">
        <v>464</v>
      </c>
      <c r="B289" s="6">
        <v>10045</v>
      </c>
      <c r="C289" s="6">
        <v>1</v>
      </c>
      <c r="D289" s="6">
        <v>1</v>
      </c>
      <c r="E289" s="6">
        <v>1</v>
      </c>
      <c r="F289" s="6">
        <v>1</v>
      </c>
      <c r="G289" s="6">
        <v>3</v>
      </c>
      <c r="H289" s="6">
        <v>3</v>
      </c>
      <c r="I289" s="6">
        <v>0</v>
      </c>
      <c r="J289" s="6">
        <v>76029</v>
      </c>
      <c r="K289" s="6">
        <v>0</v>
      </c>
      <c r="L289" s="6">
        <v>15</v>
      </c>
      <c r="M289" s="6" t="s">
        <v>229</v>
      </c>
      <c r="N289" s="6" t="s">
        <v>40</v>
      </c>
      <c r="O289" s="6">
        <v>2343</v>
      </c>
      <c r="P289" s="7">
        <v>25293</v>
      </c>
      <c r="Q289" s="8">
        <v>56</v>
      </c>
      <c r="R289" s="8" t="s">
        <v>41</v>
      </c>
      <c r="S289" s="6" t="s">
        <v>42</v>
      </c>
      <c r="T289" s="6" t="s">
        <v>55</v>
      </c>
      <c r="U289" s="6" t="s">
        <v>111</v>
      </c>
      <c r="V289" s="6" t="s">
        <v>45</v>
      </c>
      <c r="W289" s="6" t="s">
        <v>46</v>
      </c>
      <c r="X289" s="7">
        <v>42093</v>
      </c>
      <c r="Y289" s="8">
        <f t="shared" ca="1" si="4"/>
        <v>11</v>
      </c>
      <c r="Z289" s="7"/>
      <c r="AA289" s="6" t="s">
        <v>47</v>
      </c>
      <c r="AB289" s="6" t="s">
        <v>48</v>
      </c>
      <c r="AC289" s="6" t="s">
        <v>58</v>
      </c>
      <c r="AD289" s="6" t="s">
        <v>90</v>
      </c>
      <c r="AE289" s="6">
        <v>7</v>
      </c>
      <c r="AF289" s="6" t="s">
        <v>83</v>
      </c>
      <c r="AG289" s="6" t="s">
        <v>61</v>
      </c>
      <c r="AH289" s="6">
        <v>5</v>
      </c>
      <c r="AI289" s="6">
        <v>4</v>
      </c>
      <c r="AJ289" s="6">
        <v>7</v>
      </c>
      <c r="AK289" s="7">
        <v>43479</v>
      </c>
      <c r="AL289" s="6">
        <v>8</v>
      </c>
    </row>
    <row r="290" spans="1:38" x14ac:dyDescent="0.35">
      <c r="A290" s="6" t="s">
        <v>465</v>
      </c>
      <c r="B290" s="6">
        <v>10205</v>
      </c>
      <c r="C290" s="6">
        <v>1</v>
      </c>
      <c r="D290" s="6">
        <v>1</v>
      </c>
      <c r="E290" s="6">
        <v>0</v>
      </c>
      <c r="F290" s="6">
        <v>1</v>
      </c>
      <c r="G290" s="6">
        <v>6</v>
      </c>
      <c r="H290" s="6">
        <v>3</v>
      </c>
      <c r="I290" s="6">
        <v>0</v>
      </c>
      <c r="J290" s="6">
        <v>57859</v>
      </c>
      <c r="K290" s="6">
        <v>0</v>
      </c>
      <c r="L290" s="6">
        <v>3</v>
      </c>
      <c r="M290" s="6" t="s">
        <v>143</v>
      </c>
      <c r="N290" s="6" t="s">
        <v>466</v>
      </c>
      <c r="O290" s="6">
        <v>85006</v>
      </c>
      <c r="P290" s="7">
        <v>33381</v>
      </c>
      <c r="Q290" s="8">
        <v>34</v>
      </c>
      <c r="R290" s="8" t="s">
        <v>41</v>
      </c>
      <c r="S290" s="6" t="s">
        <v>64</v>
      </c>
      <c r="T290" s="6" t="s">
        <v>55</v>
      </c>
      <c r="U290" s="6" t="s">
        <v>44</v>
      </c>
      <c r="V290" s="6" t="s">
        <v>45</v>
      </c>
      <c r="W290" s="6" t="s">
        <v>102</v>
      </c>
      <c r="X290" s="7">
        <v>40670</v>
      </c>
      <c r="Y290" s="8">
        <f t="shared" ca="1" si="4"/>
        <v>15</v>
      </c>
      <c r="Z290" s="7"/>
      <c r="AA290" s="6" t="s">
        <v>47</v>
      </c>
      <c r="AB290" s="6" t="s">
        <v>48</v>
      </c>
      <c r="AC290" s="6" t="s">
        <v>145</v>
      </c>
      <c r="AD290" s="6" t="s">
        <v>146</v>
      </c>
      <c r="AE290" s="6">
        <v>17</v>
      </c>
      <c r="AF290" s="6" t="s">
        <v>60</v>
      </c>
      <c r="AG290" s="6" t="s">
        <v>61</v>
      </c>
      <c r="AH290" s="6">
        <v>2.81</v>
      </c>
      <c r="AI290" s="6">
        <v>3</v>
      </c>
      <c r="AJ290" s="6">
        <v>0</v>
      </c>
      <c r="AK290" s="7">
        <v>43482</v>
      </c>
      <c r="AL290" s="6">
        <v>16</v>
      </c>
    </row>
    <row r="291" spans="1:38" x14ac:dyDescent="0.35">
      <c r="A291" s="6" t="s">
        <v>467</v>
      </c>
      <c r="B291" s="6">
        <v>10014</v>
      </c>
      <c r="C291" s="6">
        <v>0</v>
      </c>
      <c r="D291" s="6">
        <v>2</v>
      </c>
      <c r="E291" s="6">
        <v>1</v>
      </c>
      <c r="F291" s="6">
        <v>5</v>
      </c>
      <c r="G291" s="6">
        <v>5</v>
      </c>
      <c r="H291" s="6">
        <v>4</v>
      </c>
      <c r="I291" s="6">
        <v>0</v>
      </c>
      <c r="J291" s="6">
        <v>58523</v>
      </c>
      <c r="K291" s="6">
        <v>1</v>
      </c>
      <c r="L291" s="6">
        <v>19</v>
      </c>
      <c r="M291" s="6" t="s">
        <v>39</v>
      </c>
      <c r="N291" s="6" t="s">
        <v>40</v>
      </c>
      <c r="O291" s="6">
        <v>2171</v>
      </c>
      <c r="P291" s="7">
        <v>31808</v>
      </c>
      <c r="Q291" s="8">
        <v>38</v>
      </c>
      <c r="R291" s="8" t="s">
        <v>41</v>
      </c>
      <c r="S291" s="6" t="s">
        <v>42</v>
      </c>
      <c r="T291" s="6" t="s">
        <v>70</v>
      </c>
      <c r="U291" s="6" t="s">
        <v>44</v>
      </c>
      <c r="V291" s="6" t="s">
        <v>45</v>
      </c>
      <c r="W291" s="6" t="s">
        <v>46</v>
      </c>
      <c r="X291" s="7">
        <v>41134</v>
      </c>
      <c r="Y291" s="8">
        <f t="shared" ca="1" si="4"/>
        <v>13</v>
      </c>
      <c r="Z291" s="7">
        <v>42492</v>
      </c>
      <c r="AA291" s="6" t="s">
        <v>300</v>
      </c>
      <c r="AB291" s="6" t="s">
        <v>57</v>
      </c>
      <c r="AC291" s="6" t="s">
        <v>49</v>
      </c>
      <c r="AD291" s="6" t="s">
        <v>66</v>
      </c>
      <c r="AE291" s="6">
        <v>20</v>
      </c>
      <c r="AF291" s="6" t="s">
        <v>51</v>
      </c>
      <c r="AG291" s="6" t="s">
        <v>52</v>
      </c>
      <c r="AH291" s="6">
        <v>4.5</v>
      </c>
      <c r="AI291" s="6">
        <v>5</v>
      </c>
      <c r="AJ291" s="6">
        <v>0</v>
      </c>
      <c r="AK291" s="7">
        <v>42371</v>
      </c>
      <c r="AL291" s="6">
        <v>15</v>
      </c>
    </row>
    <row r="292" spans="1:38" x14ac:dyDescent="0.35">
      <c r="A292" s="6" t="s">
        <v>468</v>
      </c>
      <c r="B292" s="6">
        <v>10144</v>
      </c>
      <c r="C292" s="6">
        <v>0</v>
      </c>
      <c r="D292" s="6">
        <v>2</v>
      </c>
      <c r="E292" s="6">
        <v>1</v>
      </c>
      <c r="F292" s="6">
        <v>1</v>
      </c>
      <c r="G292" s="6">
        <v>5</v>
      </c>
      <c r="H292" s="6">
        <v>3</v>
      </c>
      <c r="I292" s="6">
        <v>0</v>
      </c>
      <c r="J292" s="6">
        <v>88976</v>
      </c>
      <c r="K292" s="6">
        <v>0</v>
      </c>
      <c r="L292" s="6">
        <v>17</v>
      </c>
      <c r="M292" s="6" t="s">
        <v>133</v>
      </c>
      <c r="N292" s="6" t="s">
        <v>40</v>
      </c>
      <c r="O292" s="6">
        <v>2169</v>
      </c>
      <c r="P292" s="7">
        <v>25121</v>
      </c>
      <c r="Q292" s="8">
        <v>56</v>
      </c>
      <c r="R292" s="8" t="s">
        <v>41</v>
      </c>
      <c r="S292" s="6" t="s">
        <v>42</v>
      </c>
      <c r="T292" s="6" t="s">
        <v>70</v>
      </c>
      <c r="U292" s="6" t="s">
        <v>44</v>
      </c>
      <c r="V292" s="6" t="s">
        <v>45</v>
      </c>
      <c r="W292" s="6" t="s">
        <v>46</v>
      </c>
      <c r="X292" s="7">
        <v>40551</v>
      </c>
      <c r="Y292" s="8">
        <f t="shared" ca="1" si="4"/>
        <v>15</v>
      </c>
      <c r="Z292" s="7"/>
      <c r="AA292" s="6" t="s">
        <v>47</v>
      </c>
      <c r="AB292" s="6" t="s">
        <v>48</v>
      </c>
      <c r="AC292" s="6" t="s">
        <v>49</v>
      </c>
      <c r="AD292" s="6" t="s">
        <v>135</v>
      </c>
      <c r="AE292" s="6">
        <v>2</v>
      </c>
      <c r="AF292" s="6" t="s">
        <v>83</v>
      </c>
      <c r="AG292" s="6" t="s">
        <v>61</v>
      </c>
      <c r="AH292" s="6">
        <v>3.93</v>
      </c>
      <c r="AI292" s="6">
        <v>3</v>
      </c>
      <c r="AJ292" s="6">
        <v>0</v>
      </c>
      <c r="AK292" s="7">
        <v>43523</v>
      </c>
      <c r="AL292" s="6">
        <v>19</v>
      </c>
    </row>
    <row r="293" spans="1:38" x14ac:dyDescent="0.35">
      <c r="A293" s="6" t="s">
        <v>469</v>
      </c>
      <c r="B293" s="6">
        <v>10253</v>
      </c>
      <c r="C293" s="6">
        <v>0</v>
      </c>
      <c r="D293" s="6">
        <v>0</v>
      </c>
      <c r="E293" s="6">
        <v>1</v>
      </c>
      <c r="F293" s="6">
        <v>1</v>
      </c>
      <c r="G293" s="6">
        <v>6</v>
      </c>
      <c r="H293" s="6">
        <v>3</v>
      </c>
      <c r="I293" s="6">
        <v>0</v>
      </c>
      <c r="J293" s="6">
        <v>55875</v>
      </c>
      <c r="K293" s="6">
        <v>0</v>
      </c>
      <c r="L293" s="6">
        <v>3</v>
      </c>
      <c r="M293" s="6" t="s">
        <v>143</v>
      </c>
      <c r="N293" s="6" t="s">
        <v>470</v>
      </c>
      <c r="O293" s="6">
        <v>4063</v>
      </c>
      <c r="P293" s="7">
        <v>32819</v>
      </c>
      <c r="Q293" s="8">
        <v>35</v>
      </c>
      <c r="R293" s="8" t="s">
        <v>41</v>
      </c>
      <c r="S293" s="6" t="s">
        <v>42</v>
      </c>
      <c r="T293" s="6" t="s">
        <v>43</v>
      </c>
      <c r="U293" s="6" t="s">
        <v>44</v>
      </c>
      <c r="V293" s="6" t="s">
        <v>45</v>
      </c>
      <c r="W293" s="6" t="s">
        <v>116</v>
      </c>
      <c r="X293" s="7">
        <v>41032</v>
      </c>
      <c r="Y293" s="8">
        <f t="shared" ca="1" si="4"/>
        <v>14</v>
      </c>
      <c r="Z293" s="7"/>
      <c r="AA293" s="6" t="s">
        <v>47</v>
      </c>
      <c r="AB293" s="6" t="s">
        <v>48</v>
      </c>
      <c r="AC293" s="6" t="s">
        <v>145</v>
      </c>
      <c r="AD293" s="6" t="s">
        <v>146</v>
      </c>
      <c r="AE293" s="6">
        <v>17</v>
      </c>
      <c r="AF293" s="6" t="s">
        <v>205</v>
      </c>
      <c r="AG293" s="6" t="s">
        <v>61</v>
      </c>
      <c r="AH293" s="6">
        <v>4.5</v>
      </c>
      <c r="AI293" s="6">
        <v>4</v>
      </c>
      <c r="AJ293" s="6">
        <v>0</v>
      </c>
      <c r="AK293" s="7">
        <v>43483</v>
      </c>
      <c r="AL293" s="6">
        <v>11</v>
      </c>
    </row>
    <row r="294" spans="1:38" x14ac:dyDescent="0.35">
      <c r="A294" s="6" t="s">
        <v>471</v>
      </c>
      <c r="B294" s="6">
        <v>10118</v>
      </c>
      <c r="C294" s="6">
        <v>1</v>
      </c>
      <c r="D294" s="6">
        <v>1</v>
      </c>
      <c r="E294" s="6">
        <v>1</v>
      </c>
      <c r="F294" s="6">
        <v>4</v>
      </c>
      <c r="G294" s="6">
        <v>3</v>
      </c>
      <c r="H294" s="6">
        <v>3</v>
      </c>
      <c r="I294" s="6">
        <v>0</v>
      </c>
      <c r="J294" s="6">
        <v>113999</v>
      </c>
      <c r="K294" s="6">
        <v>1</v>
      </c>
      <c r="L294" s="6">
        <v>8</v>
      </c>
      <c r="M294" s="6" t="s">
        <v>113</v>
      </c>
      <c r="N294" s="6" t="s">
        <v>40</v>
      </c>
      <c r="O294" s="6">
        <v>1960</v>
      </c>
      <c r="P294" s="7">
        <v>31601</v>
      </c>
      <c r="Q294" s="8">
        <v>39</v>
      </c>
      <c r="R294" s="8" t="s">
        <v>41</v>
      </c>
      <c r="S294" s="6" t="s">
        <v>42</v>
      </c>
      <c r="T294" s="6" t="s">
        <v>55</v>
      </c>
      <c r="U294" s="6" t="s">
        <v>44</v>
      </c>
      <c r="V294" s="6" t="s">
        <v>45</v>
      </c>
      <c r="W294" s="6" t="s">
        <v>85</v>
      </c>
      <c r="X294" s="7">
        <v>42051</v>
      </c>
      <c r="Y294" s="8">
        <f t="shared" ca="1" si="4"/>
        <v>11</v>
      </c>
      <c r="Z294" s="7">
        <v>42788</v>
      </c>
      <c r="AA294" s="6" t="s">
        <v>222</v>
      </c>
      <c r="AB294" s="6" t="s">
        <v>108</v>
      </c>
      <c r="AC294" s="6" t="s">
        <v>58</v>
      </c>
      <c r="AD294" s="6" t="s">
        <v>59</v>
      </c>
      <c r="AE294" s="6">
        <v>4</v>
      </c>
      <c r="AF294" s="6" t="s">
        <v>83</v>
      </c>
      <c r="AG294" s="6" t="s">
        <v>61</v>
      </c>
      <c r="AH294" s="6">
        <v>4.33</v>
      </c>
      <c r="AI294" s="6">
        <v>3</v>
      </c>
      <c r="AJ294" s="6">
        <v>7</v>
      </c>
      <c r="AK294" s="7">
        <v>42781</v>
      </c>
      <c r="AL294" s="6">
        <v>9</v>
      </c>
    </row>
    <row r="295" spans="1:38" x14ac:dyDescent="0.35">
      <c r="A295" s="6" t="s">
        <v>472</v>
      </c>
      <c r="B295" s="6">
        <v>10022</v>
      </c>
      <c r="C295" s="6">
        <v>1</v>
      </c>
      <c r="D295" s="6">
        <v>1</v>
      </c>
      <c r="E295" s="6">
        <v>0</v>
      </c>
      <c r="F295" s="6">
        <v>4</v>
      </c>
      <c r="G295" s="6">
        <v>5</v>
      </c>
      <c r="H295" s="6">
        <v>4</v>
      </c>
      <c r="I295" s="6">
        <v>0</v>
      </c>
      <c r="J295" s="6">
        <v>49773</v>
      </c>
      <c r="K295" s="6">
        <v>1</v>
      </c>
      <c r="L295" s="6">
        <v>19</v>
      </c>
      <c r="M295" s="6" t="s">
        <v>39</v>
      </c>
      <c r="N295" s="6" t="s">
        <v>40</v>
      </c>
      <c r="O295" s="6">
        <v>2747</v>
      </c>
      <c r="P295" s="7">
        <v>31477</v>
      </c>
      <c r="Q295" s="8">
        <v>39</v>
      </c>
      <c r="R295" s="8" t="s">
        <v>41</v>
      </c>
      <c r="S295" s="6" t="s">
        <v>64</v>
      </c>
      <c r="T295" s="6" t="s">
        <v>55</v>
      </c>
      <c r="U295" s="6" t="s">
        <v>44</v>
      </c>
      <c r="V295" s="6" t="s">
        <v>45</v>
      </c>
      <c r="W295" s="6" t="s">
        <v>46</v>
      </c>
      <c r="X295" s="7">
        <v>40812</v>
      </c>
      <c r="Y295" s="8">
        <f t="shared" ca="1" si="4"/>
        <v>14</v>
      </c>
      <c r="Z295" s="7">
        <v>42584</v>
      </c>
      <c r="AA295" s="6" t="s">
        <v>473</v>
      </c>
      <c r="AB295" s="6" t="s">
        <v>108</v>
      </c>
      <c r="AC295" s="6" t="s">
        <v>49</v>
      </c>
      <c r="AD295" s="6" t="s">
        <v>103</v>
      </c>
      <c r="AE295" s="6">
        <v>18</v>
      </c>
      <c r="AF295" s="6" t="s">
        <v>73</v>
      </c>
      <c r="AG295" s="6" t="s">
        <v>52</v>
      </c>
      <c r="AH295" s="6">
        <v>4.3</v>
      </c>
      <c r="AI295" s="6">
        <v>5</v>
      </c>
      <c r="AJ295" s="6">
        <v>0</v>
      </c>
      <c r="AK295" s="7">
        <v>42006</v>
      </c>
      <c r="AL295" s="6">
        <v>18</v>
      </c>
    </row>
    <row r="296" spans="1:38" x14ac:dyDescent="0.35">
      <c r="A296" s="6" t="s">
        <v>474</v>
      </c>
      <c r="B296" s="6">
        <v>10183</v>
      </c>
      <c r="C296" s="6">
        <v>0</v>
      </c>
      <c r="D296" s="6">
        <v>0</v>
      </c>
      <c r="E296" s="6">
        <v>0</v>
      </c>
      <c r="F296" s="6">
        <v>2</v>
      </c>
      <c r="G296" s="6">
        <v>5</v>
      </c>
      <c r="H296" s="6">
        <v>3</v>
      </c>
      <c r="I296" s="6">
        <v>0</v>
      </c>
      <c r="J296" s="6">
        <v>62068</v>
      </c>
      <c r="K296" s="6">
        <v>0</v>
      </c>
      <c r="L296" s="6">
        <v>19</v>
      </c>
      <c r="M296" s="6" t="s">
        <v>39</v>
      </c>
      <c r="N296" s="6" t="s">
        <v>40</v>
      </c>
      <c r="O296" s="6">
        <v>2124</v>
      </c>
      <c r="P296" s="7">
        <v>31202</v>
      </c>
      <c r="Q296" s="8">
        <v>40</v>
      </c>
      <c r="R296" s="8" t="s">
        <v>41</v>
      </c>
      <c r="S296" s="6" t="s">
        <v>64</v>
      </c>
      <c r="T296" s="6" t="s">
        <v>43</v>
      </c>
      <c r="U296" s="6" t="s">
        <v>44</v>
      </c>
      <c r="V296" s="6" t="s">
        <v>45</v>
      </c>
      <c r="W296" s="6" t="s">
        <v>46</v>
      </c>
      <c r="X296" s="7">
        <v>42131</v>
      </c>
      <c r="Y296" s="8">
        <f t="shared" ca="1" si="4"/>
        <v>11</v>
      </c>
      <c r="Z296" s="7"/>
      <c r="AA296" s="6" t="s">
        <v>47</v>
      </c>
      <c r="AB296" s="6" t="s">
        <v>48</v>
      </c>
      <c r="AC296" s="6" t="s">
        <v>49</v>
      </c>
      <c r="AD296" s="6" t="s">
        <v>50</v>
      </c>
      <c r="AE296" s="6">
        <v>22</v>
      </c>
      <c r="AF296" s="6" t="s">
        <v>51</v>
      </c>
      <c r="AG296" s="6" t="s">
        <v>61</v>
      </c>
      <c r="AH296" s="6">
        <v>3.21</v>
      </c>
      <c r="AI296" s="6">
        <v>3</v>
      </c>
      <c r="AJ296" s="6">
        <v>0</v>
      </c>
      <c r="AK296" s="7">
        <v>43494</v>
      </c>
      <c r="AL296" s="6">
        <v>7</v>
      </c>
    </row>
    <row r="297" spans="1:38" x14ac:dyDescent="0.35">
      <c r="A297" s="6" t="s">
        <v>475</v>
      </c>
      <c r="B297" s="6">
        <v>10190</v>
      </c>
      <c r="C297" s="6">
        <v>0</v>
      </c>
      <c r="D297" s="6">
        <v>0</v>
      </c>
      <c r="E297" s="6">
        <v>1</v>
      </c>
      <c r="F297" s="6">
        <v>1</v>
      </c>
      <c r="G297" s="6">
        <v>5</v>
      </c>
      <c r="H297" s="6">
        <v>3</v>
      </c>
      <c r="I297" s="6">
        <v>0</v>
      </c>
      <c r="J297" s="6">
        <v>66541</v>
      </c>
      <c r="K297" s="6">
        <v>0</v>
      </c>
      <c r="L297" s="6">
        <v>20</v>
      </c>
      <c r="M297" s="6" t="s">
        <v>63</v>
      </c>
      <c r="N297" s="6" t="s">
        <v>40</v>
      </c>
      <c r="O297" s="6">
        <v>2459</v>
      </c>
      <c r="P297" s="7">
        <v>28035</v>
      </c>
      <c r="Q297" s="8">
        <v>48</v>
      </c>
      <c r="R297" s="8" t="s">
        <v>41</v>
      </c>
      <c r="S297" s="6" t="s">
        <v>42</v>
      </c>
      <c r="T297" s="6" t="s">
        <v>43</v>
      </c>
      <c r="U297" s="6" t="s">
        <v>44</v>
      </c>
      <c r="V297" s="6" t="s">
        <v>45</v>
      </c>
      <c r="W297" s="6" t="s">
        <v>85</v>
      </c>
      <c r="X297" s="7">
        <v>41869</v>
      </c>
      <c r="Y297" s="8">
        <f t="shared" ca="1" si="4"/>
        <v>11</v>
      </c>
      <c r="Z297" s="7"/>
      <c r="AA297" s="6" t="s">
        <v>47</v>
      </c>
      <c r="AB297" s="6" t="s">
        <v>48</v>
      </c>
      <c r="AC297" s="6" t="s">
        <v>49</v>
      </c>
      <c r="AD297" s="6" t="s">
        <v>82</v>
      </c>
      <c r="AE297" s="6">
        <v>19</v>
      </c>
      <c r="AF297" s="6" t="s">
        <v>83</v>
      </c>
      <c r="AG297" s="6" t="s">
        <v>61</v>
      </c>
      <c r="AH297" s="6">
        <v>3.11</v>
      </c>
      <c r="AI297" s="6">
        <v>5</v>
      </c>
      <c r="AJ297" s="6">
        <v>0</v>
      </c>
      <c r="AK297" s="7">
        <v>43801</v>
      </c>
      <c r="AL297" s="6">
        <v>4</v>
      </c>
    </row>
    <row r="298" spans="1:38" x14ac:dyDescent="0.35">
      <c r="A298" s="6" t="s">
        <v>476</v>
      </c>
      <c r="B298" s="6">
        <v>10274</v>
      </c>
      <c r="C298" s="6">
        <v>1</v>
      </c>
      <c r="D298" s="6">
        <v>1</v>
      </c>
      <c r="E298" s="6">
        <v>0</v>
      </c>
      <c r="F298" s="6">
        <v>5</v>
      </c>
      <c r="G298" s="6">
        <v>5</v>
      </c>
      <c r="H298" s="6">
        <v>3</v>
      </c>
      <c r="I298" s="6">
        <v>1</v>
      </c>
      <c r="J298" s="6">
        <v>80512</v>
      </c>
      <c r="K298" s="6">
        <v>1</v>
      </c>
      <c r="L298" s="6">
        <v>18</v>
      </c>
      <c r="M298" s="6" t="s">
        <v>133</v>
      </c>
      <c r="N298" s="6" t="s">
        <v>40</v>
      </c>
      <c r="O298" s="6">
        <v>2478</v>
      </c>
      <c r="P298" s="7">
        <v>20407</v>
      </c>
      <c r="Q298" s="8">
        <v>69</v>
      </c>
      <c r="R298" s="8" t="s">
        <v>96</v>
      </c>
      <c r="S298" s="6" t="s">
        <v>64</v>
      </c>
      <c r="T298" s="6" t="s">
        <v>55</v>
      </c>
      <c r="U298" s="6" t="s">
        <v>44</v>
      </c>
      <c r="V298" s="6" t="s">
        <v>45</v>
      </c>
      <c r="W298" s="6" t="s">
        <v>85</v>
      </c>
      <c r="X298" s="7">
        <v>40812</v>
      </c>
      <c r="Y298" s="8">
        <f t="shared" ca="1" si="4"/>
        <v>14</v>
      </c>
      <c r="Z298" s="7">
        <v>40940</v>
      </c>
      <c r="AA298" s="6" t="s">
        <v>93</v>
      </c>
      <c r="AB298" s="6" t="s">
        <v>57</v>
      </c>
      <c r="AC298" s="6" t="s">
        <v>49</v>
      </c>
      <c r="AD298" s="6" t="s">
        <v>135</v>
      </c>
      <c r="AE298" s="6">
        <v>2</v>
      </c>
      <c r="AF298" s="6" t="s">
        <v>87</v>
      </c>
      <c r="AG298" s="6" t="s">
        <v>61</v>
      </c>
      <c r="AH298" s="6">
        <v>4.5</v>
      </c>
      <c r="AI298" s="6">
        <v>3</v>
      </c>
      <c r="AJ298" s="6">
        <v>0</v>
      </c>
      <c r="AK298" s="7">
        <v>40940</v>
      </c>
      <c r="AL298" s="6">
        <v>5</v>
      </c>
    </row>
    <row r="299" spans="1:38" x14ac:dyDescent="0.35">
      <c r="A299" s="6" t="s">
        <v>477</v>
      </c>
      <c r="B299" s="6">
        <v>10293</v>
      </c>
      <c r="C299" s="6">
        <v>0</v>
      </c>
      <c r="D299" s="6">
        <v>0</v>
      </c>
      <c r="E299" s="6">
        <v>0</v>
      </c>
      <c r="F299" s="6">
        <v>5</v>
      </c>
      <c r="G299" s="6">
        <v>5</v>
      </c>
      <c r="H299" s="6">
        <v>2</v>
      </c>
      <c r="I299" s="6">
        <v>0</v>
      </c>
      <c r="J299" s="6">
        <v>50274</v>
      </c>
      <c r="K299" s="6">
        <v>1</v>
      </c>
      <c r="L299" s="6">
        <v>19</v>
      </c>
      <c r="M299" s="6" t="s">
        <v>39</v>
      </c>
      <c r="N299" s="6" t="s">
        <v>40</v>
      </c>
      <c r="O299" s="6">
        <v>1887</v>
      </c>
      <c r="P299" s="7">
        <v>29259</v>
      </c>
      <c r="Q299" s="8">
        <v>45</v>
      </c>
      <c r="R299" s="8" t="s">
        <v>41</v>
      </c>
      <c r="S299" s="6" t="s">
        <v>64</v>
      </c>
      <c r="T299" s="6" t="s">
        <v>43</v>
      </c>
      <c r="U299" s="6" t="s">
        <v>44</v>
      </c>
      <c r="V299" s="6" t="s">
        <v>45</v>
      </c>
      <c r="W299" s="6" t="s">
        <v>46</v>
      </c>
      <c r="X299" s="7">
        <v>41134</v>
      </c>
      <c r="Y299" s="8">
        <f t="shared" ca="1" si="4"/>
        <v>13</v>
      </c>
      <c r="Z299" s="7">
        <v>42013</v>
      </c>
      <c r="AA299" s="6" t="s">
        <v>56</v>
      </c>
      <c r="AB299" s="6" t="s">
        <v>57</v>
      </c>
      <c r="AC299" s="6" t="s">
        <v>49</v>
      </c>
      <c r="AD299" s="6" t="s">
        <v>68</v>
      </c>
      <c r="AE299" s="6">
        <v>16</v>
      </c>
      <c r="AF299" s="6" t="s">
        <v>121</v>
      </c>
      <c r="AG299" s="6" t="s">
        <v>122</v>
      </c>
      <c r="AH299" s="6">
        <v>2.5</v>
      </c>
      <c r="AI299" s="6">
        <v>3</v>
      </c>
      <c r="AJ299" s="6">
        <v>0</v>
      </c>
      <c r="AK299" s="7">
        <v>41768</v>
      </c>
      <c r="AL299" s="6">
        <v>13</v>
      </c>
    </row>
    <row r="300" spans="1:38" x14ac:dyDescent="0.35">
      <c r="A300" s="6" t="s">
        <v>478</v>
      </c>
      <c r="B300" s="6">
        <v>10172</v>
      </c>
      <c r="C300" s="6">
        <v>0</v>
      </c>
      <c r="D300" s="6">
        <v>0</v>
      </c>
      <c r="E300" s="6">
        <v>1</v>
      </c>
      <c r="F300" s="6">
        <v>1</v>
      </c>
      <c r="G300" s="6">
        <v>3</v>
      </c>
      <c r="H300" s="6">
        <v>3</v>
      </c>
      <c r="I300" s="6">
        <v>0</v>
      </c>
      <c r="J300" s="6">
        <v>84903</v>
      </c>
      <c r="K300" s="6">
        <v>0</v>
      </c>
      <c r="L300" s="6">
        <v>22</v>
      </c>
      <c r="M300" s="6" t="s">
        <v>320</v>
      </c>
      <c r="N300" s="6" t="s">
        <v>40</v>
      </c>
      <c r="O300" s="6">
        <v>1887</v>
      </c>
      <c r="P300" s="7">
        <v>29805</v>
      </c>
      <c r="Q300" s="8">
        <v>43</v>
      </c>
      <c r="R300" s="8" t="s">
        <v>41</v>
      </c>
      <c r="S300" s="6" t="s">
        <v>42</v>
      </c>
      <c r="T300" s="6" t="s">
        <v>43</v>
      </c>
      <c r="U300" s="6" t="s">
        <v>44</v>
      </c>
      <c r="V300" s="6" t="s">
        <v>45</v>
      </c>
      <c r="W300" s="6" t="s">
        <v>116</v>
      </c>
      <c r="X300" s="7">
        <v>42791</v>
      </c>
      <c r="Y300" s="8">
        <f t="shared" ca="1" si="4"/>
        <v>9</v>
      </c>
      <c r="Z300" s="7"/>
      <c r="AA300" s="6" t="s">
        <v>47</v>
      </c>
      <c r="AB300" s="6" t="s">
        <v>48</v>
      </c>
      <c r="AC300" s="6" t="s">
        <v>58</v>
      </c>
      <c r="AD300" s="6" t="s">
        <v>201</v>
      </c>
      <c r="AE300" s="6">
        <v>13</v>
      </c>
      <c r="AF300" s="6" t="s">
        <v>60</v>
      </c>
      <c r="AG300" s="6" t="s">
        <v>61</v>
      </c>
      <c r="AH300" s="6">
        <v>3.42</v>
      </c>
      <c r="AI300" s="6">
        <v>4</v>
      </c>
      <c r="AJ300" s="6">
        <v>7</v>
      </c>
      <c r="AK300" s="7">
        <v>43556</v>
      </c>
      <c r="AL300" s="6">
        <v>17</v>
      </c>
    </row>
    <row r="301" spans="1:38" x14ac:dyDescent="0.35">
      <c r="A301" s="6" t="s">
        <v>479</v>
      </c>
      <c r="B301" s="6">
        <v>10127</v>
      </c>
      <c r="C301" s="6">
        <v>0</v>
      </c>
      <c r="D301" s="6">
        <v>4</v>
      </c>
      <c r="E301" s="6">
        <v>0</v>
      </c>
      <c r="F301" s="6">
        <v>1</v>
      </c>
      <c r="G301" s="6">
        <v>3</v>
      </c>
      <c r="H301" s="6">
        <v>3</v>
      </c>
      <c r="I301" s="6">
        <v>0</v>
      </c>
      <c r="J301" s="6">
        <v>107226</v>
      </c>
      <c r="K301" s="6">
        <v>0</v>
      </c>
      <c r="L301" s="6">
        <v>28</v>
      </c>
      <c r="M301" s="6" t="s">
        <v>183</v>
      </c>
      <c r="N301" s="6" t="s">
        <v>40</v>
      </c>
      <c r="O301" s="6">
        <v>2453</v>
      </c>
      <c r="P301" s="7">
        <v>28526</v>
      </c>
      <c r="Q301" s="8">
        <v>47</v>
      </c>
      <c r="R301" s="8" t="s">
        <v>41</v>
      </c>
      <c r="S301" s="6" t="s">
        <v>64</v>
      </c>
      <c r="T301" s="6" t="s">
        <v>81</v>
      </c>
      <c r="U301" s="6" t="s">
        <v>44</v>
      </c>
      <c r="V301" s="6" t="s">
        <v>45</v>
      </c>
      <c r="W301" s="6" t="s">
        <v>116</v>
      </c>
      <c r="X301" s="7">
        <v>42093</v>
      </c>
      <c r="Y301" s="8">
        <f t="shared" ca="1" si="4"/>
        <v>11</v>
      </c>
      <c r="Z301" s="7"/>
      <c r="AA301" s="6" t="s">
        <v>47</v>
      </c>
      <c r="AB301" s="6" t="s">
        <v>48</v>
      </c>
      <c r="AC301" s="6" t="s">
        <v>58</v>
      </c>
      <c r="AD301" s="6" t="s">
        <v>90</v>
      </c>
      <c r="AE301" s="6">
        <v>7</v>
      </c>
      <c r="AF301" s="6" t="s">
        <v>83</v>
      </c>
      <c r="AG301" s="6" t="s">
        <v>61</v>
      </c>
      <c r="AH301" s="6">
        <v>4.2</v>
      </c>
      <c r="AI301" s="6">
        <v>4</v>
      </c>
      <c r="AJ301" s="6">
        <v>8</v>
      </c>
      <c r="AK301" s="7">
        <v>43587</v>
      </c>
      <c r="AL301" s="6">
        <v>7</v>
      </c>
    </row>
    <row r="302" spans="1:38" x14ac:dyDescent="0.35">
      <c r="A302" s="6" t="s">
        <v>480</v>
      </c>
      <c r="B302" s="6">
        <v>10072</v>
      </c>
      <c r="C302" s="6">
        <v>0</v>
      </c>
      <c r="D302" s="6">
        <v>0</v>
      </c>
      <c r="E302" s="6">
        <v>1</v>
      </c>
      <c r="F302" s="6">
        <v>5</v>
      </c>
      <c r="G302" s="6">
        <v>5</v>
      </c>
      <c r="H302" s="6">
        <v>3</v>
      </c>
      <c r="I302" s="6">
        <v>0</v>
      </c>
      <c r="J302" s="6">
        <v>58371</v>
      </c>
      <c r="K302" s="6">
        <v>1</v>
      </c>
      <c r="L302" s="6">
        <v>19</v>
      </c>
      <c r="M302" s="6" t="s">
        <v>39</v>
      </c>
      <c r="N302" s="6" t="s">
        <v>40</v>
      </c>
      <c r="O302" s="6">
        <v>2030</v>
      </c>
      <c r="P302" s="7">
        <v>31921</v>
      </c>
      <c r="Q302" s="8">
        <v>38</v>
      </c>
      <c r="R302" s="8" t="s">
        <v>41</v>
      </c>
      <c r="S302" s="6" t="s">
        <v>42</v>
      </c>
      <c r="T302" s="6" t="s">
        <v>43</v>
      </c>
      <c r="U302" s="6" t="s">
        <v>44</v>
      </c>
      <c r="V302" s="6" t="s">
        <v>92</v>
      </c>
      <c r="W302" s="6" t="s">
        <v>46</v>
      </c>
      <c r="X302" s="7">
        <v>40817</v>
      </c>
      <c r="Y302" s="8">
        <f t="shared" ca="1" si="4"/>
        <v>14</v>
      </c>
      <c r="Z302" s="7">
        <v>41774</v>
      </c>
      <c r="AA302" s="6" t="s">
        <v>65</v>
      </c>
      <c r="AB302" s="6" t="s">
        <v>57</v>
      </c>
      <c r="AC302" s="6" t="s">
        <v>49</v>
      </c>
      <c r="AD302" s="6" t="s">
        <v>72</v>
      </c>
      <c r="AE302" s="6">
        <v>39</v>
      </c>
      <c r="AF302" s="6" t="s">
        <v>51</v>
      </c>
      <c r="AG302" s="6" t="s">
        <v>61</v>
      </c>
      <c r="AH302" s="6">
        <v>5</v>
      </c>
      <c r="AI302" s="6">
        <v>5</v>
      </c>
      <c r="AJ302" s="6">
        <v>0</v>
      </c>
      <c r="AK302" s="7">
        <v>41774</v>
      </c>
      <c r="AL302" s="6">
        <v>11</v>
      </c>
    </row>
    <row r="303" spans="1:38" x14ac:dyDescent="0.35">
      <c r="A303" s="6" t="s">
        <v>481</v>
      </c>
      <c r="B303" s="6">
        <v>10048</v>
      </c>
      <c r="C303" s="6">
        <v>1</v>
      </c>
      <c r="D303" s="6">
        <v>1</v>
      </c>
      <c r="E303" s="6">
        <v>1</v>
      </c>
      <c r="F303" s="6">
        <v>5</v>
      </c>
      <c r="G303" s="6">
        <v>5</v>
      </c>
      <c r="H303" s="6">
        <v>3</v>
      </c>
      <c r="I303" s="6">
        <v>0</v>
      </c>
      <c r="J303" s="6">
        <v>55140</v>
      </c>
      <c r="K303" s="6">
        <v>1</v>
      </c>
      <c r="L303" s="6">
        <v>19</v>
      </c>
      <c r="M303" s="6" t="s">
        <v>39</v>
      </c>
      <c r="N303" s="6" t="s">
        <v>40</v>
      </c>
      <c r="O303" s="6">
        <v>2324</v>
      </c>
      <c r="P303" s="7">
        <v>23994</v>
      </c>
      <c r="Q303" s="8">
        <v>59</v>
      </c>
      <c r="R303" s="8" t="s">
        <v>41</v>
      </c>
      <c r="S303" s="6" t="s">
        <v>42</v>
      </c>
      <c r="T303" s="6" t="s">
        <v>55</v>
      </c>
      <c r="U303" s="6" t="s">
        <v>111</v>
      </c>
      <c r="V303" s="6" t="s">
        <v>45</v>
      </c>
      <c r="W303" s="6" t="s">
        <v>46</v>
      </c>
      <c r="X303" s="7">
        <v>40679</v>
      </c>
      <c r="Y303" s="8">
        <f t="shared" ca="1" si="4"/>
        <v>15</v>
      </c>
      <c r="Z303" s="7">
        <v>42194</v>
      </c>
      <c r="AA303" s="6" t="s">
        <v>97</v>
      </c>
      <c r="AB303" s="6" t="s">
        <v>57</v>
      </c>
      <c r="AC303" s="6" t="s">
        <v>49</v>
      </c>
      <c r="AD303" s="6" t="s">
        <v>75</v>
      </c>
      <c r="AE303" s="6">
        <v>11</v>
      </c>
      <c r="AF303" s="6" t="s">
        <v>205</v>
      </c>
      <c r="AG303" s="6" t="s">
        <v>61</v>
      </c>
      <c r="AH303" s="6">
        <v>5</v>
      </c>
      <c r="AI303" s="6">
        <v>3</v>
      </c>
      <c r="AJ303" s="6">
        <v>0</v>
      </c>
      <c r="AK303" s="7">
        <v>42050</v>
      </c>
      <c r="AL303" s="6">
        <v>7</v>
      </c>
    </row>
    <row r="304" spans="1:38" x14ac:dyDescent="0.35">
      <c r="A304" s="6" t="s">
        <v>482</v>
      </c>
      <c r="B304" s="6">
        <v>10204</v>
      </c>
      <c r="C304" s="6">
        <v>0</v>
      </c>
      <c r="D304" s="6">
        <v>2</v>
      </c>
      <c r="E304" s="6">
        <v>0</v>
      </c>
      <c r="F304" s="6">
        <v>5</v>
      </c>
      <c r="G304" s="6">
        <v>5</v>
      </c>
      <c r="H304" s="6">
        <v>3</v>
      </c>
      <c r="I304" s="6">
        <v>0</v>
      </c>
      <c r="J304" s="6">
        <v>58062</v>
      </c>
      <c r="K304" s="6">
        <v>1</v>
      </c>
      <c r="L304" s="6">
        <v>19</v>
      </c>
      <c r="M304" s="6" t="s">
        <v>39</v>
      </c>
      <c r="N304" s="6" t="s">
        <v>40</v>
      </c>
      <c r="O304" s="6">
        <v>1876</v>
      </c>
      <c r="P304" s="7">
        <v>30527</v>
      </c>
      <c r="Q304" s="8">
        <v>41</v>
      </c>
      <c r="R304" s="8" t="s">
        <v>41</v>
      </c>
      <c r="S304" s="6" t="s">
        <v>64</v>
      </c>
      <c r="T304" s="6" t="s">
        <v>70</v>
      </c>
      <c r="U304" s="6" t="s">
        <v>44</v>
      </c>
      <c r="V304" s="6" t="s">
        <v>45</v>
      </c>
      <c r="W304" s="6" t="s">
        <v>46</v>
      </c>
      <c r="X304" s="7">
        <v>40817</v>
      </c>
      <c r="Y304" s="8">
        <f t="shared" ca="1" si="4"/>
        <v>14</v>
      </c>
      <c r="Z304" s="7">
        <v>41043</v>
      </c>
      <c r="AA304" s="6" t="s">
        <v>93</v>
      </c>
      <c r="AB304" s="6" t="s">
        <v>57</v>
      </c>
      <c r="AC304" s="6" t="s">
        <v>49</v>
      </c>
      <c r="AD304" s="6" t="s">
        <v>82</v>
      </c>
      <c r="AE304" s="6">
        <v>19</v>
      </c>
      <c r="AF304" s="6" t="s">
        <v>73</v>
      </c>
      <c r="AG304" s="6" t="s">
        <v>61</v>
      </c>
      <c r="AH304" s="6">
        <v>3.6</v>
      </c>
      <c r="AI304" s="6">
        <v>5</v>
      </c>
      <c r="AJ304" s="6">
        <v>0</v>
      </c>
      <c r="AK304" s="7">
        <v>40696</v>
      </c>
      <c r="AL304" s="6">
        <v>9</v>
      </c>
    </row>
    <row r="305" spans="1:38" x14ac:dyDescent="0.35">
      <c r="A305" s="6" t="s">
        <v>483</v>
      </c>
      <c r="B305" s="6">
        <v>10264</v>
      </c>
      <c r="C305" s="6">
        <v>0</v>
      </c>
      <c r="D305" s="6">
        <v>0</v>
      </c>
      <c r="E305" s="6">
        <v>0</v>
      </c>
      <c r="F305" s="6">
        <v>5</v>
      </c>
      <c r="G305" s="6">
        <v>5</v>
      </c>
      <c r="H305" s="6">
        <v>3</v>
      </c>
      <c r="I305" s="6">
        <v>1</v>
      </c>
      <c r="J305" s="6">
        <v>59728</v>
      </c>
      <c r="K305" s="6">
        <v>1</v>
      </c>
      <c r="L305" s="6">
        <v>19</v>
      </c>
      <c r="M305" s="6" t="s">
        <v>39</v>
      </c>
      <c r="N305" s="6" t="s">
        <v>40</v>
      </c>
      <c r="O305" s="6">
        <v>2109</v>
      </c>
      <c r="P305" s="7">
        <v>25244</v>
      </c>
      <c r="Q305" s="8">
        <v>56</v>
      </c>
      <c r="R305" s="8" t="s">
        <v>41</v>
      </c>
      <c r="S305" s="6" t="s">
        <v>64</v>
      </c>
      <c r="T305" s="6" t="s">
        <v>43</v>
      </c>
      <c r="U305" s="6" t="s">
        <v>44</v>
      </c>
      <c r="V305" s="6" t="s">
        <v>92</v>
      </c>
      <c r="W305" s="6" t="s">
        <v>85</v>
      </c>
      <c r="X305" s="7">
        <v>41153</v>
      </c>
      <c r="Y305" s="8">
        <f t="shared" ca="1" si="4"/>
        <v>13</v>
      </c>
      <c r="Z305" s="7">
        <v>42182</v>
      </c>
      <c r="AA305" s="6" t="s">
        <v>166</v>
      </c>
      <c r="AB305" s="6" t="s">
        <v>57</v>
      </c>
      <c r="AC305" s="6" t="s">
        <v>49</v>
      </c>
      <c r="AD305" s="6" t="s">
        <v>82</v>
      </c>
      <c r="AE305" s="6">
        <v>19</v>
      </c>
      <c r="AF305" s="6" t="s">
        <v>87</v>
      </c>
      <c r="AG305" s="6" t="s">
        <v>61</v>
      </c>
      <c r="AH305" s="6">
        <v>4.3</v>
      </c>
      <c r="AI305" s="6">
        <v>4</v>
      </c>
      <c r="AJ305" s="6">
        <v>0</v>
      </c>
      <c r="AK305" s="7">
        <v>41676</v>
      </c>
      <c r="AL305" s="6">
        <v>16</v>
      </c>
    </row>
    <row r="306" spans="1:38" x14ac:dyDescent="0.35">
      <c r="A306" s="6" t="s">
        <v>484</v>
      </c>
      <c r="B306" s="6">
        <v>10033</v>
      </c>
      <c r="C306" s="6">
        <v>0</v>
      </c>
      <c r="D306" s="6">
        <v>0</v>
      </c>
      <c r="E306" s="6">
        <v>1</v>
      </c>
      <c r="F306" s="6">
        <v>5</v>
      </c>
      <c r="G306" s="6">
        <v>5</v>
      </c>
      <c r="H306" s="6">
        <v>4</v>
      </c>
      <c r="I306" s="6">
        <v>0</v>
      </c>
      <c r="J306" s="6">
        <v>70507</v>
      </c>
      <c r="K306" s="6">
        <v>1</v>
      </c>
      <c r="L306" s="6">
        <v>20</v>
      </c>
      <c r="M306" s="6" t="s">
        <v>63</v>
      </c>
      <c r="N306" s="6" t="s">
        <v>40</v>
      </c>
      <c r="O306" s="6">
        <v>2045</v>
      </c>
      <c r="P306" s="7">
        <v>21377</v>
      </c>
      <c r="Q306" s="8">
        <v>67</v>
      </c>
      <c r="R306" s="8" t="s">
        <v>96</v>
      </c>
      <c r="S306" s="6" t="s">
        <v>42</v>
      </c>
      <c r="T306" s="6" t="s">
        <v>43</v>
      </c>
      <c r="U306" s="6" t="s">
        <v>44</v>
      </c>
      <c r="V306" s="6" t="s">
        <v>45</v>
      </c>
      <c r="W306" s="6" t="s">
        <v>46</v>
      </c>
      <c r="X306" s="7">
        <v>41456</v>
      </c>
      <c r="Y306" s="8">
        <f t="shared" ca="1" si="4"/>
        <v>13</v>
      </c>
      <c r="Z306" s="7">
        <v>42421</v>
      </c>
      <c r="AA306" s="6" t="s">
        <v>134</v>
      </c>
      <c r="AB306" s="6" t="s">
        <v>57</v>
      </c>
      <c r="AC306" s="6" t="s">
        <v>49</v>
      </c>
      <c r="AD306" s="6" t="s">
        <v>86</v>
      </c>
      <c r="AE306" s="6">
        <v>12</v>
      </c>
      <c r="AF306" s="6" t="s">
        <v>51</v>
      </c>
      <c r="AG306" s="6" t="s">
        <v>52</v>
      </c>
      <c r="AH306" s="6">
        <v>5</v>
      </c>
      <c r="AI306" s="6">
        <v>3</v>
      </c>
      <c r="AJ306" s="6">
        <v>0</v>
      </c>
      <c r="AK306" s="7">
        <v>43484</v>
      </c>
      <c r="AL306" s="6">
        <v>7</v>
      </c>
    </row>
    <row r="307" spans="1:38" x14ac:dyDescent="0.35">
      <c r="A307" s="6" t="s">
        <v>485</v>
      </c>
      <c r="B307" s="6">
        <v>10174</v>
      </c>
      <c r="C307" s="6">
        <v>0</v>
      </c>
      <c r="D307" s="6">
        <v>0</v>
      </c>
      <c r="E307" s="6">
        <v>0</v>
      </c>
      <c r="F307" s="6">
        <v>1</v>
      </c>
      <c r="G307" s="6">
        <v>5</v>
      </c>
      <c r="H307" s="6">
        <v>3</v>
      </c>
      <c r="I307" s="6">
        <v>0</v>
      </c>
      <c r="J307" s="6">
        <v>60446</v>
      </c>
      <c r="K307" s="6">
        <v>0</v>
      </c>
      <c r="L307" s="6">
        <v>20</v>
      </c>
      <c r="M307" s="6" t="s">
        <v>63</v>
      </c>
      <c r="N307" s="6" t="s">
        <v>40</v>
      </c>
      <c r="O307" s="6">
        <v>2302</v>
      </c>
      <c r="P307" s="7">
        <v>31157</v>
      </c>
      <c r="Q307" s="8">
        <v>40</v>
      </c>
      <c r="R307" s="8" t="s">
        <v>41</v>
      </c>
      <c r="S307" s="6" t="s">
        <v>64</v>
      </c>
      <c r="T307" s="6" t="s">
        <v>43</v>
      </c>
      <c r="U307" s="6" t="s">
        <v>44</v>
      </c>
      <c r="V307" s="6" t="s">
        <v>45</v>
      </c>
      <c r="W307" s="6" t="s">
        <v>46</v>
      </c>
      <c r="X307" s="7">
        <v>41911</v>
      </c>
      <c r="Y307" s="8">
        <f t="shared" ca="1" si="4"/>
        <v>11</v>
      </c>
      <c r="Z307" s="7"/>
      <c r="AA307" s="6" t="s">
        <v>47</v>
      </c>
      <c r="AB307" s="6" t="s">
        <v>48</v>
      </c>
      <c r="AC307" s="6" t="s">
        <v>49</v>
      </c>
      <c r="AD307" s="6" t="s">
        <v>94</v>
      </c>
      <c r="AE307" s="6">
        <v>14</v>
      </c>
      <c r="AF307" s="6" t="s">
        <v>51</v>
      </c>
      <c r="AG307" s="6" t="s">
        <v>61</v>
      </c>
      <c r="AH307" s="6">
        <v>3.4</v>
      </c>
      <c r="AI307" s="6">
        <v>4</v>
      </c>
      <c r="AJ307" s="6">
        <v>0</v>
      </c>
      <c r="AK307" s="7">
        <v>43517</v>
      </c>
      <c r="AL307" s="6">
        <v>14</v>
      </c>
    </row>
    <row r="308" spans="1:38" x14ac:dyDescent="0.35">
      <c r="A308" s="6" t="s">
        <v>486</v>
      </c>
      <c r="B308" s="6">
        <v>10135</v>
      </c>
      <c r="C308" s="6">
        <v>0</v>
      </c>
      <c r="D308" s="6">
        <v>0</v>
      </c>
      <c r="E308" s="6">
        <v>1</v>
      </c>
      <c r="F308" s="6">
        <v>1</v>
      </c>
      <c r="G308" s="6">
        <v>5</v>
      </c>
      <c r="H308" s="6">
        <v>3</v>
      </c>
      <c r="I308" s="6">
        <v>0</v>
      </c>
      <c r="J308" s="6">
        <v>65893</v>
      </c>
      <c r="K308" s="6">
        <v>0</v>
      </c>
      <c r="L308" s="6">
        <v>20</v>
      </c>
      <c r="M308" s="6" t="s">
        <v>63</v>
      </c>
      <c r="N308" s="6" t="s">
        <v>40</v>
      </c>
      <c r="O308" s="6">
        <v>1810</v>
      </c>
      <c r="P308" s="7">
        <v>31356</v>
      </c>
      <c r="Q308" s="8">
        <v>39</v>
      </c>
      <c r="R308" s="8" t="s">
        <v>41</v>
      </c>
      <c r="S308" s="6" t="s">
        <v>42</v>
      </c>
      <c r="T308" s="6" t="s">
        <v>43</v>
      </c>
      <c r="U308" s="6" t="s">
        <v>44</v>
      </c>
      <c r="V308" s="6" t="s">
        <v>45</v>
      </c>
      <c r="W308" s="6" t="s">
        <v>46</v>
      </c>
      <c r="X308" s="7">
        <v>41827</v>
      </c>
      <c r="Y308" s="8">
        <f t="shared" ca="1" si="4"/>
        <v>12</v>
      </c>
      <c r="Z308" s="7"/>
      <c r="AA308" s="6" t="s">
        <v>47</v>
      </c>
      <c r="AB308" s="6" t="s">
        <v>48</v>
      </c>
      <c r="AC308" s="6" t="s">
        <v>49</v>
      </c>
      <c r="AD308" s="6" t="s">
        <v>66</v>
      </c>
      <c r="AE308" s="6">
        <v>20</v>
      </c>
      <c r="AF308" s="6" t="s">
        <v>51</v>
      </c>
      <c r="AG308" s="6" t="s">
        <v>61</v>
      </c>
      <c r="AH308" s="6">
        <v>4.07</v>
      </c>
      <c r="AI308" s="6">
        <v>4</v>
      </c>
      <c r="AJ308" s="6">
        <v>0</v>
      </c>
      <c r="AK308" s="7">
        <v>43524</v>
      </c>
      <c r="AL308" s="6">
        <v>13</v>
      </c>
    </row>
    <row r="309" spans="1:38" x14ac:dyDescent="0.35">
      <c r="A309" s="6" t="s">
        <v>487</v>
      </c>
      <c r="B309" s="6">
        <v>10301</v>
      </c>
      <c r="C309" s="6">
        <v>0</v>
      </c>
      <c r="D309" s="6">
        <v>0</v>
      </c>
      <c r="E309" s="6">
        <v>0</v>
      </c>
      <c r="F309" s="6">
        <v>5</v>
      </c>
      <c r="G309" s="6">
        <v>5</v>
      </c>
      <c r="H309" s="6">
        <v>1</v>
      </c>
      <c r="I309" s="6">
        <v>0</v>
      </c>
      <c r="J309" s="6">
        <v>48513</v>
      </c>
      <c r="K309" s="6">
        <v>1</v>
      </c>
      <c r="L309" s="6">
        <v>19</v>
      </c>
      <c r="M309" s="6" t="s">
        <v>39</v>
      </c>
      <c r="N309" s="6" t="s">
        <v>40</v>
      </c>
      <c r="O309" s="6">
        <v>2458</v>
      </c>
      <c r="P309" s="7">
        <v>30046</v>
      </c>
      <c r="Q309" s="8">
        <v>43</v>
      </c>
      <c r="R309" s="8" t="s">
        <v>41</v>
      </c>
      <c r="S309" s="6" t="s">
        <v>64</v>
      </c>
      <c r="T309" s="6" t="s">
        <v>43</v>
      </c>
      <c r="U309" s="6" t="s">
        <v>44</v>
      </c>
      <c r="V309" s="6" t="s">
        <v>45</v>
      </c>
      <c r="W309" s="6" t="s">
        <v>116</v>
      </c>
      <c r="X309" s="7">
        <v>39487</v>
      </c>
      <c r="Y309" s="8">
        <f t="shared" ca="1" si="4"/>
        <v>18</v>
      </c>
      <c r="Z309" s="7">
        <v>42276</v>
      </c>
      <c r="AA309" s="6" t="s">
        <v>93</v>
      </c>
      <c r="AB309" s="6" t="s">
        <v>57</v>
      </c>
      <c r="AC309" s="6" t="s">
        <v>49</v>
      </c>
      <c r="AD309" s="6" t="s">
        <v>86</v>
      </c>
      <c r="AE309" s="6">
        <v>12</v>
      </c>
      <c r="AF309" s="6" t="s">
        <v>73</v>
      </c>
      <c r="AG309" s="6" t="s">
        <v>195</v>
      </c>
      <c r="AH309" s="6">
        <v>3.2</v>
      </c>
      <c r="AI309" s="6">
        <v>2</v>
      </c>
      <c r="AJ309" s="6">
        <v>0</v>
      </c>
      <c r="AK309" s="7">
        <v>42044</v>
      </c>
      <c r="AL309" s="6">
        <v>4</v>
      </c>
    </row>
    <row r="310" spans="1:38" x14ac:dyDescent="0.35">
      <c r="A310" s="6" t="s">
        <v>488</v>
      </c>
      <c r="B310" s="6">
        <v>10010</v>
      </c>
      <c r="C310" s="6">
        <v>0</v>
      </c>
      <c r="D310" s="6">
        <v>0</v>
      </c>
      <c r="E310" s="6">
        <v>0</v>
      </c>
      <c r="F310" s="6">
        <v>1</v>
      </c>
      <c r="G310" s="6">
        <v>3</v>
      </c>
      <c r="H310" s="6">
        <v>4</v>
      </c>
      <c r="I310" s="6">
        <v>0</v>
      </c>
      <c r="J310" s="6">
        <v>220450</v>
      </c>
      <c r="K310" s="6">
        <v>0</v>
      </c>
      <c r="L310" s="6">
        <v>6</v>
      </c>
      <c r="M310" s="6" t="s">
        <v>489</v>
      </c>
      <c r="N310" s="6" t="s">
        <v>40</v>
      </c>
      <c r="O310" s="6">
        <v>2067</v>
      </c>
      <c r="P310" s="7">
        <v>29097</v>
      </c>
      <c r="Q310" s="8">
        <v>45</v>
      </c>
      <c r="R310" s="8" t="s">
        <v>41</v>
      </c>
      <c r="S310" s="6" t="s">
        <v>64</v>
      </c>
      <c r="T310" s="6" t="s">
        <v>43</v>
      </c>
      <c r="U310" s="6" t="s">
        <v>44</v>
      </c>
      <c r="V310" s="6" t="s">
        <v>45</v>
      </c>
      <c r="W310" s="6" t="s">
        <v>46</v>
      </c>
      <c r="X310" s="7">
        <v>40455</v>
      </c>
      <c r="Y310" s="8">
        <f t="shared" ca="1" si="4"/>
        <v>15</v>
      </c>
      <c r="Z310" s="7"/>
      <c r="AA310" s="6" t="s">
        <v>47</v>
      </c>
      <c r="AB310" s="6" t="s">
        <v>48</v>
      </c>
      <c r="AC310" s="6" t="s">
        <v>58</v>
      </c>
      <c r="AD310" s="6" t="s">
        <v>135</v>
      </c>
      <c r="AE310" s="6">
        <v>2</v>
      </c>
      <c r="AF310" s="6" t="s">
        <v>83</v>
      </c>
      <c r="AG310" s="6" t="s">
        <v>52</v>
      </c>
      <c r="AH310" s="6">
        <v>4.5999999999999996</v>
      </c>
      <c r="AI310" s="6">
        <v>5</v>
      </c>
      <c r="AJ310" s="6">
        <v>6</v>
      </c>
      <c r="AK310" s="7">
        <v>43517</v>
      </c>
      <c r="AL310" s="6">
        <v>16</v>
      </c>
    </row>
    <row r="311" spans="1:38" x14ac:dyDescent="0.35">
      <c r="A311" s="6" t="s">
        <v>490</v>
      </c>
      <c r="B311" s="6">
        <v>10043</v>
      </c>
      <c r="C311" s="6">
        <v>0</v>
      </c>
      <c r="D311" s="6">
        <v>0</v>
      </c>
      <c r="E311" s="6">
        <v>0</v>
      </c>
      <c r="F311" s="6">
        <v>1</v>
      </c>
      <c r="G311" s="6">
        <v>3</v>
      </c>
      <c r="H311" s="6">
        <v>3</v>
      </c>
      <c r="I311" s="6">
        <v>0</v>
      </c>
      <c r="J311" s="6">
        <v>89292</v>
      </c>
      <c r="K311" s="6">
        <v>0</v>
      </c>
      <c r="L311" s="6">
        <v>9</v>
      </c>
      <c r="M311" s="6" t="s">
        <v>99</v>
      </c>
      <c r="N311" s="6" t="s">
        <v>40</v>
      </c>
      <c r="O311" s="6">
        <v>2148</v>
      </c>
      <c r="P311" s="7">
        <v>28910</v>
      </c>
      <c r="Q311" s="8">
        <v>46</v>
      </c>
      <c r="R311" s="8" t="s">
        <v>41</v>
      </c>
      <c r="S311" s="6" t="s">
        <v>64</v>
      </c>
      <c r="T311" s="6" t="s">
        <v>43</v>
      </c>
      <c r="U311" s="6" t="s">
        <v>44</v>
      </c>
      <c r="V311" s="6" t="s">
        <v>45</v>
      </c>
      <c r="W311" s="6" t="s">
        <v>46</v>
      </c>
      <c r="X311" s="7">
        <v>42093</v>
      </c>
      <c r="Y311" s="8">
        <f t="shared" ca="1" si="4"/>
        <v>11</v>
      </c>
      <c r="Z311" s="7"/>
      <c r="AA311" s="6" t="s">
        <v>47</v>
      </c>
      <c r="AB311" s="6" t="s">
        <v>48</v>
      </c>
      <c r="AC311" s="6" t="s">
        <v>58</v>
      </c>
      <c r="AD311" s="6" t="s">
        <v>59</v>
      </c>
      <c r="AE311" s="6">
        <v>4</v>
      </c>
      <c r="AF311" s="6" t="s">
        <v>83</v>
      </c>
      <c r="AG311" s="6" t="s">
        <v>61</v>
      </c>
      <c r="AH311" s="6">
        <v>5</v>
      </c>
      <c r="AI311" s="6">
        <v>3</v>
      </c>
      <c r="AJ311" s="6">
        <v>5</v>
      </c>
      <c r="AK311" s="7">
        <v>43467</v>
      </c>
      <c r="AL311" s="6">
        <v>11</v>
      </c>
    </row>
    <row r="312" spans="1:38" x14ac:dyDescent="0.35">
      <c r="A312" s="6" t="s">
        <v>491</v>
      </c>
      <c r="B312" s="6">
        <v>10271</v>
      </c>
      <c r="C312" s="6">
        <v>0</v>
      </c>
      <c r="D312" s="6">
        <v>4</v>
      </c>
      <c r="E312" s="6">
        <v>0</v>
      </c>
      <c r="F312" s="6">
        <v>1</v>
      </c>
      <c r="G312" s="6">
        <v>5</v>
      </c>
      <c r="H312" s="6">
        <v>3</v>
      </c>
      <c r="I312" s="6">
        <v>0</v>
      </c>
      <c r="J312" s="6">
        <v>45046</v>
      </c>
      <c r="K312" s="6">
        <v>0</v>
      </c>
      <c r="L312" s="6">
        <v>19</v>
      </c>
      <c r="M312" s="6" t="s">
        <v>39</v>
      </c>
      <c r="N312" s="6" t="s">
        <v>40</v>
      </c>
      <c r="O312" s="6">
        <v>1730</v>
      </c>
      <c r="P312" s="7">
        <v>28719</v>
      </c>
      <c r="Q312" s="8">
        <v>46</v>
      </c>
      <c r="R312" s="8" t="s">
        <v>41</v>
      </c>
      <c r="S312" s="6" t="s">
        <v>64</v>
      </c>
      <c r="T312" s="6" t="s">
        <v>81</v>
      </c>
      <c r="U312" s="6" t="s">
        <v>44</v>
      </c>
      <c r="V312" s="6" t="s">
        <v>45</v>
      </c>
      <c r="W312" s="6" t="s">
        <v>116</v>
      </c>
      <c r="X312" s="7">
        <v>41911</v>
      </c>
      <c r="Y312" s="8">
        <f t="shared" ca="1" si="4"/>
        <v>11</v>
      </c>
      <c r="Z312" s="7"/>
      <c r="AA312" s="6" t="s">
        <v>47</v>
      </c>
      <c r="AB312" s="6" t="s">
        <v>48</v>
      </c>
      <c r="AC312" s="6" t="s">
        <v>49</v>
      </c>
      <c r="AD312" s="6" t="s">
        <v>94</v>
      </c>
      <c r="AE312" s="6">
        <v>14</v>
      </c>
      <c r="AF312" s="6" t="s">
        <v>51</v>
      </c>
      <c r="AG312" s="6" t="s">
        <v>61</v>
      </c>
      <c r="AH312" s="6">
        <v>4.5</v>
      </c>
      <c r="AI312" s="6">
        <v>5</v>
      </c>
      <c r="AJ312" s="6">
        <v>0</v>
      </c>
      <c r="AK312" s="7">
        <v>43495</v>
      </c>
      <c r="AL312" s="6">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99C33-E338-41D4-A180-2ACDF8E3555E}">
  <sheetPr>
    <tabColor rgb="FFC00000"/>
  </sheetPr>
  <dimension ref="A1:AN312"/>
  <sheetViews>
    <sheetView topLeftCell="A2" workbookViewId="0">
      <selection activeCell="A2" sqref="A1:XFD1048576"/>
    </sheetView>
  </sheetViews>
  <sheetFormatPr defaultRowHeight="14.5" x14ac:dyDescent="0.35"/>
  <cols>
    <col min="1" max="1" width="21.1796875" bestFit="1" customWidth="1"/>
    <col min="2" max="2" width="8.6328125" bestFit="1" customWidth="1"/>
    <col min="3" max="3" width="11.26953125" bestFit="1" customWidth="1"/>
    <col min="4" max="4" width="16.1796875" bestFit="1" customWidth="1"/>
    <col min="5" max="5" width="11" bestFit="1" customWidth="1"/>
    <col min="6" max="6" width="14" bestFit="1" customWidth="1"/>
    <col min="7" max="7" width="8.90625" bestFit="1" customWidth="1"/>
    <col min="8" max="8" width="13" bestFit="1" customWidth="1"/>
    <col min="9" max="9" width="22.6328125" bestFit="1" customWidth="1"/>
    <col min="10" max="10" width="8.26953125" bestFit="1" customWidth="1"/>
    <col min="11" max="11" width="8.36328125" bestFit="1" customWidth="1"/>
    <col min="12" max="12" width="11.7265625" bestFit="1" customWidth="1"/>
    <col min="13" max="13" width="25.36328125" bestFit="1" customWidth="1"/>
    <col min="14" max="14" width="7.453125" bestFit="1" customWidth="1"/>
    <col min="15" max="15" width="5.81640625" bestFit="1" customWidth="1"/>
    <col min="16" max="16" width="10.08984375" bestFit="1" customWidth="1"/>
    <col min="17" max="17" width="11.54296875" bestFit="1" customWidth="1"/>
    <col min="18" max="18" width="6.81640625" bestFit="1" customWidth="1"/>
    <col min="19" max="19" width="13.08984375" bestFit="1" customWidth="1"/>
    <col min="20" max="20" width="15.90625" bestFit="1" customWidth="1"/>
    <col min="21" max="21" width="15.81640625" bestFit="1" customWidth="1"/>
    <col min="22" max="22" width="27.453125" bestFit="1" customWidth="1"/>
    <col min="23" max="23" width="12.08984375" bestFit="1" customWidth="1"/>
    <col min="24" max="24" width="18.81640625" bestFit="1" customWidth="1"/>
    <col min="25" max="25" width="25.6328125" bestFit="1" customWidth="1"/>
    <col min="26" max="26" width="19.08984375" bestFit="1" customWidth="1"/>
    <col min="27" max="27" width="17.81640625" bestFit="1" customWidth="1"/>
    <col min="28" max="28" width="16.36328125" bestFit="1" customWidth="1"/>
    <col min="29" max="29" width="20.81640625" bestFit="1" customWidth="1"/>
    <col min="30" max="30" width="18.6328125" bestFit="1" customWidth="1"/>
    <col min="31" max="31" width="19.08984375" bestFit="1" customWidth="1"/>
    <col min="32" max="32" width="17" bestFit="1" customWidth="1"/>
    <col min="33" max="33" width="21.453125" bestFit="1" customWidth="1"/>
    <col min="34" max="34" width="28.36328125" bestFit="1" customWidth="1"/>
    <col min="35" max="35" width="11.1796875" bestFit="1" customWidth="1"/>
    <col min="36" max="36" width="6.08984375" bestFit="1" customWidth="1"/>
    <col min="37" max="37" width="14.26953125" bestFit="1" customWidth="1"/>
    <col min="38" max="38" width="12" bestFit="1" customWidth="1"/>
    <col min="39" max="39" width="11.81640625" bestFit="1" customWidth="1"/>
    <col min="40" max="40" width="13.36328125" bestFit="1" customWidth="1"/>
  </cols>
  <sheetData>
    <row r="1" spans="1:40" x14ac:dyDescent="0.35">
      <c r="A1" t="s">
        <v>0</v>
      </c>
      <c r="B1" t="s">
        <v>1</v>
      </c>
      <c r="C1" t="s">
        <v>2</v>
      </c>
      <c r="D1" t="s">
        <v>3</v>
      </c>
      <c r="E1" t="s">
        <v>4</v>
      </c>
      <c r="F1" t="s">
        <v>5</v>
      </c>
      <c r="G1" t="s">
        <v>6</v>
      </c>
      <c r="H1" t="s">
        <v>7</v>
      </c>
      <c r="I1" t="s">
        <v>8</v>
      </c>
      <c r="J1" t="s">
        <v>9</v>
      </c>
      <c r="K1" t="s">
        <v>10</v>
      </c>
      <c r="L1" t="s">
        <v>11</v>
      </c>
      <c r="M1" t="s">
        <v>12</v>
      </c>
      <c r="N1" t="s">
        <v>13</v>
      </c>
      <c r="O1" t="s">
        <v>14</v>
      </c>
      <c r="P1" t="s">
        <v>15</v>
      </c>
      <c r="Q1" t="s">
        <v>17</v>
      </c>
      <c r="R1" t="s">
        <v>18</v>
      </c>
      <c r="S1" t="s">
        <v>19</v>
      </c>
      <c r="T1" t="s">
        <v>20</v>
      </c>
      <c r="U1" t="s">
        <v>21</v>
      </c>
      <c r="V1" t="s">
        <v>22</v>
      </c>
      <c r="W1" t="s">
        <v>23</v>
      </c>
      <c r="X1" t="s">
        <v>25</v>
      </c>
      <c r="Y1" t="s">
        <v>26</v>
      </c>
      <c r="Z1" t="s">
        <v>27</v>
      </c>
      <c r="AA1" t="s">
        <v>28</v>
      </c>
      <c r="AB1" t="s">
        <v>29</v>
      </c>
      <c r="AC1" t="s">
        <v>31</v>
      </c>
      <c r="AD1" t="s">
        <v>32</v>
      </c>
      <c r="AE1" t="s">
        <v>33</v>
      </c>
      <c r="AF1" t="s">
        <v>34</v>
      </c>
      <c r="AG1" t="s">
        <v>35</v>
      </c>
      <c r="AH1" t="s">
        <v>36</v>
      </c>
      <c r="AI1" t="s">
        <v>37</v>
      </c>
      <c r="AJ1" t="s">
        <v>16</v>
      </c>
      <c r="AK1" t="s">
        <v>494</v>
      </c>
      <c r="AL1" t="s">
        <v>30</v>
      </c>
      <c r="AM1" t="s">
        <v>600</v>
      </c>
      <c r="AN1" t="s">
        <v>611</v>
      </c>
    </row>
    <row r="2" spans="1:40" x14ac:dyDescent="0.35">
      <c r="A2" t="s">
        <v>38</v>
      </c>
      <c r="B2">
        <v>10026</v>
      </c>
      <c r="C2">
        <v>0</v>
      </c>
      <c r="D2">
        <v>0</v>
      </c>
      <c r="E2">
        <v>1</v>
      </c>
      <c r="F2">
        <v>1</v>
      </c>
      <c r="G2">
        <v>5</v>
      </c>
      <c r="H2">
        <v>4</v>
      </c>
      <c r="I2">
        <v>0</v>
      </c>
      <c r="J2">
        <v>62506</v>
      </c>
      <c r="K2">
        <v>0</v>
      </c>
      <c r="L2">
        <v>19</v>
      </c>
      <c r="M2" t="s">
        <v>39</v>
      </c>
      <c r="N2" t="s">
        <v>40</v>
      </c>
      <c r="O2">
        <v>1960</v>
      </c>
      <c r="P2" s="9">
        <v>30596</v>
      </c>
      <c r="Q2" t="s">
        <v>41</v>
      </c>
      <c r="R2" t="s">
        <v>617</v>
      </c>
      <c r="S2" t="s">
        <v>43</v>
      </c>
      <c r="T2" t="s">
        <v>44</v>
      </c>
      <c r="U2" t="s">
        <v>45</v>
      </c>
      <c r="V2" t="s">
        <v>46</v>
      </c>
      <c r="W2" s="9">
        <v>40670</v>
      </c>
      <c r="X2" s="9"/>
      <c r="Y2" t="s">
        <v>47</v>
      </c>
      <c r="Z2" t="s">
        <v>48</v>
      </c>
      <c r="AA2" t="s">
        <v>495</v>
      </c>
      <c r="AB2" t="s">
        <v>50</v>
      </c>
      <c r="AC2" t="s">
        <v>496</v>
      </c>
      <c r="AD2" t="s">
        <v>52</v>
      </c>
      <c r="AE2">
        <v>4.5999999999999996</v>
      </c>
      <c r="AF2">
        <v>5</v>
      </c>
      <c r="AG2">
        <v>0</v>
      </c>
      <c r="AH2" s="9">
        <v>43482</v>
      </c>
      <c r="AI2">
        <v>1</v>
      </c>
      <c r="AJ2">
        <v>36</v>
      </c>
      <c r="AK2">
        <v>9</v>
      </c>
      <c r="AL2">
        <v>22</v>
      </c>
      <c r="AM2" t="str">
        <f>IF(Cleaned_Data[[#This Row],[DateofTermination]]="","",YEAR(Cleaned_Data[[#This Row],[DateofTermination]]))</f>
        <v/>
      </c>
      <c r="AN2">
        <v>1</v>
      </c>
    </row>
    <row r="3" spans="1:40" x14ac:dyDescent="0.35">
      <c r="A3" t="s">
        <v>104</v>
      </c>
      <c r="B3">
        <v>10066</v>
      </c>
      <c r="C3">
        <v>0</v>
      </c>
      <c r="D3">
        <v>2</v>
      </c>
      <c r="E3">
        <v>1</v>
      </c>
      <c r="F3">
        <v>5</v>
      </c>
      <c r="G3">
        <v>5</v>
      </c>
      <c r="H3">
        <v>3</v>
      </c>
      <c r="I3">
        <v>0</v>
      </c>
      <c r="J3">
        <v>52505</v>
      </c>
      <c r="K3">
        <v>1</v>
      </c>
      <c r="L3">
        <v>19</v>
      </c>
      <c r="M3" t="s">
        <v>39</v>
      </c>
      <c r="N3" t="s">
        <v>40</v>
      </c>
      <c r="O3">
        <v>2747</v>
      </c>
      <c r="P3" s="9">
        <v>30552</v>
      </c>
      <c r="Q3" t="s">
        <v>41</v>
      </c>
      <c r="R3" t="s">
        <v>617</v>
      </c>
      <c r="S3" t="s">
        <v>70</v>
      </c>
      <c r="T3" t="s">
        <v>44</v>
      </c>
      <c r="U3" t="s">
        <v>45</v>
      </c>
      <c r="V3" t="s">
        <v>46</v>
      </c>
      <c r="W3" s="9">
        <v>41176</v>
      </c>
      <c r="X3" s="9">
        <v>42890</v>
      </c>
      <c r="Y3" t="s">
        <v>93</v>
      </c>
      <c r="Z3" t="s">
        <v>57</v>
      </c>
      <c r="AA3" t="s">
        <v>495</v>
      </c>
      <c r="AB3" t="s">
        <v>50</v>
      </c>
      <c r="AC3" t="s">
        <v>623</v>
      </c>
      <c r="AD3" t="s">
        <v>61</v>
      </c>
      <c r="AE3">
        <v>5</v>
      </c>
      <c r="AF3">
        <v>5</v>
      </c>
      <c r="AG3">
        <v>0</v>
      </c>
      <c r="AH3" s="9">
        <v>42769</v>
      </c>
      <c r="AI3">
        <v>1</v>
      </c>
      <c r="AJ3">
        <v>34</v>
      </c>
      <c r="AK3">
        <v>5</v>
      </c>
      <c r="AL3">
        <v>22</v>
      </c>
      <c r="AM3">
        <f>IF(Cleaned_Data[[#This Row],[DateofTermination]]="","",YEAR(Cleaned_Data[[#This Row],[DateofTermination]]))</f>
        <v>2017</v>
      </c>
      <c r="AN3">
        <v>1</v>
      </c>
    </row>
    <row r="4" spans="1:40" x14ac:dyDescent="0.35">
      <c r="A4" t="s">
        <v>497</v>
      </c>
      <c r="B4">
        <v>10084</v>
      </c>
      <c r="C4">
        <v>1</v>
      </c>
      <c r="D4">
        <v>1</v>
      </c>
      <c r="E4">
        <v>1</v>
      </c>
      <c r="F4">
        <v>5</v>
      </c>
      <c r="G4">
        <v>3</v>
      </c>
      <c r="H4">
        <v>3</v>
      </c>
      <c r="I4">
        <v>0</v>
      </c>
      <c r="J4">
        <v>104437</v>
      </c>
      <c r="K4">
        <v>1</v>
      </c>
      <c r="L4">
        <v>27</v>
      </c>
      <c r="M4" t="s">
        <v>498</v>
      </c>
      <c r="N4" t="s">
        <v>40</v>
      </c>
      <c r="O4">
        <v>2148</v>
      </c>
      <c r="P4" s="9">
        <v>27519</v>
      </c>
      <c r="Q4" t="s">
        <v>41</v>
      </c>
      <c r="R4" t="s">
        <v>617</v>
      </c>
      <c r="S4" t="s">
        <v>55</v>
      </c>
      <c r="T4" t="s">
        <v>44</v>
      </c>
      <c r="U4" t="s">
        <v>45</v>
      </c>
      <c r="V4" t="s">
        <v>46</v>
      </c>
      <c r="W4" s="9">
        <v>42093</v>
      </c>
      <c r="X4" s="9">
        <v>42537</v>
      </c>
      <c r="Y4" t="s">
        <v>56</v>
      </c>
      <c r="Z4" t="s">
        <v>57</v>
      </c>
      <c r="AA4" t="s">
        <v>499</v>
      </c>
      <c r="AB4" t="s">
        <v>59</v>
      </c>
      <c r="AC4" t="s">
        <v>60</v>
      </c>
      <c r="AD4" t="s">
        <v>61</v>
      </c>
      <c r="AE4">
        <v>4.96</v>
      </c>
      <c r="AF4">
        <v>3</v>
      </c>
      <c r="AG4">
        <v>6</v>
      </c>
      <c r="AH4" s="9">
        <v>42424</v>
      </c>
      <c r="AI4">
        <v>17</v>
      </c>
      <c r="AJ4">
        <v>41</v>
      </c>
      <c r="AK4">
        <v>1</v>
      </c>
      <c r="AL4">
        <v>4</v>
      </c>
      <c r="AM4">
        <f>IF(Cleaned_Data[[#This Row],[DateofTermination]]="","",YEAR(Cleaned_Data[[#This Row],[DateofTermination]]))</f>
        <v>2016</v>
      </c>
      <c r="AN4">
        <v>1</v>
      </c>
    </row>
    <row r="5" spans="1:40" x14ac:dyDescent="0.35">
      <c r="A5" t="s">
        <v>98</v>
      </c>
      <c r="B5">
        <v>10012</v>
      </c>
      <c r="C5">
        <v>0</v>
      </c>
      <c r="D5">
        <v>2</v>
      </c>
      <c r="E5">
        <v>1</v>
      </c>
      <c r="F5">
        <v>1</v>
      </c>
      <c r="G5">
        <v>3</v>
      </c>
      <c r="H5">
        <v>4</v>
      </c>
      <c r="I5">
        <v>1</v>
      </c>
      <c r="J5">
        <v>92328</v>
      </c>
      <c r="K5">
        <v>0</v>
      </c>
      <c r="L5">
        <v>9</v>
      </c>
      <c r="M5" t="s">
        <v>99</v>
      </c>
      <c r="N5" t="s">
        <v>100</v>
      </c>
      <c r="O5">
        <v>78230</v>
      </c>
      <c r="P5" s="9">
        <v>33109</v>
      </c>
      <c r="Q5" t="s">
        <v>41</v>
      </c>
      <c r="R5" t="s">
        <v>617</v>
      </c>
      <c r="S5" t="s">
        <v>70</v>
      </c>
      <c r="T5" t="s">
        <v>44</v>
      </c>
      <c r="U5" t="s">
        <v>45</v>
      </c>
      <c r="V5" t="s">
        <v>85</v>
      </c>
      <c r="W5" s="9">
        <v>41923</v>
      </c>
      <c r="X5" s="9"/>
      <c r="Y5" t="s">
        <v>47</v>
      </c>
      <c r="Z5" t="s">
        <v>48</v>
      </c>
      <c r="AA5" t="s">
        <v>499</v>
      </c>
      <c r="AB5" t="s">
        <v>59</v>
      </c>
      <c r="AC5" t="s">
        <v>624</v>
      </c>
      <c r="AD5" t="s">
        <v>52</v>
      </c>
      <c r="AE5">
        <v>4.28</v>
      </c>
      <c r="AF5">
        <v>4</v>
      </c>
      <c r="AG5">
        <v>5</v>
      </c>
      <c r="AH5" s="9">
        <v>43521</v>
      </c>
      <c r="AI5">
        <v>9</v>
      </c>
      <c r="AJ5">
        <v>29</v>
      </c>
      <c r="AK5">
        <v>5</v>
      </c>
      <c r="AL5">
        <v>4</v>
      </c>
      <c r="AM5" t="str">
        <f>IF(Cleaned_Data[[#This Row],[DateofTermination]]="","",YEAR(Cleaned_Data[[#This Row],[DateofTermination]]))</f>
        <v/>
      </c>
      <c r="AN5">
        <v>1</v>
      </c>
    </row>
    <row r="6" spans="1:40" x14ac:dyDescent="0.35">
      <c r="A6" t="s">
        <v>112</v>
      </c>
      <c r="B6">
        <v>10245</v>
      </c>
      <c r="C6">
        <v>0</v>
      </c>
      <c r="D6">
        <v>0</v>
      </c>
      <c r="E6">
        <v>0</v>
      </c>
      <c r="F6">
        <v>4</v>
      </c>
      <c r="G6">
        <v>3</v>
      </c>
      <c r="H6">
        <v>3</v>
      </c>
      <c r="I6">
        <v>0</v>
      </c>
      <c r="J6">
        <v>110000</v>
      </c>
      <c r="K6">
        <v>1</v>
      </c>
      <c r="L6">
        <v>8</v>
      </c>
      <c r="M6" t="s">
        <v>113</v>
      </c>
      <c r="N6" t="s">
        <v>40</v>
      </c>
      <c r="O6">
        <v>2026</v>
      </c>
      <c r="P6" s="9">
        <v>30394</v>
      </c>
      <c r="Q6" t="s">
        <v>41</v>
      </c>
      <c r="R6" t="s">
        <v>618</v>
      </c>
      <c r="S6" t="s">
        <v>43</v>
      </c>
      <c r="T6" t="s">
        <v>44</v>
      </c>
      <c r="U6" t="s">
        <v>92</v>
      </c>
      <c r="V6" t="s">
        <v>46</v>
      </c>
      <c r="W6" s="9">
        <v>41827</v>
      </c>
      <c r="X6" s="9">
        <v>42347</v>
      </c>
      <c r="Y6" t="s">
        <v>114</v>
      </c>
      <c r="Z6" t="s">
        <v>108</v>
      </c>
      <c r="AA6" t="s">
        <v>499</v>
      </c>
      <c r="AB6" t="s">
        <v>59</v>
      </c>
      <c r="AC6" t="s">
        <v>73</v>
      </c>
      <c r="AD6" t="s">
        <v>61</v>
      </c>
      <c r="AE6">
        <v>4.5</v>
      </c>
      <c r="AF6">
        <v>4</v>
      </c>
      <c r="AG6">
        <v>5</v>
      </c>
      <c r="AH6" s="9">
        <v>42019</v>
      </c>
      <c r="AI6">
        <v>8</v>
      </c>
      <c r="AJ6">
        <v>33</v>
      </c>
      <c r="AK6">
        <v>1</v>
      </c>
      <c r="AL6">
        <v>4</v>
      </c>
      <c r="AM6">
        <f>IF(Cleaned_Data[[#This Row],[DateofTermination]]="","",YEAR(Cleaned_Data[[#This Row],[DateofTermination]]))</f>
        <v>2015</v>
      </c>
      <c r="AN6">
        <v>1</v>
      </c>
    </row>
    <row r="7" spans="1:40" x14ac:dyDescent="0.35">
      <c r="A7" t="s">
        <v>62</v>
      </c>
      <c r="B7">
        <v>10196</v>
      </c>
      <c r="C7">
        <v>1</v>
      </c>
      <c r="D7">
        <v>1</v>
      </c>
      <c r="E7">
        <v>0</v>
      </c>
      <c r="F7">
        <v>5</v>
      </c>
      <c r="G7">
        <v>5</v>
      </c>
      <c r="H7">
        <v>3</v>
      </c>
      <c r="I7">
        <v>0</v>
      </c>
      <c r="J7">
        <v>64955</v>
      </c>
      <c r="K7">
        <v>1</v>
      </c>
      <c r="L7">
        <v>20</v>
      </c>
      <c r="M7" t="s">
        <v>500</v>
      </c>
      <c r="N7" t="s">
        <v>40</v>
      </c>
      <c r="O7">
        <v>1810</v>
      </c>
      <c r="P7" s="9">
        <v>36057</v>
      </c>
      <c r="Q7" t="s">
        <v>41</v>
      </c>
      <c r="R7" t="s">
        <v>618</v>
      </c>
      <c r="S7" t="s">
        <v>55</v>
      </c>
      <c r="T7" t="s">
        <v>44</v>
      </c>
      <c r="U7" t="s">
        <v>45</v>
      </c>
      <c r="V7" t="s">
        <v>46</v>
      </c>
      <c r="W7" s="9">
        <v>40670</v>
      </c>
      <c r="X7" s="9">
        <v>41176</v>
      </c>
      <c r="Y7" t="s">
        <v>65</v>
      </c>
      <c r="Z7" t="s">
        <v>57</v>
      </c>
      <c r="AA7" t="s">
        <v>495</v>
      </c>
      <c r="AB7" t="s">
        <v>66</v>
      </c>
      <c r="AC7" t="s">
        <v>496</v>
      </c>
      <c r="AD7" t="s">
        <v>61</v>
      </c>
      <c r="AE7">
        <v>3.02</v>
      </c>
      <c r="AF7">
        <v>3</v>
      </c>
      <c r="AG7">
        <v>0</v>
      </c>
      <c r="AH7" s="9">
        <v>41044</v>
      </c>
      <c r="AI7">
        <v>3</v>
      </c>
      <c r="AJ7">
        <v>14</v>
      </c>
      <c r="AK7">
        <v>1</v>
      </c>
      <c r="AL7">
        <v>20</v>
      </c>
      <c r="AM7">
        <f>IF(Cleaned_Data[[#This Row],[DateofTermination]]="","",YEAR(Cleaned_Data[[#This Row],[DateofTermination]]))</f>
        <v>2012</v>
      </c>
      <c r="AN7">
        <v>1</v>
      </c>
    </row>
    <row r="8" spans="1:40" x14ac:dyDescent="0.35">
      <c r="A8" t="s">
        <v>95</v>
      </c>
      <c r="B8">
        <v>10242</v>
      </c>
      <c r="C8">
        <v>1</v>
      </c>
      <c r="D8">
        <v>1</v>
      </c>
      <c r="E8">
        <v>1</v>
      </c>
      <c r="F8">
        <v>5</v>
      </c>
      <c r="G8">
        <v>5</v>
      </c>
      <c r="H8">
        <v>3</v>
      </c>
      <c r="I8">
        <v>1</v>
      </c>
      <c r="J8">
        <v>47211</v>
      </c>
      <c r="K8">
        <v>1</v>
      </c>
      <c r="L8">
        <v>19</v>
      </c>
      <c r="M8" t="s">
        <v>39</v>
      </c>
      <c r="N8" t="s">
        <v>40</v>
      </c>
      <c r="O8">
        <v>2062</v>
      </c>
      <c r="P8" s="9">
        <v>23588</v>
      </c>
      <c r="Q8" t="s">
        <v>96</v>
      </c>
      <c r="R8" t="s">
        <v>617</v>
      </c>
      <c r="S8" t="s">
        <v>55</v>
      </c>
      <c r="T8" t="s">
        <v>44</v>
      </c>
      <c r="U8" t="s">
        <v>92</v>
      </c>
      <c r="V8" t="s">
        <v>85</v>
      </c>
      <c r="W8" s="9">
        <v>40943</v>
      </c>
      <c r="X8" s="9">
        <v>42632</v>
      </c>
      <c r="Y8" t="s">
        <v>97</v>
      </c>
      <c r="Z8" t="s">
        <v>57</v>
      </c>
      <c r="AA8" t="s">
        <v>495</v>
      </c>
      <c r="AB8" t="s">
        <v>66</v>
      </c>
      <c r="AC8" t="s">
        <v>624</v>
      </c>
      <c r="AD8" t="s">
        <v>61</v>
      </c>
      <c r="AE8">
        <v>4.2</v>
      </c>
      <c r="AF8">
        <v>3</v>
      </c>
      <c r="AG8">
        <v>0</v>
      </c>
      <c r="AH8" s="9">
        <v>42526</v>
      </c>
      <c r="AI8">
        <v>15</v>
      </c>
      <c r="AJ8">
        <v>52</v>
      </c>
      <c r="AK8">
        <v>5</v>
      </c>
      <c r="AL8">
        <v>20</v>
      </c>
      <c r="AM8">
        <f>IF(Cleaned_Data[[#This Row],[DateofTermination]]="","",YEAR(Cleaned_Data[[#This Row],[DateofTermination]]))</f>
        <v>2016</v>
      </c>
      <c r="AN8">
        <v>1</v>
      </c>
    </row>
    <row r="9" spans="1:40" x14ac:dyDescent="0.35">
      <c r="A9" t="s">
        <v>67</v>
      </c>
      <c r="B9">
        <v>10088</v>
      </c>
      <c r="C9">
        <v>1</v>
      </c>
      <c r="D9">
        <v>1</v>
      </c>
      <c r="E9">
        <v>0</v>
      </c>
      <c r="F9">
        <v>1</v>
      </c>
      <c r="G9">
        <v>5</v>
      </c>
      <c r="H9">
        <v>3</v>
      </c>
      <c r="I9">
        <v>0</v>
      </c>
      <c r="J9">
        <v>64991</v>
      </c>
      <c r="K9">
        <v>0</v>
      </c>
      <c r="L9">
        <v>19</v>
      </c>
      <c r="M9" t="s">
        <v>39</v>
      </c>
      <c r="N9" t="s">
        <v>40</v>
      </c>
      <c r="O9">
        <v>1886</v>
      </c>
      <c r="P9" s="9">
        <v>32413</v>
      </c>
      <c r="Q9" t="s">
        <v>41</v>
      </c>
      <c r="R9" t="s">
        <v>618</v>
      </c>
      <c r="S9" t="s">
        <v>55</v>
      </c>
      <c r="T9" t="s">
        <v>44</v>
      </c>
      <c r="U9" t="s">
        <v>45</v>
      </c>
      <c r="V9" t="s">
        <v>46</v>
      </c>
      <c r="W9" s="9">
        <v>39630</v>
      </c>
      <c r="X9" s="9"/>
      <c r="Y9" t="s">
        <v>47</v>
      </c>
      <c r="Z9" t="s">
        <v>48</v>
      </c>
      <c r="AA9" t="s">
        <v>495</v>
      </c>
      <c r="AB9" t="s">
        <v>68</v>
      </c>
      <c r="AC9" t="s">
        <v>60</v>
      </c>
      <c r="AD9" t="s">
        <v>61</v>
      </c>
      <c r="AE9">
        <v>4.84</v>
      </c>
      <c r="AF9">
        <v>5</v>
      </c>
      <c r="AG9">
        <v>0</v>
      </c>
      <c r="AH9" s="9">
        <v>43525</v>
      </c>
      <c r="AI9">
        <v>15</v>
      </c>
      <c r="AJ9">
        <v>31</v>
      </c>
      <c r="AK9">
        <v>11</v>
      </c>
      <c r="AL9">
        <v>16</v>
      </c>
      <c r="AM9" t="str">
        <f>IF(Cleaned_Data[[#This Row],[DateofTermination]]="","",YEAR(Cleaned_Data[[#This Row],[DateofTermination]]))</f>
        <v/>
      </c>
      <c r="AN9">
        <v>1</v>
      </c>
    </row>
    <row r="10" spans="1:40" x14ac:dyDescent="0.35">
      <c r="A10" t="s">
        <v>501</v>
      </c>
      <c r="B10">
        <v>10055</v>
      </c>
      <c r="C10">
        <v>0</v>
      </c>
      <c r="D10">
        <v>0</v>
      </c>
      <c r="E10">
        <v>0</v>
      </c>
      <c r="F10">
        <v>1</v>
      </c>
      <c r="G10">
        <v>5</v>
      </c>
      <c r="H10">
        <v>3</v>
      </c>
      <c r="I10">
        <v>0</v>
      </c>
      <c r="J10">
        <v>59026</v>
      </c>
      <c r="K10">
        <v>0</v>
      </c>
      <c r="L10">
        <v>19</v>
      </c>
      <c r="M10" t="s">
        <v>39</v>
      </c>
      <c r="N10" t="s">
        <v>40</v>
      </c>
      <c r="O10">
        <v>1915</v>
      </c>
      <c r="P10" s="9">
        <v>27745</v>
      </c>
      <c r="Q10" t="s">
        <v>41</v>
      </c>
      <c r="R10" t="s">
        <v>618</v>
      </c>
      <c r="S10" t="s">
        <v>43</v>
      </c>
      <c r="T10" t="s">
        <v>111</v>
      </c>
      <c r="U10" t="s">
        <v>45</v>
      </c>
      <c r="V10" t="s">
        <v>46</v>
      </c>
      <c r="W10" s="9">
        <v>40637</v>
      </c>
      <c r="X10" s="9"/>
      <c r="Y10" t="s">
        <v>47</v>
      </c>
      <c r="Z10" t="s">
        <v>48</v>
      </c>
      <c r="AA10" t="s">
        <v>495</v>
      </c>
      <c r="AB10" t="s">
        <v>68</v>
      </c>
      <c r="AC10" t="s">
        <v>73</v>
      </c>
      <c r="AD10" t="s">
        <v>61</v>
      </c>
      <c r="AE10">
        <v>5</v>
      </c>
      <c r="AF10">
        <v>5</v>
      </c>
      <c r="AG10">
        <v>0</v>
      </c>
      <c r="AH10" s="9">
        <v>43479</v>
      </c>
      <c r="AI10">
        <v>12</v>
      </c>
      <c r="AJ10">
        <v>44</v>
      </c>
      <c r="AK10">
        <v>9</v>
      </c>
      <c r="AL10">
        <v>16</v>
      </c>
      <c r="AM10" t="str">
        <f>IF(Cleaned_Data[[#This Row],[DateofTermination]]="","",YEAR(Cleaned_Data[[#This Row],[DateofTermination]]))</f>
        <v/>
      </c>
      <c r="AN10">
        <v>1</v>
      </c>
    </row>
    <row r="11" spans="1:40" x14ac:dyDescent="0.35">
      <c r="A11" t="s">
        <v>502</v>
      </c>
      <c r="B11">
        <v>10069</v>
      </c>
      <c r="C11">
        <v>0</v>
      </c>
      <c r="D11">
        <v>2</v>
      </c>
      <c r="E11">
        <v>0</v>
      </c>
      <c r="F11">
        <v>5</v>
      </c>
      <c r="G11">
        <v>5</v>
      </c>
      <c r="H11">
        <v>3</v>
      </c>
      <c r="I11">
        <v>0</v>
      </c>
      <c r="J11">
        <v>50825</v>
      </c>
      <c r="K11">
        <v>1</v>
      </c>
      <c r="L11">
        <v>19</v>
      </c>
      <c r="M11" t="s">
        <v>39</v>
      </c>
      <c r="N11" t="s">
        <v>40</v>
      </c>
      <c r="O11">
        <v>2169</v>
      </c>
      <c r="P11" s="9">
        <v>32729</v>
      </c>
      <c r="Q11" t="s">
        <v>41</v>
      </c>
      <c r="R11" t="s">
        <v>618</v>
      </c>
      <c r="S11" t="s">
        <v>70</v>
      </c>
      <c r="T11" t="s">
        <v>44</v>
      </c>
      <c r="U11" t="s">
        <v>45</v>
      </c>
      <c r="V11" t="s">
        <v>46</v>
      </c>
      <c r="W11" s="9">
        <v>40854</v>
      </c>
      <c r="X11" s="9">
        <v>42530</v>
      </c>
      <c r="Y11" t="s">
        <v>71</v>
      </c>
      <c r="Z11" t="s">
        <v>57</v>
      </c>
      <c r="AA11" t="s">
        <v>495</v>
      </c>
      <c r="AB11" t="s">
        <v>72</v>
      </c>
      <c r="AC11" t="s">
        <v>73</v>
      </c>
      <c r="AD11" t="s">
        <v>61</v>
      </c>
      <c r="AE11">
        <v>5</v>
      </c>
      <c r="AF11">
        <v>4</v>
      </c>
      <c r="AG11">
        <v>0</v>
      </c>
      <c r="AH11" s="9">
        <v>42371</v>
      </c>
      <c r="AI11">
        <v>2</v>
      </c>
      <c r="AJ11">
        <v>27</v>
      </c>
      <c r="AK11">
        <v>5</v>
      </c>
      <c r="AL11">
        <v>39</v>
      </c>
      <c r="AM11">
        <f>IF(Cleaned_Data[[#This Row],[DateofTermination]]="","",YEAR(Cleaned_Data[[#This Row],[DateofTermination]]))</f>
        <v>2016</v>
      </c>
      <c r="AN11">
        <v>1</v>
      </c>
    </row>
    <row r="12" spans="1:40" x14ac:dyDescent="0.35">
      <c r="A12" t="s">
        <v>115</v>
      </c>
      <c r="B12">
        <v>10277</v>
      </c>
      <c r="C12">
        <v>0</v>
      </c>
      <c r="D12">
        <v>0</v>
      </c>
      <c r="E12">
        <v>1</v>
      </c>
      <c r="F12">
        <v>3</v>
      </c>
      <c r="G12">
        <v>5</v>
      </c>
      <c r="H12">
        <v>3</v>
      </c>
      <c r="I12">
        <v>0</v>
      </c>
      <c r="J12">
        <v>53250</v>
      </c>
      <c r="K12">
        <v>0</v>
      </c>
      <c r="L12">
        <v>19</v>
      </c>
      <c r="M12" t="s">
        <v>39</v>
      </c>
      <c r="N12" t="s">
        <v>40</v>
      </c>
      <c r="O12">
        <v>2452</v>
      </c>
      <c r="P12" s="9">
        <v>28215</v>
      </c>
      <c r="Q12" t="s">
        <v>41</v>
      </c>
      <c r="R12" t="s">
        <v>617</v>
      </c>
      <c r="S12" t="s">
        <v>43</v>
      </c>
      <c r="T12" t="s">
        <v>44</v>
      </c>
      <c r="U12" t="s">
        <v>45</v>
      </c>
      <c r="V12" t="s">
        <v>116</v>
      </c>
      <c r="W12" s="9">
        <v>41493</v>
      </c>
      <c r="X12" s="9"/>
      <c r="Y12" t="s">
        <v>47</v>
      </c>
      <c r="Z12" t="s">
        <v>48</v>
      </c>
      <c r="AA12" t="s">
        <v>495</v>
      </c>
      <c r="AB12" t="s">
        <v>72</v>
      </c>
      <c r="AC12" t="s">
        <v>496</v>
      </c>
      <c r="AD12" t="s">
        <v>61</v>
      </c>
      <c r="AE12">
        <v>4.2</v>
      </c>
      <c r="AF12">
        <v>4</v>
      </c>
      <c r="AG12">
        <v>0</v>
      </c>
      <c r="AH12" s="9">
        <v>43770</v>
      </c>
      <c r="AI12">
        <v>13</v>
      </c>
      <c r="AJ12">
        <v>43</v>
      </c>
      <c r="AK12">
        <v>6</v>
      </c>
      <c r="AL12">
        <v>39</v>
      </c>
      <c r="AM12" t="str">
        <f>IF(Cleaned_Data[[#This Row],[DateofTermination]]="","",YEAR(Cleaned_Data[[#This Row],[DateofTermination]]))</f>
        <v/>
      </c>
      <c r="AN12">
        <v>1</v>
      </c>
    </row>
    <row r="13" spans="1:40" x14ac:dyDescent="0.35">
      <c r="A13" t="s">
        <v>503</v>
      </c>
      <c r="B13">
        <v>10002</v>
      </c>
      <c r="C13">
        <v>0</v>
      </c>
      <c r="D13">
        <v>0</v>
      </c>
      <c r="E13">
        <v>0</v>
      </c>
      <c r="F13">
        <v>1</v>
      </c>
      <c r="G13">
        <v>5</v>
      </c>
      <c r="H13">
        <v>4</v>
      </c>
      <c r="I13">
        <v>0</v>
      </c>
      <c r="J13">
        <v>57568</v>
      </c>
      <c r="K13">
        <v>0</v>
      </c>
      <c r="L13">
        <v>19</v>
      </c>
      <c r="M13" t="s">
        <v>39</v>
      </c>
      <c r="N13" t="s">
        <v>40</v>
      </c>
      <c r="O13">
        <v>1844</v>
      </c>
      <c r="P13" s="9">
        <v>28267</v>
      </c>
      <c r="Q13" t="s">
        <v>41</v>
      </c>
      <c r="R13" t="s">
        <v>618</v>
      </c>
      <c r="S13" t="s">
        <v>43</v>
      </c>
      <c r="T13" t="s">
        <v>44</v>
      </c>
      <c r="U13" t="s">
        <v>45</v>
      </c>
      <c r="V13" t="s">
        <v>46</v>
      </c>
      <c r="W13" s="9">
        <v>41153</v>
      </c>
      <c r="X13" s="9"/>
      <c r="Y13" t="s">
        <v>47</v>
      </c>
      <c r="Z13" t="s">
        <v>48</v>
      </c>
      <c r="AA13" t="s">
        <v>495</v>
      </c>
      <c r="AB13" t="s">
        <v>75</v>
      </c>
      <c r="AC13" t="s">
        <v>496</v>
      </c>
      <c r="AD13" t="s">
        <v>52</v>
      </c>
      <c r="AE13">
        <v>5</v>
      </c>
      <c r="AF13">
        <v>5</v>
      </c>
      <c r="AG13">
        <v>0</v>
      </c>
      <c r="AH13" s="9">
        <v>43647</v>
      </c>
      <c r="AI13">
        <v>15</v>
      </c>
      <c r="AJ13">
        <v>43</v>
      </c>
      <c r="AK13">
        <v>7</v>
      </c>
      <c r="AL13">
        <v>11</v>
      </c>
      <c r="AM13" t="str">
        <f>IF(Cleaned_Data[[#This Row],[DateofTermination]]="","",YEAR(Cleaned_Data[[#This Row],[DateofTermination]]))</f>
        <v/>
      </c>
      <c r="AN13">
        <v>1</v>
      </c>
    </row>
    <row r="14" spans="1:40" x14ac:dyDescent="0.35">
      <c r="A14" t="s">
        <v>117</v>
      </c>
      <c r="B14">
        <v>10046</v>
      </c>
      <c r="C14">
        <v>0</v>
      </c>
      <c r="D14">
        <v>0</v>
      </c>
      <c r="E14">
        <v>1</v>
      </c>
      <c r="F14">
        <v>1</v>
      </c>
      <c r="G14">
        <v>5</v>
      </c>
      <c r="H14">
        <v>3</v>
      </c>
      <c r="I14">
        <v>0</v>
      </c>
      <c r="J14">
        <v>51044</v>
      </c>
      <c r="K14">
        <v>0</v>
      </c>
      <c r="L14">
        <v>19</v>
      </c>
      <c r="M14" t="s">
        <v>39</v>
      </c>
      <c r="N14" t="s">
        <v>40</v>
      </c>
      <c r="O14">
        <v>2072</v>
      </c>
      <c r="P14" s="9">
        <v>19011</v>
      </c>
      <c r="Q14" t="s">
        <v>96</v>
      </c>
      <c r="R14" t="s">
        <v>617</v>
      </c>
      <c r="S14" t="s">
        <v>43</v>
      </c>
      <c r="T14" t="s">
        <v>44</v>
      </c>
      <c r="U14" t="s">
        <v>92</v>
      </c>
      <c r="V14" t="s">
        <v>46</v>
      </c>
      <c r="W14" s="9">
        <v>40943</v>
      </c>
      <c r="X14" s="9"/>
      <c r="Y14" t="s">
        <v>47</v>
      </c>
      <c r="Z14" t="s">
        <v>48</v>
      </c>
      <c r="AA14" t="s">
        <v>495</v>
      </c>
      <c r="AB14" t="s">
        <v>75</v>
      </c>
      <c r="AC14" t="s">
        <v>73</v>
      </c>
      <c r="AD14" t="s">
        <v>61</v>
      </c>
      <c r="AE14">
        <v>5</v>
      </c>
      <c r="AF14">
        <v>3</v>
      </c>
      <c r="AG14">
        <v>0</v>
      </c>
      <c r="AH14" s="9">
        <v>43479</v>
      </c>
      <c r="AI14">
        <v>13</v>
      </c>
      <c r="AJ14">
        <v>68</v>
      </c>
      <c r="AK14">
        <v>8</v>
      </c>
      <c r="AL14">
        <v>11</v>
      </c>
      <c r="AM14" t="str">
        <f>IF(Cleaned_Data[[#This Row],[DateofTermination]]="","",YEAR(Cleaned_Data[[#This Row],[DateofTermination]]))</f>
        <v/>
      </c>
      <c r="AN14">
        <v>1</v>
      </c>
    </row>
    <row r="15" spans="1:40" x14ac:dyDescent="0.35">
      <c r="A15" t="s">
        <v>76</v>
      </c>
      <c r="B15">
        <v>10194</v>
      </c>
      <c r="C15">
        <v>0</v>
      </c>
      <c r="D15">
        <v>0</v>
      </c>
      <c r="E15">
        <v>0</v>
      </c>
      <c r="F15">
        <v>1</v>
      </c>
      <c r="G15">
        <v>4</v>
      </c>
      <c r="H15">
        <v>3</v>
      </c>
      <c r="I15">
        <v>0</v>
      </c>
      <c r="J15">
        <v>95660</v>
      </c>
      <c r="K15">
        <v>0</v>
      </c>
      <c r="L15">
        <v>24</v>
      </c>
      <c r="M15" t="s">
        <v>77</v>
      </c>
      <c r="N15" t="s">
        <v>40</v>
      </c>
      <c r="O15">
        <v>2110</v>
      </c>
      <c r="P15" s="9">
        <v>28999</v>
      </c>
      <c r="Q15" t="s">
        <v>41</v>
      </c>
      <c r="R15" t="s">
        <v>618</v>
      </c>
      <c r="S15" t="s">
        <v>43</v>
      </c>
      <c r="T15" t="s">
        <v>44</v>
      </c>
      <c r="U15" t="s">
        <v>45</v>
      </c>
      <c r="V15" t="s">
        <v>46</v>
      </c>
      <c r="W15" s="9">
        <v>41923</v>
      </c>
      <c r="X15" s="9"/>
      <c r="Y15" t="s">
        <v>47</v>
      </c>
      <c r="Z15" t="s">
        <v>48</v>
      </c>
      <c r="AA15" t="s">
        <v>78</v>
      </c>
      <c r="AB15" t="s">
        <v>79</v>
      </c>
      <c r="AC15" t="s">
        <v>496</v>
      </c>
      <c r="AD15" t="s">
        <v>61</v>
      </c>
      <c r="AE15">
        <v>3.04</v>
      </c>
      <c r="AF15">
        <v>3</v>
      </c>
      <c r="AG15">
        <v>4</v>
      </c>
      <c r="AH15" s="9">
        <v>43497</v>
      </c>
      <c r="AI15">
        <v>19</v>
      </c>
      <c r="AJ15">
        <v>41</v>
      </c>
      <c r="AK15">
        <v>5</v>
      </c>
      <c r="AL15">
        <v>10</v>
      </c>
      <c r="AM15" t="str">
        <f>IF(Cleaned_Data[[#This Row],[DateofTermination]]="","",YEAR(Cleaned_Data[[#This Row],[DateofTermination]]))</f>
        <v/>
      </c>
      <c r="AN15">
        <v>1</v>
      </c>
    </row>
    <row r="16" spans="1:40" x14ac:dyDescent="0.35">
      <c r="A16" t="s">
        <v>80</v>
      </c>
      <c r="B16">
        <v>10062</v>
      </c>
      <c r="C16">
        <v>0</v>
      </c>
      <c r="D16">
        <v>4</v>
      </c>
      <c r="E16">
        <v>1</v>
      </c>
      <c r="F16">
        <v>1</v>
      </c>
      <c r="G16">
        <v>5</v>
      </c>
      <c r="H16">
        <v>3</v>
      </c>
      <c r="I16">
        <v>0</v>
      </c>
      <c r="J16">
        <v>59365</v>
      </c>
      <c r="K16">
        <v>0</v>
      </c>
      <c r="L16">
        <v>19</v>
      </c>
      <c r="M16" t="s">
        <v>39</v>
      </c>
      <c r="N16" t="s">
        <v>40</v>
      </c>
      <c r="O16">
        <v>2199</v>
      </c>
      <c r="P16" s="9">
        <v>30365</v>
      </c>
      <c r="Q16" t="s">
        <v>41</v>
      </c>
      <c r="R16" t="s">
        <v>617</v>
      </c>
      <c r="S16" t="s">
        <v>81</v>
      </c>
      <c r="T16" t="s">
        <v>44</v>
      </c>
      <c r="U16" t="s">
        <v>45</v>
      </c>
      <c r="V16" t="s">
        <v>46</v>
      </c>
      <c r="W16" s="9">
        <v>41547</v>
      </c>
      <c r="X16" s="9"/>
      <c r="Y16" t="s">
        <v>47</v>
      </c>
      <c r="Z16" t="s">
        <v>48</v>
      </c>
      <c r="AA16" t="s">
        <v>495</v>
      </c>
      <c r="AB16" t="s">
        <v>82</v>
      </c>
      <c r="AC16" t="s">
        <v>625</v>
      </c>
      <c r="AD16" t="s">
        <v>61</v>
      </c>
      <c r="AE16">
        <v>5</v>
      </c>
      <c r="AF16">
        <v>4</v>
      </c>
      <c r="AG16">
        <v>0</v>
      </c>
      <c r="AH16" s="9">
        <v>43521</v>
      </c>
      <c r="AI16">
        <v>19</v>
      </c>
      <c r="AJ16">
        <v>37</v>
      </c>
      <c r="AK16">
        <v>6</v>
      </c>
      <c r="AL16">
        <v>19</v>
      </c>
      <c r="AM16" t="str">
        <f>IF(Cleaned_Data[[#This Row],[DateofTermination]]="","",YEAR(Cleaned_Data[[#This Row],[DateofTermination]]))</f>
        <v/>
      </c>
      <c r="AN16">
        <v>1</v>
      </c>
    </row>
    <row r="17" spans="1:40" x14ac:dyDescent="0.35">
      <c r="A17" t="s">
        <v>118</v>
      </c>
      <c r="B17">
        <v>10226</v>
      </c>
      <c r="C17">
        <v>0</v>
      </c>
      <c r="D17">
        <v>2</v>
      </c>
      <c r="E17">
        <v>0</v>
      </c>
      <c r="F17">
        <v>1</v>
      </c>
      <c r="G17">
        <v>5</v>
      </c>
      <c r="H17">
        <v>3</v>
      </c>
      <c r="I17">
        <v>0</v>
      </c>
      <c r="J17">
        <v>64919</v>
      </c>
      <c r="K17">
        <v>0</v>
      </c>
      <c r="L17">
        <v>19</v>
      </c>
      <c r="M17" t="s">
        <v>39</v>
      </c>
      <c r="N17" t="s">
        <v>40</v>
      </c>
      <c r="O17">
        <v>2027</v>
      </c>
      <c r="P17" s="9">
        <v>29112</v>
      </c>
      <c r="Q17" t="s">
        <v>41</v>
      </c>
      <c r="R17" t="s">
        <v>618</v>
      </c>
      <c r="S17" t="s">
        <v>70</v>
      </c>
      <c r="T17" t="s">
        <v>44</v>
      </c>
      <c r="U17" t="s">
        <v>45</v>
      </c>
      <c r="V17" t="s">
        <v>116</v>
      </c>
      <c r="W17" s="9">
        <v>41535</v>
      </c>
      <c r="X17" s="9"/>
      <c r="Y17" t="s">
        <v>47</v>
      </c>
      <c r="Z17" t="s">
        <v>48</v>
      </c>
      <c r="AA17" t="s">
        <v>495</v>
      </c>
      <c r="AB17" t="s">
        <v>82</v>
      </c>
      <c r="AC17" t="s">
        <v>60</v>
      </c>
      <c r="AD17" t="s">
        <v>61</v>
      </c>
      <c r="AE17">
        <v>4.2</v>
      </c>
      <c r="AF17">
        <v>3</v>
      </c>
      <c r="AG17">
        <v>0</v>
      </c>
      <c r="AH17" s="9">
        <v>43739</v>
      </c>
      <c r="AI17">
        <v>2</v>
      </c>
      <c r="AJ17">
        <v>40</v>
      </c>
      <c r="AK17">
        <v>6</v>
      </c>
      <c r="AL17">
        <v>19</v>
      </c>
      <c r="AM17" t="str">
        <f>IF(Cleaned_Data[[#This Row],[DateofTermination]]="","",YEAR(Cleaned_Data[[#This Row],[DateofTermination]]))</f>
        <v/>
      </c>
      <c r="AN17">
        <v>1</v>
      </c>
    </row>
    <row r="18" spans="1:40" x14ac:dyDescent="0.35">
      <c r="A18" t="s">
        <v>84</v>
      </c>
      <c r="B18">
        <v>10114</v>
      </c>
      <c r="C18">
        <v>0</v>
      </c>
      <c r="D18">
        <v>0</v>
      </c>
      <c r="E18">
        <v>0</v>
      </c>
      <c r="F18">
        <v>3</v>
      </c>
      <c r="G18">
        <v>5</v>
      </c>
      <c r="H18">
        <v>3</v>
      </c>
      <c r="I18">
        <v>1</v>
      </c>
      <c r="J18">
        <v>47837</v>
      </c>
      <c r="K18">
        <v>0</v>
      </c>
      <c r="L18">
        <v>19</v>
      </c>
      <c r="M18" t="s">
        <v>39</v>
      </c>
      <c r="N18" t="s">
        <v>40</v>
      </c>
      <c r="O18">
        <v>1902</v>
      </c>
      <c r="P18" s="9">
        <v>29877</v>
      </c>
      <c r="Q18" t="s">
        <v>41</v>
      </c>
      <c r="R18" t="s">
        <v>618</v>
      </c>
      <c r="S18" t="s">
        <v>43</v>
      </c>
      <c r="T18" t="s">
        <v>44</v>
      </c>
      <c r="U18" t="s">
        <v>45</v>
      </c>
      <c r="V18" t="s">
        <v>85</v>
      </c>
      <c r="W18" s="9">
        <v>39971</v>
      </c>
      <c r="X18" s="9"/>
      <c r="Y18" t="s">
        <v>47</v>
      </c>
      <c r="Z18" t="s">
        <v>48</v>
      </c>
      <c r="AA18" t="s">
        <v>495</v>
      </c>
      <c r="AB18" t="s">
        <v>86</v>
      </c>
      <c r="AC18" t="s">
        <v>624</v>
      </c>
      <c r="AD18" t="s">
        <v>61</v>
      </c>
      <c r="AE18">
        <v>4.46</v>
      </c>
      <c r="AF18">
        <v>3</v>
      </c>
      <c r="AG18">
        <v>0</v>
      </c>
      <c r="AH18" s="9">
        <v>43490</v>
      </c>
      <c r="AI18">
        <v>4</v>
      </c>
      <c r="AJ18">
        <v>38</v>
      </c>
      <c r="AK18">
        <v>11</v>
      </c>
      <c r="AL18">
        <v>12</v>
      </c>
      <c r="AM18" t="str">
        <f>IF(Cleaned_Data[[#This Row],[DateofTermination]]="","",YEAR(Cleaned_Data[[#This Row],[DateofTermination]]))</f>
        <v/>
      </c>
      <c r="AN18">
        <v>1</v>
      </c>
    </row>
    <row r="19" spans="1:40" x14ac:dyDescent="0.35">
      <c r="A19" t="s">
        <v>504</v>
      </c>
      <c r="B19">
        <v>10250</v>
      </c>
      <c r="C19">
        <v>0</v>
      </c>
      <c r="D19">
        <v>2</v>
      </c>
      <c r="E19">
        <v>1</v>
      </c>
      <c r="F19">
        <v>1</v>
      </c>
      <c r="G19">
        <v>3</v>
      </c>
      <c r="H19">
        <v>3</v>
      </c>
      <c r="I19">
        <v>0</v>
      </c>
      <c r="J19">
        <v>50178</v>
      </c>
      <c r="K19">
        <v>0</v>
      </c>
      <c r="L19">
        <v>14</v>
      </c>
      <c r="M19" t="s">
        <v>505</v>
      </c>
      <c r="N19" t="s">
        <v>40</v>
      </c>
      <c r="O19">
        <v>1886</v>
      </c>
      <c r="P19" s="9">
        <v>25868</v>
      </c>
      <c r="Q19" t="s">
        <v>41</v>
      </c>
      <c r="R19" t="s">
        <v>617</v>
      </c>
      <c r="S19" t="s">
        <v>70</v>
      </c>
      <c r="T19" t="s">
        <v>44</v>
      </c>
      <c r="U19" t="s">
        <v>45</v>
      </c>
      <c r="V19" t="s">
        <v>46</v>
      </c>
      <c r="W19" s="9">
        <v>42125</v>
      </c>
      <c r="X19" s="9"/>
      <c r="Y19" t="s">
        <v>47</v>
      </c>
      <c r="Z19" t="s">
        <v>48</v>
      </c>
      <c r="AA19" t="s">
        <v>499</v>
      </c>
      <c r="AB19" t="s">
        <v>90</v>
      </c>
      <c r="AC19" t="s">
        <v>60</v>
      </c>
      <c r="AD19" t="s">
        <v>61</v>
      </c>
      <c r="AE19">
        <v>5</v>
      </c>
      <c r="AF19">
        <v>5</v>
      </c>
      <c r="AG19">
        <v>6</v>
      </c>
      <c r="AH19" s="9">
        <v>43514</v>
      </c>
      <c r="AI19">
        <v>16</v>
      </c>
      <c r="AJ19">
        <v>49</v>
      </c>
      <c r="AK19">
        <v>5</v>
      </c>
      <c r="AL19">
        <v>7</v>
      </c>
      <c r="AM19" t="str">
        <f>IF(Cleaned_Data[[#This Row],[DateofTermination]]="","",YEAR(Cleaned_Data[[#This Row],[DateofTermination]]))</f>
        <v/>
      </c>
      <c r="AN19">
        <v>1</v>
      </c>
    </row>
    <row r="20" spans="1:40" x14ac:dyDescent="0.35">
      <c r="A20" t="s">
        <v>506</v>
      </c>
      <c r="B20">
        <v>10252</v>
      </c>
      <c r="C20">
        <v>1</v>
      </c>
      <c r="D20">
        <v>1</v>
      </c>
      <c r="E20">
        <v>0</v>
      </c>
      <c r="F20">
        <v>5</v>
      </c>
      <c r="G20">
        <v>5</v>
      </c>
      <c r="H20">
        <v>3</v>
      </c>
      <c r="I20">
        <v>1</v>
      </c>
      <c r="J20">
        <v>54670</v>
      </c>
      <c r="K20">
        <v>1</v>
      </c>
      <c r="L20">
        <v>19</v>
      </c>
      <c r="M20" t="s">
        <v>39</v>
      </c>
      <c r="N20" t="s">
        <v>40</v>
      </c>
      <c r="O20">
        <v>1902</v>
      </c>
      <c r="P20" s="9">
        <v>33137</v>
      </c>
      <c r="Q20" t="s">
        <v>41</v>
      </c>
      <c r="R20" t="s">
        <v>618</v>
      </c>
      <c r="S20" t="s">
        <v>55</v>
      </c>
      <c r="T20" t="s">
        <v>44</v>
      </c>
      <c r="U20" t="s">
        <v>92</v>
      </c>
      <c r="V20" t="s">
        <v>85</v>
      </c>
      <c r="W20" s="9">
        <v>40817</v>
      </c>
      <c r="X20" s="9">
        <v>43070</v>
      </c>
      <c r="Y20" t="s">
        <v>93</v>
      </c>
      <c r="Z20" t="s">
        <v>57</v>
      </c>
      <c r="AA20" t="s">
        <v>495</v>
      </c>
      <c r="AB20" t="s">
        <v>94</v>
      </c>
      <c r="AC20" t="s">
        <v>624</v>
      </c>
      <c r="AD20" t="s">
        <v>61</v>
      </c>
      <c r="AE20">
        <v>4.2</v>
      </c>
      <c r="AF20">
        <v>4</v>
      </c>
      <c r="AG20">
        <v>0</v>
      </c>
      <c r="AH20" s="9">
        <v>42399</v>
      </c>
      <c r="AI20">
        <v>12</v>
      </c>
      <c r="AJ20">
        <v>27</v>
      </c>
      <c r="AK20">
        <v>6</v>
      </c>
      <c r="AL20">
        <v>14</v>
      </c>
      <c r="AM20">
        <f>IF(Cleaned_Data[[#This Row],[DateofTermination]]="","",YEAR(Cleaned_Data[[#This Row],[DateofTermination]]))</f>
        <v>2017</v>
      </c>
      <c r="AN20">
        <v>1</v>
      </c>
    </row>
    <row r="21" spans="1:40" x14ac:dyDescent="0.35">
      <c r="A21" t="s">
        <v>101</v>
      </c>
      <c r="B21">
        <v>10265</v>
      </c>
      <c r="C21">
        <v>0</v>
      </c>
      <c r="D21">
        <v>0</v>
      </c>
      <c r="E21">
        <v>1</v>
      </c>
      <c r="F21">
        <v>1</v>
      </c>
      <c r="G21">
        <v>5</v>
      </c>
      <c r="H21">
        <v>3</v>
      </c>
      <c r="I21">
        <v>0</v>
      </c>
      <c r="J21">
        <v>58709</v>
      </c>
      <c r="K21">
        <v>0</v>
      </c>
      <c r="L21">
        <v>19</v>
      </c>
      <c r="M21" t="s">
        <v>39</v>
      </c>
      <c r="N21" t="s">
        <v>40</v>
      </c>
      <c r="O21">
        <v>1810</v>
      </c>
      <c r="P21" s="9">
        <v>32105</v>
      </c>
      <c r="Q21" t="s">
        <v>41</v>
      </c>
      <c r="R21" t="s">
        <v>617</v>
      </c>
      <c r="S21" t="s">
        <v>43</v>
      </c>
      <c r="T21" t="s">
        <v>44</v>
      </c>
      <c r="U21" t="s">
        <v>45</v>
      </c>
      <c r="V21" t="s">
        <v>102</v>
      </c>
      <c r="W21" s="9">
        <v>40959</v>
      </c>
      <c r="X21" s="9"/>
      <c r="Y21" t="s">
        <v>47</v>
      </c>
      <c r="Z21" t="s">
        <v>48</v>
      </c>
      <c r="AA21" t="s">
        <v>495</v>
      </c>
      <c r="AB21" t="s">
        <v>103</v>
      </c>
      <c r="AC21" t="s">
        <v>73</v>
      </c>
      <c r="AD21" t="s">
        <v>61</v>
      </c>
      <c r="AE21">
        <v>4.5999999999999996</v>
      </c>
      <c r="AF21">
        <v>4</v>
      </c>
      <c r="AG21">
        <v>0</v>
      </c>
      <c r="AH21" s="9">
        <v>43510</v>
      </c>
      <c r="AI21">
        <v>7</v>
      </c>
      <c r="AJ21">
        <v>32</v>
      </c>
      <c r="AK21">
        <v>8</v>
      </c>
      <c r="AL21">
        <v>18</v>
      </c>
      <c r="AM21" t="str">
        <f>IF(Cleaned_Data[[#This Row],[DateofTermination]]="","",YEAR(Cleaned_Data[[#This Row],[DateofTermination]]))</f>
        <v/>
      </c>
      <c r="AN21">
        <v>1</v>
      </c>
    </row>
    <row r="22" spans="1:40" x14ac:dyDescent="0.35">
      <c r="A22" t="s">
        <v>106</v>
      </c>
      <c r="B22">
        <v>10061</v>
      </c>
      <c r="C22">
        <v>0</v>
      </c>
      <c r="D22">
        <v>0</v>
      </c>
      <c r="E22">
        <v>1</v>
      </c>
      <c r="F22">
        <v>4</v>
      </c>
      <c r="G22">
        <v>5</v>
      </c>
      <c r="H22">
        <v>3</v>
      </c>
      <c r="I22">
        <v>0</v>
      </c>
      <c r="J22">
        <v>57834</v>
      </c>
      <c r="K22">
        <v>1</v>
      </c>
      <c r="L22">
        <v>19</v>
      </c>
      <c r="M22" t="s">
        <v>39</v>
      </c>
      <c r="N22" t="s">
        <v>40</v>
      </c>
      <c r="O22">
        <v>2050</v>
      </c>
      <c r="P22" s="9">
        <v>32294</v>
      </c>
      <c r="Q22" t="s">
        <v>41</v>
      </c>
      <c r="R22" t="s">
        <v>617</v>
      </c>
      <c r="S22" t="s">
        <v>43</v>
      </c>
      <c r="T22" t="s">
        <v>44</v>
      </c>
      <c r="U22" t="s">
        <v>45</v>
      </c>
      <c r="V22" t="s">
        <v>46</v>
      </c>
      <c r="W22" s="9">
        <v>40595</v>
      </c>
      <c r="X22" s="9">
        <v>42833</v>
      </c>
      <c r="Y22" t="s">
        <v>107</v>
      </c>
      <c r="Z22" t="s">
        <v>108</v>
      </c>
      <c r="AA22" t="s">
        <v>495</v>
      </c>
      <c r="AB22" t="s">
        <v>103</v>
      </c>
      <c r="AC22" t="s">
        <v>73</v>
      </c>
      <c r="AD22" t="s">
        <v>61</v>
      </c>
      <c r="AE22">
        <v>5</v>
      </c>
      <c r="AF22">
        <v>4</v>
      </c>
      <c r="AG22">
        <v>0</v>
      </c>
      <c r="AH22" s="9">
        <v>42859</v>
      </c>
      <c r="AI22">
        <v>20</v>
      </c>
      <c r="AJ22">
        <v>29</v>
      </c>
      <c r="AK22">
        <v>6</v>
      </c>
      <c r="AL22">
        <v>18</v>
      </c>
      <c r="AM22">
        <f>IF(Cleaned_Data[[#This Row],[DateofTermination]]="","",YEAR(Cleaned_Data[[#This Row],[DateofTermination]]))</f>
        <v>2017</v>
      </c>
      <c r="AN22">
        <v>1</v>
      </c>
    </row>
    <row r="23" spans="1:40" x14ac:dyDescent="0.35">
      <c r="A23" t="s">
        <v>507</v>
      </c>
      <c r="B23">
        <v>10023</v>
      </c>
      <c r="C23">
        <v>1</v>
      </c>
      <c r="D23">
        <v>1</v>
      </c>
      <c r="E23">
        <v>0</v>
      </c>
      <c r="F23">
        <v>2</v>
      </c>
      <c r="G23">
        <v>5</v>
      </c>
      <c r="H23">
        <v>4</v>
      </c>
      <c r="I23">
        <v>0</v>
      </c>
      <c r="J23">
        <v>70131</v>
      </c>
      <c r="K23">
        <v>0</v>
      </c>
      <c r="L23">
        <v>20</v>
      </c>
      <c r="M23" t="s">
        <v>500</v>
      </c>
      <c r="N23" t="s">
        <v>40</v>
      </c>
      <c r="O23">
        <v>2145</v>
      </c>
      <c r="P23" s="9">
        <v>29459</v>
      </c>
      <c r="Q23" t="s">
        <v>41</v>
      </c>
      <c r="R23" t="s">
        <v>618</v>
      </c>
      <c r="S23" t="s">
        <v>55</v>
      </c>
      <c r="T23" t="s">
        <v>44</v>
      </c>
      <c r="U23" t="s">
        <v>45</v>
      </c>
      <c r="V23" t="s">
        <v>46</v>
      </c>
      <c r="W23" s="9">
        <v>42572</v>
      </c>
      <c r="X23" s="9"/>
      <c r="Y23" t="s">
        <v>47</v>
      </c>
      <c r="Z23" t="s">
        <v>48</v>
      </c>
      <c r="AA23" t="s">
        <v>495</v>
      </c>
      <c r="AB23" t="s">
        <v>103</v>
      </c>
      <c r="AC23" t="s">
        <v>625</v>
      </c>
      <c r="AD23" t="s">
        <v>52</v>
      </c>
      <c r="AE23">
        <v>4.4000000000000004</v>
      </c>
      <c r="AF23">
        <v>3</v>
      </c>
      <c r="AG23">
        <v>0</v>
      </c>
      <c r="AH23" s="9">
        <v>43479</v>
      </c>
      <c r="AI23">
        <v>16</v>
      </c>
      <c r="AJ23">
        <v>39</v>
      </c>
      <c r="AK23">
        <v>3</v>
      </c>
      <c r="AL23">
        <v>18</v>
      </c>
      <c r="AM23" t="str">
        <f>IF(Cleaned_Data[[#This Row],[DateofTermination]]="","",YEAR(Cleaned_Data[[#This Row],[DateofTermination]]))</f>
        <v/>
      </c>
      <c r="AN23">
        <v>1</v>
      </c>
    </row>
    <row r="24" spans="1:40" x14ac:dyDescent="0.35">
      <c r="A24" t="s">
        <v>119</v>
      </c>
      <c r="B24">
        <v>10003</v>
      </c>
      <c r="C24">
        <v>1</v>
      </c>
      <c r="D24">
        <v>1</v>
      </c>
      <c r="E24">
        <v>0</v>
      </c>
      <c r="F24">
        <v>1</v>
      </c>
      <c r="G24">
        <v>5</v>
      </c>
      <c r="H24">
        <v>4</v>
      </c>
      <c r="I24">
        <v>0</v>
      </c>
      <c r="J24">
        <v>62910</v>
      </c>
      <c r="K24">
        <v>0</v>
      </c>
      <c r="L24">
        <v>19</v>
      </c>
      <c r="M24" t="s">
        <v>39</v>
      </c>
      <c r="N24" t="s">
        <v>40</v>
      </c>
      <c r="O24">
        <v>2031</v>
      </c>
      <c r="P24" s="9">
        <v>30270</v>
      </c>
      <c r="Q24" t="s">
        <v>41</v>
      </c>
      <c r="R24" t="s">
        <v>618</v>
      </c>
      <c r="S24" t="s">
        <v>55</v>
      </c>
      <c r="T24" t="s">
        <v>44</v>
      </c>
      <c r="U24" t="s">
        <v>45</v>
      </c>
      <c r="V24" t="s">
        <v>46</v>
      </c>
      <c r="W24" s="9">
        <v>41827</v>
      </c>
      <c r="X24" s="9"/>
      <c r="Y24" t="s">
        <v>47</v>
      </c>
      <c r="Z24" t="s">
        <v>48</v>
      </c>
      <c r="AA24" t="s">
        <v>495</v>
      </c>
      <c r="AB24" t="s">
        <v>86</v>
      </c>
      <c r="AC24" t="s">
        <v>60</v>
      </c>
      <c r="AD24" t="s">
        <v>52</v>
      </c>
      <c r="AE24">
        <v>5</v>
      </c>
      <c r="AF24">
        <v>3</v>
      </c>
      <c r="AG24">
        <v>0</v>
      </c>
      <c r="AH24" s="9">
        <v>43523</v>
      </c>
      <c r="AI24">
        <v>19</v>
      </c>
      <c r="AJ24">
        <v>37</v>
      </c>
      <c r="AK24">
        <v>5</v>
      </c>
      <c r="AL24">
        <v>12</v>
      </c>
      <c r="AM24" t="str">
        <f>IF(Cleaned_Data[[#This Row],[DateofTermination]]="","",YEAR(Cleaned_Data[[#This Row],[DateofTermination]]))</f>
        <v/>
      </c>
      <c r="AN24">
        <v>1</v>
      </c>
    </row>
    <row r="25" spans="1:40" x14ac:dyDescent="0.35">
      <c r="A25" t="s">
        <v>120</v>
      </c>
      <c r="B25">
        <v>10294</v>
      </c>
      <c r="C25">
        <v>0</v>
      </c>
      <c r="D25">
        <v>0</v>
      </c>
      <c r="E25">
        <v>0</v>
      </c>
      <c r="F25">
        <v>1</v>
      </c>
      <c r="G25">
        <v>5</v>
      </c>
      <c r="H25">
        <v>2</v>
      </c>
      <c r="I25">
        <v>0</v>
      </c>
      <c r="J25">
        <v>66441</v>
      </c>
      <c r="K25">
        <v>0</v>
      </c>
      <c r="L25">
        <v>20</v>
      </c>
      <c r="M25" t="s">
        <v>500</v>
      </c>
      <c r="N25" t="s">
        <v>40</v>
      </c>
      <c r="O25">
        <v>2171</v>
      </c>
      <c r="P25" s="9">
        <v>26930</v>
      </c>
      <c r="Q25" t="s">
        <v>41</v>
      </c>
      <c r="R25" t="s">
        <v>618</v>
      </c>
      <c r="S25" t="s">
        <v>43</v>
      </c>
      <c r="T25" t="s">
        <v>44</v>
      </c>
      <c r="U25" t="s">
        <v>45</v>
      </c>
      <c r="V25" t="s">
        <v>46</v>
      </c>
      <c r="W25" s="9">
        <v>40637</v>
      </c>
      <c r="X25" s="9"/>
      <c r="Y25" t="s">
        <v>47</v>
      </c>
      <c r="Z25" t="s">
        <v>48</v>
      </c>
      <c r="AA25" t="s">
        <v>495</v>
      </c>
      <c r="AB25" t="s">
        <v>50</v>
      </c>
      <c r="AC25" t="s">
        <v>508</v>
      </c>
      <c r="AD25" t="s">
        <v>122</v>
      </c>
      <c r="AE25">
        <v>2</v>
      </c>
      <c r="AF25">
        <v>3</v>
      </c>
      <c r="AG25">
        <v>0</v>
      </c>
      <c r="AH25" s="9">
        <v>43523</v>
      </c>
      <c r="AI25">
        <v>3</v>
      </c>
      <c r="AJ25">
        <v>46</v>
      </c>
      <c r="AK25">
        <v>9</v>
      </c>
      <c r="AL25">
        <v>22</v>
      </c>
      <c r="AM25" t="str">
        <f>IF(Cleaned_Data[[#This Row],[DateofTermination]]="","",YEAR(Cleaned_Data[[#This Row],[DateofTermination]]))</f>
        <v/>
      </c>
      <c r="AN25">
        <v>1</v>
      </c>
    </row>
    <row r="26" spans="1:40" x14ac:dyDescent="0.35">
      <c r="A26" t="s">
        <v>123</v>
      </c>
      <c r="B26">
        <v>10267</v>
      </c>
      <c r="C26">
        <v>0</v>
      </c>
      <c r="D26">
        <v>0</v>
      </c>
      <c r="E26">
        <v>0</v>
      </c>
      <c r="F26">
        <v>5</v>
      </c>
      <c r="G26">
        <v>5</v>
      </c>
      <c r="H26">
        <v>3</v>
      </c>
      <c r="I26">
        <v>0</v>
      </c>
      <c r="J26">
        <v>57815</v>
      </c>
      <c r="K26">
        <v>1</v>
      </c>
      <c r="L26">
        <v>20</v>
      </c>
      <c r="M26" t="s">
        <v>500</v>
      </c>
      <c r="N26" t="s">
        <v>40</v>
      </c>
      <c r="O26">
        <v>2210</v>
      </c>
      <c r="P26" s="9">
        <v>28727</v>
      </c>
      <c r="Q26" t="s">
        <v>41</v>
      </c>
      <c r="R26" t="s">
        <v>618</v>
      </c>
      <c r="S26" t="s">
        <v>43</v>
      </c>
      <c r="T26" t="s">
        <v>44</v>
      </c>
      <c r="U26" t="s">
        <v>45</v>
      </c>
      <c r="V26" t="s">
        <v>46</v>
      </c>
      <c r="W26" s="9">
        <v>40817</v>
      </c>
      <c r="X26" s="9">
        <v>41733</v>
      </c>
      <c r="Y26" t="s">
        <v>56</v>
      </c>
      <c r="Z26" t="s">
        <v>57</v>
      </c>
      <c r="AA26" t="s">
        <v>495</v>
      </c>
      <c r="AB26" t="s">
        <v>68</v>
      </c>
      <c r="AC26" t="s">
        <v>73</v>
      </c>
      <c r="AD26" t="s">
        <v>61</v>
      </c>
      <c r="AE26">
        <v>4.8</v>
      </c>
      <c r="AF26">
        <v>5</v>
      </c>
      <c r="AG26">
        <v>0</v>
      </c>
      <c r="AH26" s="9">
        <v>41732</v>
      </c>
      <c r="AI26">
        <v>5</v>
      </c>
      <c r="AJ26">
        <v>36</v>
      </c>
      <c r="AK26">
        <v>3</v>
      </c>
      <c r="AL26">
        <v>16</v>
      </c>
      <c r="AM26">
        <f>IF(Cleaned_Data[[#This Row],[DateofTermination]]="","",YEAR(Cleaned_Data[[#This Row],[DateofTermination]]))</f>
        <v>2014</v>
      </c>
      <c r="AN26">
        <v>1</v>
      </c>
    </row>
    <row r="27" spans="1:40" x14ac:dyDescent="0.35">
      <c r="A27" t="s">
        <v>124</v>
      </c>
      <c r="B27">
        <v>10199</v>
      </c>
      <c r="C27">
        <v>0</v>
      </c>
      <c r="D27">
        <v>0</v>
      </c>
      <c r="E27">
        <v>1</v>
      </c>
      <c r="F27">
        <v>4</v>
      </c>
      <c r="G27">
        <v>3</v>
      </c>
      <c r="H27">
        <v>3</v>
      </c>
      <c r="I27">
        <v>0</v>
      </c>
      <c r="J27">
        <v>103613</v>
      </c>
      <c r="K27">
        <v>1</v>
      </c>
      <c r="L27">
        <v>30</v>
      </c>
      <c r="M27" t="s">
        <v>125</v>
      </c>
      <c r="N27" t="s">
        <v>126</v>
      </c>
      <c r="O27">
        <v>6033</v>
      </c>
      <c r="P27" s="9">
        <v>32745</v>
      </c>
      <c r="Q27" t="s">
        <v>41</v>
      </c>
      <c r="R27" t="s">
        <v>617</v>
      </c>
      <c r="S27" t="s">
        <v>43</v>
      </c>
      <c r="T27" t="s">
        <v>44</v>
      </c>
      <c r="U27" t="s">
        <v>45</v>
      </c>
      <c r="V27" t="s">
        <v>85</v>
      </c>
      <c r="W27" s="9">
        <v>41687</v>
      </c>
      <c r="X27" s="9">
        <v>42419</v>
      </c>
      <c r="Y27" t="s">
        <v>127</v>
      </c>
      <c r="Z27" t="s">
        <v>108</v>
      </c>
      <c r="AA27" t="s">
        <v>499</v>
      </c>
      <c r="AB27" t="s">
        <v>59</v>
      </c>
      <c r="AC27" t="s">
        <v>496</v>
      </c>
      <c r="AD27" t="s">
        <v>61</v>
      </c>
      <c r="AE27">
        <v>3.5</v>
      </c>
      <c r="AF27">
        <v>5</v>
      </c>
      <c r="AG27">
        <v>7</v>
      </c>
      <c r="AH27" s="9">
        <v>42644</v>
      </c>
      <c r="AI27">
        <v>2</v>
      </c>
      <c r="AJ27">
        <v>26</v>
      </c>
      <c r="AK27">
        <v>2</v>
      </c>
      <c r="AL27">
        <v>4</v>
      </c>
      <c r="AM27">
        <f>IF(Cleaned_Data[[#This Row],[DateofTermination]]="","",YEAR(Cleaned_Data[[#This Row],[DateofTermination]]))</f>
        <v>2016</v>
      </c>
      <c r="AN27">
        <v>1</v>
      </c>
    </row>
    <row r="28" spans="1:40" x14ac:dyDescent="0.35">
      <c r="A28" t="s">
        <v>128</v>
      </c>
      <c r="B28">
        <v>10081</v>
      </c>
      <c r="C28">
        <v>1</v>
      </c>
      <c r="D28">
        <v>1</v>
      </c>
      <c r="E28">
        <v>0</v>
      </c>
      <c r="F28">
        <v>1</v>
      </c>
      <c r="G28">
        <v>1</v>
      </c>
      <c r="H28">
        <v>3</v>
      </c>
      <c r="I28">
        <v>1</v>
      </c>
      <c r="J28">
        <v>106367</v>
      </c>
      <c r="K28">
        <v>0</v>
      </c>
      <c r="L28">
        <v>26</v>
      </c>
      <c r="M28" t="s">
        <v>129</v>
      </c>
      <c r="N28" t="s">
        <v>40</v>
      </c>
      <c r="O28">
        <v>2468</v>
      </c>
      <c r="P28" s="9">
        <v>28755</v>
      </c>
      <c r="Q28" t="s">
        <v>41</v>
      </c>
      <c r="R28" t="s">
        <v>618</v>
      </c>
      <c r="S28" t="s">
        <v>55</v>
      </c>
      <c r="T28" t="s">
        <v>44</v>
      </c>
      <c r="U28" t="s">
        <v>45</v>
      </c>
      <c r="V28" t="s">
        <v>85</v>
      </c>
      <c r="W28" s="9">
        <v>42051</v>
      </c>
      <c r="X28" s="9"/>
      <c r="Y28" t="s">
        <v>47</v>
      </c>
      <c r="Z28" t="s">
        <v>48</v>
      </c>
      <c r="AA28" t="s">
        <v>130</v>
      </c>
      <c r="AB28" t="s">
        <v>492</v>
      </c>
      <c r="AC28" t="s">
        <v>624</v>
      </c>
      <c r="AD28" t="s">
        <v>61</v>
      </c>
      <c r="AE28">
        <v>5</v>
      </c>
      <c r="AF28">
        <v>4</v>
      </c>
      <c r="AG28">
        <v>3</v>
      </c>
      <c r="AH28" s="9">
        <v>43514</v>
      </c>
      <c r="AI28">
        <v>4</v>
      </c>
      <c r="AJ28">
        <v>41</v>
      </c>
      <c r="AK28">
        <v>5</v>
      </c>
      <c r="AL28">
        <v>3</v>
      </c>
      <c r="AM28" t="str">
        <f>IF(Cleaned_Data[[#This Row],[DateofTermination]]="","",YEAR(Cleaned_Data[[#This Row],[DateofTermination]]))</f>
        <v/>
      </c>
      <c r="AN28">
        <v>1</v>
      </c>
    </row>
    <row r="29" spans="1:40" x14ac:dyDescent="0.35">
      <c r="A29" t="s">
        <v>132</v>
      </c>
      <c r="B29">
        <v>10175</v>
      </c>
      <c r="C29">
        <v>0</v>
      </c>
      <c r="D29">
        <v>0</v>
      </c>
      <c r="E29">
        <v>1</v>
      </c>
      <c r="F29">
        <v>5</v>
      </c>
      <c r="G29">
        <v>5</v>
      </c>
      <c r="H29">
        <v>3</v>
      </c>
      <c r="I29">
        <v>0</v>
      </c>
      <c r="J29">
        <v>74312</v>
      </c>
      <c r="K29">
        <v>1</v>
      </c>
      <c r="L29">
        <v>18</v>
      </c>
      <c r="M29" t="s">
        <v>133</v>
      </c>
      <c r="N29" t="s">
        <v>40</v>
      </c>
      <c r="O29">
        <v>1901</v>
      </c>
      <c r="P29" s="9">
        <v>32047</v>
      </c>
      <c r="Q29" t="s">
        <v>41</v>
      </c>
      <c r="R29" t="s">
        <v>617</v>
      </c>
      <c r="S29" t="s">
        <v>43</v>
      </c>
      <c r="T29" t="s">
        <v>44</v>
      </c>
      <c r="U29" t="s">
        <v>45</v>
      </c>
      <c r="V29" t="s">
        <v>116</v>
      </c>
      <c r="W29" s="9">
        <v>41547</v>
      </c>
      <c r="X29" s="9">
        <v>41828</v>
      </c>
      <c r="Y29" t="s">
        <v>134</v>
      </c>
      <c r="Z29" t="s">
        <v>57</v>
      </c>
      <c r="AA29" t="s">
        <v>495</v>
      </c>
      <c r="AB29" t="s">
        <v>135</v>
      </c>
      <c r="AC29" t="s">
        <v>60</v>
      </c>
      <c r="AD29" t="s">
        <v>61</v>
      </c>
      <c r="AE29">
        <v>3.39</v>
      </c>
      <c r="AF29">
        <v>3</v>
      </c>
      <c r="AG29">
        <v>0</v>
      </c>
      <c r="AH29" s="9">
        <v>41690</v>
      </c>
      <c r="AI29">
        <v>14</v>
      </c>
      <c r="AJ29">
        <v>27</v>
      </c>
      <c r="AK29">
        <v>1</v>
      </c>
      <c r="AL29">
        <v>2</v>
      </c>
      <c r="AM29">
        <f>IF(Cleaned_Data[[#This Row],[DateofTermination]]="","",YEAR(Cleaned_Data[[#This Row],[DateofTermination]]))</f>
        <v>2014</v>
      </c>
      <c r="AN29">
        <v>1</v>
      </c>
    </row>
    <row r="30" spans="1:40" x14ac:dyDescent="0.35">
      <c r="A30" t="s">
        <v>136</v>
      </c>
      <c r="B30">
        <v>10177</v>
      </c>
      <c r="C30">
        <v>1</v>
      </c>
      <c r="D30">
        <v>1</v>
      </c>
      <c r="E30">
        <v>0</v>
      </c>
      <c r="F30">
        <v>5</v>
      </c>
      <c r="G30">
        <v>5</v>
      </c>
      <c r="H30">
        <v>3</v>
      </c>
      <c r="I30">
        <v>0</v>
      </c>
      <c r="J30">
        <v>53492</v>
      </c>
      <c r="K30">
        <v>1</v>
      </c>
      <c r="L30">
        <v>19</v>
      </c>
      <c r="M30" t="s">
        <v>39</v>
      </c>
      <c r="N30" t="s">
        <v>40</v>
      </c>
      <c r="O30">
        <v>1701</v>
      </c>
      <c r="P30" s="9">
        <v>20193</v>
      </c>
      <c r="Q30" t="s">
        <v>96</v>
      </c>
      <c r="R30" t="s">
        <v>618</v>
      </c>
      <c r="S30" t="s">
        <v>55</v>
      </c>
      <c r="T30" t="s">
        <v>44</v>
      </c>
      <c r="U30" t="s">
        <v>45</v>
      </c>
      <c r="V30" t="s">
        <v>46</v>
      </c>
      <c r="W30" s="9">
        <v>40943</v>
      </c>
      <c r="X30" s="9">
        <v>41440</v>
      </c>
      <c r="Y30" t="s">
        <v>93</v>
      </c>
      <c r="Z30" t="s">
        <v>57</v>
      </c>
      <c r="AA30" t="s">
        <v>495</v>
      </c>
      <c r="AB30" t="s">
        <v>94</v>
      </c>
      <c r="AC30" t="s">
        <v>73</v>
      </c>
      <c r="AD30" t="s">
        <v>61</v>
      </c>
      <c r="AE30">
        <v>3.35</v>
      </c>
      <c r="AF30">
        <v>4</v>
      </c>
      <c r="AG30">
        <v>0</v>
      </c>
      <c r="AH30" s="9">
        <v>41367</v>
      </c>
      <c r="AI30">
        <v>6</v>
      </c>
      <c r="AJ30">
        <v>58</v>
      </c>
      <c r="AK30">
        <v>1</v>
      </c>
      <c r="AL30">
        <v>14</v>
      </c>
      <c r="AM30">
        <f>IF(Cleaned_Data[[#This Row],[DateofTermination]]="","",YEAR(Cleaned_Data[[#This Row],[DateofTermination]]))</f>
        <v>2013</v>
      </c>
      <c r="AN30">
        <v>1</v>
      </c>
    </row>
    <row r="31" spans="1:40" x14ac:dyDescent="0.35">
      <c r="A31" t="s">
        <v>137</v>
      </c>
      <c r="B31">
        <v>10238</v>
      </c>
      <c r="C31">
        <v>1</v>
      </c>
      <c r="D31">
        <v>1</v>
      </c>
      <c r="E31">
        <v>0</v>
      </c>
      <c r="F31">
        <v>1</v>
      </c>
      <c r="G31">
        <v>1</v>
      </c>
      <c r="H31">
        <v>3</v>
      </c>
      <c r="I31">
        <v>1</v>
      </c>
      <c r="J31">
        <v>63000</v>
      </c>
      <c r="K31">
        <v>0</v>
      </c>
      <c r="L31">
        <v>1</v>
      </c>
      <c r="M31" t="s">
        <v>138</v>
      </c>
      <c r="N31" t="s">
        <v>40</v>
      </c>
      <c r="O31">
        <v>1450</v>
      </c>
      <c r="P31" s="9">
        <v>29661</v>
      </c>
      <c r="Q31" t="s">
        <v>41</v>
      </c>
      <c r="R31" t="s">
        <v>618</v>
      </c>
      <c r="S31" t="s">
        <v>55</v>
      </c>
      <c r="T31" t="s">
        <v>44</v>
      </c>
      <c r="U31" t="s">
        <v>45</v>
      </c>
      <c r="V31" t="s">
        <v>85</v>
      </c>
      <c r="W31" s="9">
        <v>39748</v>
      </c>
      <c r="X31" s="9"/>
      <c r="Y31" t="s">
        <v>47</v>
      </c>
      <c r="Z31" t="s">
        <v>48</v>
      </c>
      <c r="AA31" t="s">
        <v>130</v>
      </c>
      <c r="AB31" t="s">
        <v>492</v>
      </c>
      <c r="AC31" t="s">
        <v>624</v>
      </c>
      <c r="AD31" t="s">
        <v>61</v>
      </c>
      <c r="AE31">
        <v>4.5</v>
      </c>
      <c r="AF31">
        <v>2</v>
      </c>
      <c r="AG31">
        <v>6</v>
      </c>
      <c r="AH31" s="9">
        <v>43480</v>
      </c>
      <c r="AI31">
        <v>14</v>
      </c>
      <c r="AJ31">
        <v>39</v>
      </c>
      <c r="AK31">
        <v>11</v>
      </c>
      <c r="AL31">
        <v>1</v>
      </c>
      <c r="AM31" t="str">
        <f>IF(Cleaned_Data[[#This Row],[DateofTermination]]="","",YEAR(Cleaned_Data[[#This Row],[DateofTermination]]))</f>
        <v/>
      </c>
      <c r="AN31">
        <v>1</v>
      </c>
    </row>
    <row r="32" spans="1:40" x14ac:dyDescent="0.35">
      <c r="A32" t="s">
        <v>509</v>
      </c>
      <c r="B32">
        <v>10184</v>
      </c>
      <c r="C32">
        <v>0</v>
      </c>
      <c r="D32">
        <v>0</v>
      </c>
      <c r="E32">
        <v>1</v>
      </c>
      <c r="F32">
        <v>1</v>
      </c>
      <c r="G32">
        <v>5</v>
      </c>
      <c r="H32">
        <v>3</v>
      </c>
      <c r="I32">
        <v>0</v>
      </c>
      <c r="J32">
        <v>65288</v>
      </c>
      <c r="K32">
        <v>0</v>
      </c>
      <c r="L32">
        <v>20</v>
      </c>
      <c r="M32" t="s">
        <v>500</v>
      </c>
      <c r="N32" t="s">
        <v>40</v>
      </c>
      <c r="O32">
        <v>1013</v>
      </c>
      <c r="P32" s="9">
        <v>28961</v>
      </c>
      <c r="Q32" t="s">
        <v>41</v>
      </c>
      <c r="R32" t="s">
        <v>617</v>
      </c>
      <c r="S32" t="s">
        <v>43</v>
      </c>
      <c r="T32" t="s">
        <v>44</v>
      </c>
      <c r="U32" t="s">
        <v>45</v>
      </c>
      <c r="V32" t="s">
        <v>46</v>
      </c>
      <c r="W32" s="9">
        <v>41911</v>
      </c>
      <c r="X32" s="9"/>
      <c r="Y32" t="s">
        <v>47</v>
      </c>
      <c r="Z32" t="s">
        <v>48</v>
      </c>
      <c r="AA32" t="s">
        <v>495</v>
      </c>
      <c r="AB32" t="s">
        <v>72</v>
      </c>
      <c r="AC32" t="s">
        <v>73</v>
      </c>
      <c r="AD32" t="s">
        <v>61</v>
      </c>
      <c r="AE32">
        <v>3.19</v>
      </c>
      <c r="AF32">
        <v>3</v>
      </c>
      <c r="AG32">
        <v>0</v>
      </c>
      <c r="AH32" s="9">
        <v>43467</v>
      </c>
      <c r="AI32">
        <v>9</v>
      </c>
      <c r="AJ32">
        <v>41</v>
      </c>
      <c r="AK32">
        <v>5</v>
      </c>
      <c r="AL32">
        <v>39</v>
      </c>
      <c r="AM32" t="str">
        <f>IF(Cleaned_Data[[#This Row],[DateofTermination]]="","",YEAR(Cleaned_Data[[#This Row],[DateofTermination]]))</f>
        <v/>
      </c>
      <c r="AN32">
        <v>1</v>
      </c>
    </row>
    <row r="33" spans="1:40" x14ac:dyDescent="0.35">
      <c r="A33" t="s">
        <v>510</v>
      </c>
      <c r="B33">
        <v>10203</v>
      </c>
      <c r="C33">
        <v>0</v>
      </c>
      <c r="D33">
        <v>3</v>
      </c>
      <c r="E33">
        <v>0</v>
      </c>
      <c r="F33">
        <v>3</v>
      </c>
      <c r="G33">
        <v>5</v>
      </c>
      <c r="H33">
        <v>3</v>
      </c>
      <c r="I33">
        <v>1</v>
      </c>
      <c r="J33">
        <v>64375</v>
      </c>
      <c r="K33">
        <v>0</v>
      </c>
      <c r="L33">
        <v>19</v>
      </c>
      <c r="M33" t="s">
        <v>39</v>
      </c>
      <c r="N33" t="s">
        <v>40</v>
      </c>
      <c r="O33">
        <v>2043</v>
      </c>
      <c r="P33" s="9">
        <v>23251</v>
      </c>
      <c r="Q33" t="s">
        <v>96</v>
      </c>
      <c r="R33" t="s">
        <v>618</v>
      </c>
      <c r="S33" t="s">
        <v>141</v>
      </c>
      <c r="T33" t="s">
        <v>44</v>
      </c>
      <c r="U33" t="s">
        <v>45</v>
      </c>
      <c r="V33" t="s">
        <v>85</v>
      </c>
      <c r="W33" s="9">
        <v>41589</v>
      </c>
      <c r="X33" s="9"/>
      <c r="Y33" t="s">
        <v>47</v>
      </c>
      <c r="Z33" t="s">
        <v>48</v>
      </c>
      <c r="AA33" t="s">
        <v>495</v>
      </c>
      <c r="AB33" t="s">
        <v>66</v>
      </c>
      <c r="AC33" t="s">
        <v>624</v>
      </c>
      <c r="AD33" t="s">
        <v>61</v>
      </c>
      <c r="AE33">
        <v>3.5</v>
      </c>
      <c r="AF33">
        <v>5</v>
      </c>
      <c r="AG33">
        <v>0</v>
      </c>
      <c r="AH33" s="9">
        <v>43486</v>
      </c>
      <c r="AI33">
        <v>17</v>
      </c>
      <c r="AJ33">
        <v>56</v>
      </c>
      <c r="AK33">
        <v>6</v>
      </c>
      <c r="AL33">
        <v>20</v>
      </c>
      <c r="AM33" t="str">
        <f>IF(Cleaned_Data[[#This Row],[DateofTermination]]="","",YEAR(Cleaned_Data[[#This Row],[DateofTermination]]))</f>
        <v/>
      </c>
      <c r="AN33">
        <v>1</v>
      </c>
    </row>
    <row r="34" spans="1:40" x14ac:dyDescent="0.35">
      <c r="A34" t="s">
        <v>142</v>
      </c>
      <c r="B34">
        <v>10188</v>
      </c>
      <c r="C34">
        <v>1</v>
      </c>
      <c r="D34">
        <v>1</v>
      </c>
      <c r="E34">
        <v>0</v>
      </c>
      <c r="F34">
        <v>5</v>
      </c>
      <c r="G34">
        <v>6</v>
      </c>
      <c r="H34">
        <v>3</v>
      </c>
      <c r="I34">
        <v>0</v>
      </c>
      <c r="J34">
        <v>74326</v>
      </c>
      <c r="K34">
        <v>1</v>
      </c>
      <c r="L34">
        <v>3</v>
      </c>
      <c r="M34" t="s">
        <v>143</v>
      </c>
      <c r="N34" t="s">
        <v>144</v>
      </c>
      <c r="O34">
        <v>21851</v>
      </c>
      <c r="P34" s="9">
        <v>31305</v>
      </c>
      <c r="Q34" t="s">
        <v>41</v>
      </c>
      <c r="R34" t="s">
        <v>618</v>
      </c>
      <c r="S34" t="s">
        <v>55</v>
      </c>
      <c r="T34" t="s">
        <v>111</v>
      </c>
      <c r="U34" t="s">
        <v>45</v>
      </c>
      <c r="V34" t="s">
        <v>85</v>
      </c>
      <c r="W34" s="9">
        <v>40770</v>
      </c>
      <c r="X34" s="9">
        <v>41678</v>
      </c>
      <c r="Y34" t="s">
        <v>93</v>
      </c>
      <c r="Z34" t="s">
        <v>57</v>
      </c>
      <c r="AA34" t="s">
        <v>145</v>
      </c>
      <c r="AB34" t="s">
        <v>146</v>
      </c>
      <c r="AC34" t="s">
        <v>73</v>
      </c>
      <c r="AD34" t="s">
        <v>61</v>
      </c>
      <c r="AE34">
        <v>3.14</v>
      </c>
      <c r="AF34">
        <v>5</v>
      </c>
      <c r="AG34">
        <v>0</v>
      </c>
      <c r="AH34" s="9">
        <v>41549</v>
      </c>
      <c r="AI34">
        <v>19</v>
      </c>
      <c r="AJ34">
        <v>28</v>
      </c>
      <c r="AK34">
        <v>2</v>
      </c>
      <c r="AL34">
        <v>17</v>
      </c>
      <c r="AM34">
        <f>IF(Cleaned_Data[[#This Row],[DateofTermination]]="","",YEAR(Cleaned_Data[[#This Row],[DateofTermination]]))</f>
        <v>2014</v>
      </c>
      <c r="AN34">
        <v>1</v>
      </c>
    </row>
    <row r="35" spans="1:40" x14ac:dyDescent="0.35">
      <c r="A35" t="s">
        <v>147</v>
      </c>
      <c r="B35">
        <v>10107</v>
      </c>
      <c r="C35">
        <v>0</v>
      </c>
      <c r="D35">
        <v>0</v>
      </c>
      <c r="E35">
        <v>0</v>
      </c>
      <c r="F35">
        <v>1</v>
      </c>
      <c r="G35">
        <v>5</v>
      </c>
      <c r="H35">
        <v>3</v>
      </c>
      <c r="I35">
        <v>0</v>
      </c>
      <c r="J35">
        <v>63763</v>
      </c>
      <c r="K35">
        <v>0</v>
      </c>
      <c r="L35">
        <v>20</v>
      </c>
      <c r="M35" t="s">
        <v>500</v>
      </c>
      <c r="N35" t="s">
        <v>40</v>
      </c>
      <c r="O35">
        <v>2148</v>
      </c>
      <c r="P35" s="9">
        <v>26229</v>
      </c>
      <c r="Q35" t="s">
        <v>41</v>
      </c>
      <c r="R35" t="s">
        <v>618</v>
      </c>
      <c r="S35" t="s">
        <v>43</v>
      </c>
      <c r="T35" t="s">
        <v>44</v>
      </c>
      <c r="U35" t="s">
        <v>45</v>
      </c>
      <c r="V35" t="s">
        <v>85</v>
      </c>
      <c r="W35" s="9">
        <v>41032</v>
      </c>
      <c r="X35" s="9"/>
      <c r="Y35" t="s">
        <v>47</v>
      </c>
      <c r="Z35" t="s">
        <v>48</v>
      </c>
      <c r="AA35" t="s">
        <v>495</v>
      </c>
      <c r="AB35" t="s">
        <v>75</v>
      </c>
      <c r="AC35" t="s">
        <v>625</v>
      </c>
      <c r="AD35" t="s">
        <v>61</v>
      </c>
      <c r="AE35">
        <v>4.51</v>
      </c>
      <c r="AF35">
        <v>4</v>
      </c>
      <c r="AG35">
        <v>0</v>
      </c>
      <c r="AH35" s="9">
        <v>43517</v>
      </c>
      <c r="AI35">
        <v>3</v>
      </c>
      <c r="AJ35">
        <v>48</v>
      </c>
      <c r="AK35">
        <v>8</v>
      </c>
      <c r="AL35">
        <v>11</v>
      </c>
      <c r="AM35" t="str">
        <f>IF(Cleaned_Data[[#This Row],[DateofTermination]]="","",YEAR(Cleaned_Data[[#This Row],[DateofTermination]]))</f>
        <v/>
      </c>
      <c r="AN35">
        <v>1</v>
      </c>
    </row>
    <row r="36" spans="1:40" x14ac:dyDescent="0.35">
      <c r="A36" t="s">
        <v>511</v>
      </c>
      <c r="B36">
        <v>10181</v>
      </c>
      <c r="C36">
        <v>1</v>
      </c>
      <c r="D36">
        <v>1</v>
      </c>
      <c r="E36">
        <v>1</v>
      </c>
      <c r="F36">
        <v>1</v>
      </c>
      <c r="G36">
        <v>5</v>
      </c>
      <c r="H36">
        <v>3</v>
      </c>
      <c r="I36">
        <v>0</v>
      </c>
      <c r="J36">
        <v>62162</v>
      </c>
      <c r="K36">
        <v>0</v>
      </c>
      <c r="L36">
        <v>20</v>
      </c>
      <c r="M36" t="s">
        <v>500</v>
      </c>
      <c r="N36" t="s">
        <v>40</v>
      </c>
      <c r="O36">
        <v>1890</v>
      </c>
      <c r="P36" s="9">
        <v>32836</v>
      </c>
      <c r="Q36" t="s">
        <v>41</v>
      </c>
      <c r="R36" t="s">
        <v>617</v>
      </c>
      <c r="S36" t="s">
        <v>55</v>
      </c>
      <c r="T36" t="s">
        <v>44</v>
      </c>
      <c r="U36" t="s">
        <v>45</v>
      </c>
      <c r="V36" t="s">
        <v>46</v>
      </c>
      <c r="W36" s="9">
        <v>40637</v>
      </c>
      <c r="X36" s="9"/>
      <c r="Y36" t="s">
        <v>47</v>
      </c>
      <c r="Z36" t="s">
        <v>48</v>
      </c>
      <c r="AA36" t="s">
        <v>495</v>
      </c>
      <c r="AB36" t="s">
        <v>82</v>
      </c>
      <c r="AC36" t="s">
        <v>60</v>
      </c>
      <c r="AD36" t="s">
        <v>61</v>
      </c>
      <c r="AE36">
        <v>3.25</v>
      </c>
      <c r="AF36">
        <v>5</v>
      </c>
      <c r="AG36">
        <v>0</v>
      </c>
      <c r="AH36" s="9">
        <v>43479</v>
      </c>
      <c r="AI36">
        <v>15</v>
      </c>
      <c r="AJ36">
        <v>30</v>
      </c>
      <c r="AK36">
        <v>9</v>
      </c>
      <c r="AL36">
        <v>19</v>
      </c>
      <c r="AM36" t="str">
        <f>IF(Cleaned_Data[[#This Row],[DateofTermination]]="","",YEAR(Cleaned_Data[[#This Row],[DateofTermination]]))</f>
        <v/>
      </c>
      <c r="AN36">
        <v>1</v>
      </c>
    </row>
    <row r="37" spans="1:40" x14ac:dyDescent="0.35">
      <c r="A37" t="s">
        <v>512</v>
      </c>
      <c r="B37">
        <v>10150</v>
      </c>
      <c r="C37">
        <v>0</v>
      </c>
      <c r="D37">
        <v>0</v>
      </c>
      <c r="E37">
        <v>1</v>
      </c>
      <c r="F37">
        <v>1</v>
      </c>
      <c r="G37">
        <v>4</v>
      </c>
      <c r="H37">
        <v>3</v>
      </c>
      <c r="I37">
        <v>0</v>
      </c>
      <c r="J37">
        <v>77692</v>
      </c>
      <c r="K37">
        <v>0</v>
      </c>
      <c r="L37">
        <v>25</v>
      </c>
      <c r="M37" t="s">
        <v>150</v>
      </c>
      <c r="N37" t="s">
        <v>40</v>
      </c>
      <c r="O37">
        <v>2184</v>
      </c>
      <c r="P37" s="9">
        <v>25475</v>
      </c>
      <c r="Q37" t="s">
        <v>41</v>
      </c>
      <c r="R37" t="s">
        <v>617</v>
      </c>
      <c r="S37" t="s">
        <v>43</v>
      </c>
      <c r="T37" t="s">
        <v>44</v>
      </c>
      <c r="U37" t="s">
        <v>45</v>
      </c>
      <c r="V37" t="s">
        <v>46</v>
      </c>
      <c r="W37" s="9">
        <v>40770</v>
      </c>
      <c r="X37" s="9"/>
      <c r="Y37" t="s">
        <v>47</v>
      </c>
      <c r="Z37" t="s">
        <v>48</v>
      </c>
      <c r="AA37" t="s">
        <v>78</v>
      </c>
      <c r="AB37" t="s">
        <v>151</v>
      </c>
      <c r="AC37" t="s">
        <v>73</v>
      </c>
      <c r="AD37" t="s">
        <v>61</v>
      </c>
      <c r="AE37">
        <v>3.84</v>
      </c>
      <c r="AF37">
        <v>3</v>
      </c>
      <c r="AG37">
        <v>5</v>
      </c>
      <c r="AH37" s="9">
        <v>43486</v>
      </c>
      <c r="AI37">
        <v>4</v>
      </c>
      <c r="AJ37">
        <v>50</v>
      </c>
      <c r="AK37">
        <v>8</v>
      </c>
      <c r="AL37">
        <v>5</v>
      </c>
      <c r="AM37" t="str">
        <f>IF(Cleaned_Data[[#This Row],[DateofTermination]]="","",YEAR(Cleaned_Data[[#This Row],[DateofTermination]]))</f>
        <v/>
      </c>
      <c r="AN37">
        <v>1</v>
      </c>
    </row>
    <row r="38" spans="1:40" x14ac:dyDescent="0.35">
      <c r="A38" t="s">
        <v>152</v>
      </c>
      <c r="B38">
        <v>10001</v>
      </c>
      <c r="C38">
        <v>0</v>
      </c>
      <c r="D38">
        <v>0</v>
      </c>
      <c r="E38">
        <v>1</v>
      </c>
      <c r="F38">
        <v>1</v>
      </c>
      <c r="G38">
        <v>5</v>
      </c>
      <c r="H38">
        <v>4</v>
      </c>
      <c r="I38">
        <v>0</v>
      </c>
      <c r="J38">
        <v>72640</v>
      </c>
      <c r="K38">
        <v>0</v>
      </c>
      <c r="L38">
        <v>18</v>
      </c>
      <c r="M38" t="s">
        <v>133</v>
      </c>
      <c r="N38" t="s">
        <v>40</v>
      </c>
      <c r="O38">
        <v>2169</v>
      </c>
      <c r="P38" s="9">
        <v>29692</v>
      </c>
      <c r="Q38" t="s">
        <v>41</v>
      </c>
      <c r="R38" t="s">
        <v>617</v>
      </c>
      <c r="S38" t="s">
        <v>43</v>
      </c>
      <c r="T38" t="s">
        <v>44</v>
      </c>
      <c r="U38" t="s">
        <v>45</v>
      </c>
      <c r="V38" t="s">
        <v>46</v>
      </c>
      <c r="W38" s="9">
        <v>42397</v>
      </c>
      <c r="X38" s="9"/>
      <c r="Y38" t="s">
        <v>47</v>
      </c>
      <c r="Z38" t="s">
        <v>48</v>
      </c>
      <c r="AA38" t="s">
        <v>495</v>
      </c>
      <c r="AB38" t="s">
        <v>135</v>
      </c>
      <c r="AC38" t="s">
        <v>60</v>
      </c>
      <c r="AD38" t="s">
        <v>52</v>
      </c>
      <c r="AE38">
        <v>5</v>
      </c>
      <c r="AF38">
        <v>3</v>
      </c>
      <c r="AG38">
        <v>0</v>
      </c>
      <c r="AH38" s="9">
        <v>43518</v>
      </c>
      <c r="AI38">
        <v>14</v>
      </c>
      <c r="AJ38">
        <v>39</v>
      </c>
      <c r="AK38">
        <v>4</v>
      </c>
      <c r="AL38">
        <v>2</v>
      </c>
      <c r="AM38" t="str">
        <f>IF(Cleaned_Data[[#This Row],[DateofTermination]]="","",YEAR(Cleaned_Data[[#This Row],[DateofTermination]]))</f>
        <v/>
      </c>
      <c r="AN38">
        <v>1</v>
      </c>
    </row>
    <row r="39" spans="1:40" x14ac:dyDescent="0.35">
      <c r="A39" t="s">
        <v>153</v>
      </c>
      <c r="B39">
        <v>10085</v>
      </c>
      <c r="C39">
        <v>0</v>
      </c>
      <c r="D39">
        <v>0</v>
      </c>
      <c r="E39">
        <v>0</v>
      </c>
      <c r="F39">
        <v>1</v>
      </c>
      <c r="G39">
        <v>4</v>
      </c>
      <c r="H39">
        <v>3</v>
      </c>
      <c r="I39">
        <v>0</v>
      </c>
      <c r="J39">
        <v>93396</v>
      </c>
      <c r="K39">
        <v>0</v>
      </c>
      <c r="L39">
        <v>24</v>
      </c>
      <c r="M39" t="s">
        <v>77</v>
      </c>
      <c r="N39" t="s">
        <v>40</v>
      </c>
      <c r="O39">
        <v>2132</v>
      </c>
      <c r="P39" s="9">
        <v>31557</v>
      </c>
      <c r="Q39" t="s">
        <v>41</v>
      </c>
      <c r="R39" t="s">
        <v>618</v>
      </c>
      <c r="S39" t="s">
        <v>43</v>
      </c>
      <c r="T39" t="s">
        <v>44</v>
      </c>
      <c r="U39" t="s">
        <v>45</v>
      </c>
      <c r="V39" t="s">
        <v>46</v>
      </c>
      <c r="W39" s="9">
        <v>41589</v>
      </c>
      <c r="X39" s="9"/>
      <c r="Y39" t="s">
        <v>47</v>
      </c>
      <c r="Z39" t="s">
        <v>48</v>
      </c>
      <c r="AA39" t="s">
        <v>78</v>
      </c>
      <c r="AB39" t="s">
        <v>79</v>
      </c>
      <c r="AC39" t="s">
        <v>60</v>
      </c>
      <c r="AD39" t="s">
        <v>61</v>
      </c>
      <c r="AE39">
        <v>4.96</v>
      </c>
      <c r="AF39">
        <v>4</v>
      </c>
      <c r="AG39">
        <v>6</v>
      </c>
      <c r="AH39" s="9">
        <v>43495</v>
      </c>
      <c r="AI39">
        <v>3</v>
      </c>
      <c r="AJ39">
        <v>34</v>
      </c>
      <c r="AK39">
        <v>6</v>
      </c>
      <c r="AL39">
        <v>10</v>
      </c>
      <c r="AM39" t="str">
        <f>IF(Cleaned_Data[[#This Row],[DateofTermination]]="","",YEAR(Cleaned_Data[[#This Row],[DateofTermination]]))</f>
        <v/>
      </c>
      <c r="AN39">
        <v>1</v>
      </c>
    </row>
    <row r="40" spans="1:40" x14ac:dyDescent="0.35">
      <c r="A40" t="s">
        <v>513</v>
      </c>
      <c r="B40">
        <v>10115</v>
      </c>
      <c r="C40">
        <v>0</v>
      </c>
      <c r="D40">
        <v>0</v>
      </c>
      <c r="E40">
        <v>1</v>
      </c>
      <c r="F40">
        <v>1</v>
      </c>
      <c r="G40">
        <v>5</v>
      </c>
      <c r="H40">
        <v>3</v>
      </c>
      <c r="I40">
        <v>0</v>
      </c>
      <c r="J40">
        <v>52846</v>
      </c>
      <c r="K40">
        <v>0</v>
      </c>
      <c r="L40">
        <v>19</v>
      </c>
      <c r="M40" t="s">
        <v>39</v>
      </c>
      <c r="N40" t="s">
        <v>40</v>
      </c>
      <c r="O40">
        <v>1701</v>
      </c>
      <c r="P40" s="9">
        <v>32689</v>
      </c>
      <c r="Q40" t="s">
        <v>41</v>
      </c>
      <c r="R40" t="s">
        <v>617</v>
      </c>
      <c r="S40" t="s">
        <v>43</v>
      </c>
      <c r="T40" t="s">
        <v>44</v>
      </c>
      <c r="U40" t="s">
        <v>45</v>
      </c>
      <c r="V40" t="s">
        <v>85</v>
      </c>
      <c r="W40" s="9">
        <v>41729</v>
      </c>
      <c r="X40" s="9"/>
      <c r="Y40" t="s">
        <v>47</v>
      </c>
      <c r="Z40" t="s">
        <v>48</v>
      </c>
      <c r="AA40" t="s">
        <v>495</v>
      </c>
      <c r="AB40" t="s">
        <v>103</v>
      </c>
      <c r="AC40" t="s">
        <v>496</v>
      </c>
      <c r="AD40" t="s">
        <v>61</v>
      </c>
      <c r="AE40">
        <v>4.43</v>
      </c>
      <c r="AF40">
        <v>3</v>
      </c>
      <c r="AG40">
        <v>0</v>
      </c>
      <c r="AH40" s="9">
        <v>43467</v>
      </c>
      <c r="AI40">
        <v>14</v>
      </c>
      <c r="AJ40">
        <v>31</v>
      </c>
      <c r="AK40">
        <v>6</v>
      </c>
      <c r="AL40">
        <v>18</v>
      </c>
      <c r="AM40" t="str">
        <f>IF(Cleaned_Data[[#This Row],[DateofTermination]]="","",YEAR(Cleaned_Data[[#This Row],[DateofTermination]]))</f>
        <v/>
      </c>
      <c r="AN40">
        <v>1</v>
      </c>
    </row>
    <row r="41" spans="1:40" x14ac:dyDescent="0.35">
      <c r="A41" t="s">
        <v>155</v>
      </c>
      <c r="B41">
        <v>10082</v>
      </c>
      <c r="C41">
        <v>0</v>
      </c>
      <c r="D41">
        <v>0</v>
      </c>
      <c r="E41">
        <v>0</v>
      </c>
      <c r="F41">
        <v>2</v>
      </c>
      <c r="G41">
        <v>3</v>
      </c>
      <c r="H41">
        <v>3</v>
      </c>
      <c r="I41">
        <v>0</v>
      </c>
      <c r="J41">
        <v>100031</v>
      </c>
      <c r="K41">
        <v>0</v>
      </c>
      <c r="L41">
        <v>27</v>
      </c>
      <c r="M41" t="s">
        <v>498</v>
      </c>
      <c r="N41" t="s">
        <v>40</v>
      </c>
      <c r="O41">
        <v>1886</v>
      </c>
      <c r="P41" s="9">
        <v>28207</v>
      </c>
      <c r="Q41" t="s">
        <v>41</v>
      </c>
      <c r="R41" t="s">
        <v>618</v>
      </c>
      <c r="S41" t="s">
        <v>43</v>
      </c>
      <c r="T41" t="s">
        <v>44</v>
      </c>
      <c r="U41" t="s">
        <v>45</v>
      </c>
      <c r="V41" t="s">
        <v>85</v>
      </c>
      <c r="W41" s="9">
        <v>42551</v>
      </c>
      <c r="X41" s="9"/>
      <c r="Y41" t="s">
        <v>47</v>
      </c>
      <c r="Z41" t="s">
        <v>48</v>
      </c>
      <c r="AA41" t="s">
        <v>499</v>
      </c>
      <c r="AB41" t="s">
        <v>59</v>
      </c>
      <c r="AC41" t="s">
        <v>496</v>
      </c>
      <c r="AD41" t="s">
        <v>61</v>
      </c>
      <c r="AE41">
        <v>5</v>
      </c>
      <c r="AF41">
        <v>5</v>
      </c>
      <c r="AG41">
        <v>6</v>
      </c>
      <c r="AH41" s="9">
        <v>43514</v>
      </c>
      <c r="AI41">
        <v>7</v>
      </c>
      <c r="AJ41">
        <v>43</v>
      </c>
      <c r="AK41">
        <v>4</v>
      </c>
      <c r="AL41">
        <v>4</v>
      </c>
      <c r="AM41" t="str">
        <f>IF(Cleaned_Data[[#This Row],[DateofTermination]]="","",YEAR(Cleaned_Data[[#This Row],[DateofTermination]]))</f>
        <v/>
      </c>
      <c r="AN41">
        <v>1</v>
      </c>
    </row>
    <row r="42" spans="1:40" x14ac:dyDescent="0.35">
      <c r="A42" t="s">
        <v>514</v>
      </c>
      <c r="B42">
        <v>10040</v>
      </c>
      <c r="C42">
        <v>0</v>
      </c>
      <c r="D42">
        <v>0</v>
      </c>
      <c r="E42">
        <v>0</v>
      </c>
      <c r="F42">
        <v>1</v>
      </c>
      <c r="G42">
        <v>6</v>
      </c>
      <c r="H42">
        <v>3</v>
      </c>
      <c r="I42">
        <v>0</v>
      </c>
      <c r="J42">
        <v>71860</v>
      </c>
      <c r="K42">
        <v>0</v>
      </c>
      <c r="L42">
        <v>3</v>
      </c>
      <c r="M42" t="s">
        <v>143</v>
      </c>
      <c r="N42" t="s">
        <v>157</v>
      </c>
      <c r="O42">
        <v>5664</v>
      </c>
      <c r="P42" s="9">
        <v>26538</v>
      </c>
      <c r="Q42" t="s">
        <v>41</v>
      </c>
      <c r="R42" t="s">
        <v>618</v>
      </c>
      <c r="S42" t="s">
        <v>43</v>
      </c>
      <c r="T42" t="s">
        <v>44</v>
      </c>
      <c r="U42" t="s">
        <v>45</v>
      </c>
      <c r="V42" t="s">
        <v>46</v>
      </c>
      <c r="W42" s="9">
        <v>41869</v>
      </c>
      <c r="X42" s="9"/>
      <c r="Y42" t="s">
        <v>47</v>
      </c>
      <c r="Z42" t="s">
        <v>48</v>
      </c>
      <c r="AA42" t="s">
        <v>145</v>
      </c>
      <c r="AB42" t="s">
        <v>146</v>
      </c>
      <c r="AC42" t="s">
        <v>60</v>
      </c>
      <c r="AD42" t="s">
        <v>61</v>
      </c>
      <c r="AE42">
        <v>5</v>
      </c>
      <c r="AF42">
        <v>5</v>
      </c>
      <c r="AG42">
        <v>0</v>
      </c>
      <c r="AH42" s="9">
        <v>43486</v>
      </c>
      <c r="AI42">
        <v>7</v>
      </c>
      <c r="AJ42">
        <v>47</v>
      </c>
      <c r="AK42">
        <v>5</v>
      </c>
      <c r="AL42">
        <v>17</v>
      </c>
      <c r="AM42" t="str">
        <f>IF(Cleaned_Data[[#This Row],[DateofTermination]]="","",YEAR(Cleaned_Data[[#This Row],[DateofTermination]]))</f>
        <v/>
      </c>
      <c r="AN42">
        <v>1</v>
      </c>
    </row>
    <row r="43" spans="1:40" x14ac:dyDescent="0.35">
      <c r="A43" t="s">
        <v>515</v>
      </c>
      <c r="B43">
        <v>10067</v>
      </c>
      <c r="C43">
        <v>0</v>
      </c>
      <c r="D43">
        <v>0</v>
      </c>
      <c r="E43">
        <v>0</v>
      </c>
      <c r="F43">
        <v>1</v>
      </c>
      <c r="G43">
        <v>5</v>
      </c>
      <c r="H43">
        <v>3</v>
      </c>
      <c r="I43">
        <v>0</v>
      </c>
      <c r="J43">
        <v>61656</v>
      </c>
      <c r="K43">
        <v>0</v>
      </c>
      <c r="L43">
        <v>19</v>
      </c>
      <c r="M43" t="s">
        <v>39</v>
      </c>
      <c r="N43" t="s">
        <v>40</v>
      </c>
      <c r="O43">
        <v>2763</v>
      </c>
      <c r="P43" s="9">
        <v>32400</v>
      </c>
      <c r="Q43" t="s">
        <v>41</v>
      </c>
      <c r="R43" t="s">
        <v>618</v>
      </c>
      <c r="S43" t="s">
        <v>43</v>
      </c>
      <c r="T43" t="s">
        <v>44</v>
      </c>
      <c r="U43" t="s">
        <v>45</v>
      </c>
      <c r="V43" t="s">
        <v>46</v>
      </c>
      <c r="W43" s="9">
        <v>41911</v>
      </c>
      <c r="X43" s="9"/>
      <c r="Y43" t="s">
        <v>47</v>
      </c>
      <c r="Z43" t="s">
        <v>48</v>
      </c>
      <c r="AA43" t="s">
        <v>495</v>
      </c>
      <c r="AB43" t="s">
        <v>50</v>
      </c>
      <c r="AC43" t="s">
        <v>73</v>
      </c>
      <c r="AD43" t="s">
        <v>61</v>
      </c>
      <c r="AE43">
        <v>5</v>
      </c>
      <c r="AF43">
        <v>4</v>
      </c>
      <c r="AG43">
        <v>0</v>
      </c>
      <c r="AH43" s="9">
        <v>43801</v>
      </c>
      <c r="AI43">
        <v>11</v>
      </c>
      <c r="AJ43">
        <v>31</v>
      </c>
      <c r="AK43">
        <v>5</v>
      </c>
      <c r="AL43">
        <v>22</v>
      </c>
      <c r="AM43" t="str">
        <f>IF(Cleaned_Data[[#This Row],[DateofTermination]]="","",YEAR(Cleaned_Data[[#This Row],[DateofTermination]]))</f>
        <v/>
      </c>
      <c r="AN43">
        <v>1</v>
      </c>
    </row>
    <row r="44" spans="1:40" x14ac:dyDescent="0.35">
      <c r="A44" t="s">
        <v>159</v>
      </c>
      <c r="B44">
        <v>10108</v>
      </c>
      <c r="C44">
        <v>1</v>
      </c>
      <c r="D44">
        <v>1</v>
      </c>
      <c r="E44">
        <v>1</v>
      </c>
      <c r="F44">
        <v>1</v>
      </c>
      <c r="G44">
        <v>3</v>
      </c>
      <c r="H44">
        <v>3</v>
      </c>
      <c r="I44">
        <v>0</v>
      </c>
      <c r="J44">
        <v>110929</v>
      </c>
      <c r="K44">
        <v>0</v>
      </c>
      <c r="L44">
        <v>5</v>
      </c>
      <c r="M44" t="s">
        <v>516</v>
      </c>
      <c r="N44" t="s">
        <v>40</v>
      </c>
      <c r="O44">
        <v>2045</v>
      </c>
      <c r="P44" s="9">
        <v>24183</v>
      </c>
      <c r="Q44" t="s">
        <v>41</v>
      </c>
      <c r="R44" t="s">
        <v>617</v>
      </c>
      <c r="S44" t="s">
        <v>55</v>
      </c>
      <c r="T44" t="s">
        <v>44</v>
      </c>
      <c r="U44" t="s">
        <v>45</v>
      </c>
      <c r="V44" t="s">
        <v>46</v>
      </c>
      <c r="W44" s="9">
        <v>42530</v>
      </c>
      <c r="X44" s="9"/>
      <c r="Y44" t="s">
        <v>47</v>
      </c>
      <c r="Z44" t="s">
        <v>48</v>
      </c>
      <c r="AA44" t="s">
        <v>499</v>
      </c>
      <c r="AB44" t="s">
        <v>151</v>
      </c>
      <c r="AC44" t="s">
        <v>60</v>
      </c>
      <c r="AD44" t="s">
        <v>61</v>
      </c>
      <c r="AE44">
        <v>4.5</v>
      </c>
      <c r="AF44">
        <v>5</v>
      </c>
      <c r="AG44">
        <v>7</v>
      </c>
      <c r="AH44" s="9">
        <v>43480</v>
      </c>
      <c r="AI44">
        <v>8</v>
      </c>
      <c r="AJ44">
        <v>54</v>
      </c>
      <c r="AK44">
        <v>4</v>
      </c>
      <c r="AL44">
        <v>5</v>
      </c>
      <c r="AM44" t="str">
        <f>IF(Cleaned_Data[[#This Row],[DateofTermination]]="","",YEAR(Cleaned_Data[[#This Row],[DateofTermination]]))</f>
        <v/>
      </c>
      <c r="AN44">
        <v>1</v>
      </c>
    </row>
    <row r="45" spans="1:40" x14ac:dyDescent="0.35">
      <c r="A45" t="s">
        <v>161</v>
      </c>
      <c r="B45">
        <v>10210</v>
      </c>
      <c r="C45">
        <v>0</v>
      </c>
      <c r="D45">
        <v>0</v>
      </c>
      <c r="E45">
        <v>0</v>
      </c>
      <c r="F45">
        <v>1</v>
      </c>
      <c r="G45">
        <v>5</v>
      </c>
      <c r="H45">
        <v>3</v>
      </c>
      <c r="I45">
        <v>0</v>
      </c>
      <c r="J45">
        <v>54237</v>
      </c>
      <c r="K45">
        <v>0</v>
      </c>
      <c r="L45">
        <v>19</v>
      </c>
      <c r="M45" t="s">
        <v>39</v>
      </c>
      <c r="N45" t="s">
        <v>40</v>
      </c>
      <c r="O45">
        <v>2170</v>
      </c>
      <c r="P45" s="9">
        <v>28079</v>
      </c>
      <c r="Q45" t="s">
        <v>41</v>
      </c>
      <c r="R45" t="s">
        <v>618</v>
      </c>
      <c r="S45" t="s">
        <v>43</v>
      </c>
      <c r="T45" t="s">
        <v>44</v>
      </c>
      <c r="U45" t="s">
        <v>45</v>
      </c>
      <c r="V45" t="s">
        <v>46</v>
      </c>
      <c r="W45" s="9">
        <v>41978</v>
      </c>
      <c r="X45" s="9"/>
      <c r="Y45" t="s">
        <v>47</v>
      </c>
      <c r="Z45" t="s">
        <v>48</v>
      </c>
      <c r="AA45" t="s">
        <v>495</v>
      </c>
      <c r="AB45" t="s">
        <v>68</v>
      </c>
      <c r="AC45" t="s">
        <v>60</v>
      </c>
      <c r="AD45" t="s">
        <v>61</v>
      </c>
      <c r="AE45">
        <v>3.3</v>
      </c>
      <c r="AF45">
        <v>4</v>
      </c>
      <c r="AG45">
        <v>0</v>
      </c>
      <c r="AH45" s="9">
        <v>43515</v>
      </c>
      <c r="AI45">
        <v>11</v>
      </c>
      <c r="AJ45">
        <v>43</v>
      </c>
      <c r="AK45">
        <v>5</v>
      </c>
      <c r="AL45">
        <v>16</v>
      </c>
      <c r="AM45" t="str">
        <f>IF(Cleaned_Data[[#This Row],[DateofTermination]]="","",YEAR(Cleaned_Data[[#This Row],[DateofTermination]]))</f>
        <v/>
      </c>
      <c r="AN45">
        <v>1</v>
      </c>
    </row>
    <row r="46" spans="1:40" x14ac:dyDescent="0.35">
      <c r="A46" t="s">
        <v>162</v>
      </c>
      <c r="B46">
        <v>10154</v>
      </c>
      <c r="C46">
        <v>0</v>
      </c>
      <c r="D46">
        <v>0</v>
      </c>
      <c r="E46">
        <v>1</v>
      </c>
      <c r="F46">
        <v>1</v>
      </c>
      <c r="G46">
        <v>5</v>
      </c>
      <c r="H46">
        <v>3</v>
      </c>
      <c r="I46">
        <v>0</v>
      </c>
      <c r="J46">
        <v>60380</v>
      </c>
      <c r="K46">
        <v>0</v>
      </c>
      <c r="L46">
        <v>19</v>
      </c>
      <c r="M46" t="s">
        <v>39</v>
      </c>
      <c r="N46" t="s">
        <v>40</v>
      </c>
      <c r="O46">
        <v>1845</v>
      </c>
      <c r="P46" s="9">
        <v>33266</v>
      </c>
      <c r="Q46" t="s">
        <v>41</v>
      </c>
      <c r="R46" t="s">
        <v>617</v>
      </c>
      <c r="S46" t="s">
        <v>43</v>
      </c>
      <c r="T46" t="s">
        <v>44</v>
      </c>
      <c r="U46" t="s">
        <v>45</v>
      </c>
      <c r="V46" t="s">
        <v>46</v>
      </c>
      <c r="W46" s="9">
        <v>41493</v>
      </c>
      <c r="X46" s="9"/>
      <c r="Y46" t="s">
        <v>47</v>
      </c>
      <c r="Z46" t="s">
        <v>48</v>
      </c>
      <c r="AA46" t="s">
        <v>495</v>
      </c>
      <c r="AB46" t="s">
        <v>72</v>
      </c>
      <c r="AC46" t="s">
        <v>496</v>
      </c>
      <c r="AD46" t="s">
        <v>61</v>
      </c>
      <c r="AE46">
        <v>3.8</v>
      </c>
      <c r="AF46">
        <v>5</v>
      </c>
      <c r="AG46">
        <v>0</v>
      </c>
      <c r="AH46" s="9">
        <v>43479</v>
      </c>
      <c r="AI46">
        <v>4</v>
      </c>
      <c r="AJ46">
        <v>29</v>
      </c>
      <c r="AK46">
        <v>6</v>
      </c>
      <c r="AL46">
        <v>39</v>
      </c>
      <c r="AM46" t="str">
        <f>IF(Cleaned_Data[[#This Row],[DateofTermination]]="","",YEAR(Cleaned_Data[[#This Row],[DateofTermination]]))</f>
        <v/>
      </c>
      <c r="AN46">
        <v>1</v>
      </c>
    </row>
    <row r="47" spans="1:40" x14ac:dyDescent="0.35">
      <c r="A47" t="s">
        <v>163</v>
      </c>
      <c r="B47">
        <v>10200</v>
      </c>
      <c r="C47">
        <v>0</v>
      </c>
      <c r="D47">
        <v>0</v>
      </c>
      <c r="E47">
        <v>1</v>
      </c>
      <c r="F47">
        <v>1</v>
      </c>
      <c r="G47">
        <v>6</v>
      </c>
      <c r="H47">
        <v>3</v>
      </c>
      <c r="I47">
        <v>0</v>
      </c>
      <c r="J47">
        <v>66808</v>
      </c>
      <c r="K47">
        <v>0</v>
      </c>
      <c r="L47">
        <v>3</v>
      </c>
      <c r="M47" t="s">
        <v>143</v>
      </c>
      <c r="N47" t="s">
        <v>100</v>
      </c>
      <c r="O47">
        <v>78207</v>
      </c>
      <c r="P47" s="9">
        <v>23480</v>
      </c>
      <c r="Q47" t="s">
        <v>96</v>
      </c>
      <c r="R47" t="s">
        <v>617</v>
      </c>
      <c r="S47" t="s">
        <v>43</v>
      </c>
      <c r="T47" t="s">
        <v>111</v>
      </c>
      <c r="U47" t="s">
        <v>45</v>
      </c>
      <c r="V47" t="s">
        <v>85</v>
      </c>
      <c r="W47" s="9">
        <v>41043</v>
      </c>
      <c r="X47" s="9"/>
      <c r="Y47" t="s">
        <v>47</v>
      </c>
      <c r="Z47" t="s">
        <v>48</v>
      </c>
      <c r="AA47" t="s">
        <v>145</v>
      </c>
      <c r="AB47" t="s">
        <v>164</v>
      </c>
      <c r="AC47" t="s">
        <v>625</v>
      </c>
      <c r="AD47" t="s">
        <v>61</v>
      </c>
      <c r="AE47">
        <v>3</v>
      </c>
      <c r="AF47">
        <v>5</v>
      </c>
      <c r="AG47">
        <v>0</v>
      </c>
      <c r="AH47" s="9">
        <v>43484</v>
      </c>
      <c r="AI47">
        <v>17</v>
      </c>
      <c r="AJ47">
        <v>56</v>
      </c>
      <c r="AK47">
        <v>8</v>
      </c>
      <c r="AL47">
        <v>21</v>
      </c>
      <c r="AM47" t="str">
        <f>IF(Cleaned_Data[[#This Row],[DateofTermination]]="","",YEAR(Cleaned_Data[[#This Row],[DateofTermination]]))</f>
        <v/>
      </c>
      <c r="AN47">
        <v>1</v>
      </c>
    </row>
    <row r="48" spans="1:40" x14ac:dyDescent="0.35">
      <c r="A48" t="s">
        <v>165</v>
      </c>
      <c r="B48">
        <v>10240</v>
      </c>
      <c r="C48">
        <v>0</v>
      </c>
      <c r="D48">
        <v>0</v>
      </c>
      <c r="E48">
        <v>0</v>
      </c>
      <c r="F48">
        <v>5</v>
      </c>
      <c r="G48">
        <v>5</v>
      </c>
      <c r="H48">
        <v>3</v>
      </c>
      <c r="I48">
        <v>0</v>
      </c>
      <c r="J48">
        <v>64786</v>
      </c>
      <c r="K48">
        <v>1</v>
      </c>
      <c r="L48">
        <v>19</v>
      </c>
      <c r="M48" t="s">
        <v>39</v>
      </c>
      <c r="N48" t="s">
        <v>40</v>
      </c>
      <c r="O48">
        <v>1775</v>
      </c>
      <c r="P48" s="9">
        <v>21781</v>
      </c>
      <c r="Q48" t="s">
        <v>96</v>
      </c>
      <c r="R48" t="s">
        <v>618</v>
      </c>
      <c r="S48" t="s">
        <v>43</v>
      </c>
      <c r="T48" t="s">
        <v>44</v>
      </c>
      <c r="U48" t="s">
        <v>45</v>
      </c>
      <c r="V48" t="s">
        <v>46</v>
      </c>
      <c r="W48" s="9">
        <v>40721</v>
      </c>
      <c r="X48" s="9">
        <v>42323</v>
      </c>
      <c r="Y48" t="s">
        <v>166</v>
      </c>
      <c r="Z48" t="s">
        <v>57</v>
      </c>
      <c r="AA48" t="s">
        <v>495</v>
      </c>
      <c r="AB48" t="s">
        <v>75</v>
      </c>
      <c r="AC48" t="s">
        <v>60</v>
      </c>
      <c r="AD48" t="s">
        <v>61</v>
      </c>
      <c r="AE48">
        <v>4.3</v>
      </c>
      <c r="AF48">
        <v>4</v>
      </c>
      <c r="AG48">
        <v>0</v>
      </c>
      <c r="AH48" s="9">
        <v>42280</v>
      </c>
      <c r="AI48">
        <v>3</v>
      </c>
      <c r="AJ48">
        <v>56</v>
      </c>
      <c r="AK48">
        <v>4</v>
      </c>
      <c r="AL48">
        <v>11</v>
      </c>
      <c r="AM48">
        <f>IF(Cleaned_Data[[#This Row],[DateofTermination]]="","",YEAR(Cleaned_Data[[#This Row],[DateofTermination]]))</f>
        <v>2015</v>
      </c>
      <c r="AN48">
        <v>1</v>
      </c>
    </row>
    <row r="49" spans="1:40" x14ac:dyDescent="0.35">
      <c r="A49" t="s">
        <v>517</v>
      </c>
      <c r="B49">
        <v>10168</v>
      </c>
      <c r="C49">
        <v>0</v>
      </c>
      <c r="D49">
        <v>0</v>
      </c>
      <c r="E49">
        <v>0</v>
      </c>
      <c r="F49">
        <v>1</v>
      </c>
      <c r="G49">
        <v>5</v>
      </c>
      <c r="H49">
        <v>3</v>
      </c>
      <c r="I49">
        <v>0</v>
      </c>
      <c r="J49">
        <v>64816</v>
      </c>
      <c r="K49">
        <v>0</v>
      </c>
      <c r="L49">
        <v>19</v>
      </c>
      <c r="M49" t="s">
        <v>39</v>
      </c>
      <c r="N49" t="s">
        <v>40</v>
      </c>
      <c r="O49">
        <v>2044</v>
      </c>
      <c r="P49" s="9">
        <v>31519</v>
      </c>
      <c r="Q49" t="s">
        <v>41</v>
      </c>
      <c r="R49" t="s">
        <v>618</v>
      </c>
      <c r="S49" t="s">
        <v>43</v>
      </c>
      <c r="T49" t="s">
        <v>168</v>
      </c>
      <c r="U49" t="s">
        <v>45</v>
      </c>
      <c r="V49" t="s">
        <v>85</v>
      </c>
      <c r="W49" s="9">
        <v>40612</v>
      </c>
      <c r="X49" s="9"/>
      <c r="Y49" t="s">
        <v>47</v>
      </c>
      <c r="Z49" t="s">
        <v>48</v>
      </c>
      <c r="AA49" t="s">
        <v>495</v>
      </c>
      <c r="AB49" t="s">
        <v>82</v>
      </c>
      <c r="AC49" t="s">
        <v>60</v>
      </c>
      <c r="AD49" t="s">
        <v>61</v>
      </c>
      <c r="AE49">
        <v>3.58</v>
      </c>
      <c r="AF49">
        <v>5</v>
      </c>
      <c r="AG49">
        <v>0</v>
      </c>
      <c r="AH49" s="9">
        <v>43495</v>
      </c>
      <c r="AI49">
        <v>3</v>
      </c>
      <c r="AJ49">
        <v>34</v>
      </c>
      <c r="AK49">
        <v>9</v>
      </c>
      <c r="AL49">
        <v>19</v>
      </c>
      <c r="AM49" t="str">
        <f>IF(Cleaned_Data[[#This Row],[DateofTermination]]="","",YEAR(Cleaned_Data[[#This Row],[DateofTermination]]))</f>
        <v/>
      </c>
      <c r="AN49">
        <v>1</v>
      </c>
    </row>
    <row r="50" spans="1:40" x14ac:dyDescent="0.35">
      <c r="A50" t="s">
        <v>169</v>
      </c>
      <c r="B50">
        <v>10220</v>
      </c>
      <c r="C50">
        <v>0</v>
      </c>
      <c r="D50">
        <v>0</v>
      </c>
      <c r="E50">
        <v>1</v>
      </c>
      <c r="F50">
        <v>1</v>
      </c>
      <c r="G50">
        <v>3</v>
      </c>
      <c r="H50">
        <v>3</v>
      </c>
      <c r="I50">
        <v>0</v>
      </c>
      <c r="J50">
        <v>68678</v>
      </c>
      <c r="K50">
        <v>0</v>
      </c>
      <c r="L50">
        <v>14</v>
      </c>
      <c r="M50" t="s">
        <v>505</v>
      </c>
      <c r="N50" t="s">
        <v>40</v>
      </c>
      <c r="O50">
        <v>2170</v>
      </c>
      <c r="P50" s="9">
        <v>19988</v>
      </c>
      <c r="Q50" t="s">
        <v>96</v>
      </c>
      <c r="R50" t="s">
        <v>617</v>
      </c>
      <c r="S50" t="s">
        <v>43</v>
      </c>
      <c r="T50" t="s">
        <v>44</v>
      </c>
      <c r="U50" t="s">
        <v>45</v>
      </c>
      <c r="V50" t="s">
        <v>46</v>
      </c>
      <c r="W50" s="9">
        <v>41038</v>
      </c>
      <c r="X50" s="9"/>
      <c r="Y50" t="s">
        <v>47</v>
      </c>
      <c r="Z50" t="s">
        <v>48</v>
      </c>
      <c r="AA50" t="s">
        <v>499</v>
      </c>
      <c r="AB50" t="s">
        <v>170</v>
      </c>
      <c r="AC50" t="s">
        <v>60</v>
      </c>
      <c r="AD50" t="s">
        <v>61</v>
      </c>
      <c r="AE50">
        <v>4.7</v>
      </c>
      <c r="AF50">
        <v>3</v>
      </c>
      <c r="AG50">
        <v>6</v>
      </c>
      <c r="AH50" s="9">
        <v>43523</v>
      </c>
      <c r="AI50">
        <v>2</v>
      </c>
      <c r="AJ50">
        <v>65</v>
      </c>
      <c r="AK50">
        <v>8</v>
      </c>
      <c r="AL50">
        <v>6</v>
      </c>
      <c r="AM50" t="str">
        <f>IF(Cleaned_Data[[#This Row],[DateofTermination]]="","",YEAR(Cleaned_Data[[#This Row],[DateofTermination]]))</f>
        <v/>
      </c>
      <c r="AN50">
        <v>1</v>
      </c>
    </row>
    <row r="51" spans="1:40" x14ac:dyDescent="0.35">
      <c r="A51" t="s">
        <v>171</v>
      </c>
      <c r="B51">
        <v>10275</v>
      </c>
      <c r="C51">
        <v>1</v>
      </c>
      <c r="D51">
        <v>1</v>
      </c>
      <c r="E51">
        <v>0</v>
      </c>
      <c r="F51">
        <v>5</v>
      </c>
      <c r="G51">
        <v>5</v>
      </c>
      <c r="H51">
        <v>3</v>
      </c>
      <c r="I51">
        <v>0</v>
      </c>
      <c r="J51">
        <v>64066</v>
      </c>
      <c r="K51">
        <v>1</v>
      </c>
      <c r="L51">
        <v>20</v>
      </c>
      <c r="M51" t="s">
        <v>500</v>
      </c>
      <c r="N51" t="s">
        <v>40</v>
      </c>
      <c r="O51">
        <v>1752</v>
      </c>
      <c r="P51" s="9">
        <v>25258</v>
      </c>
      <c r="Q51" t="s">
        <v>41</v>
      </c>
      <c r="R51" t="s">
        <v>618</v>
      </c>
      <c r="S51" t="s">
        <v>55</v>
      </c>
      <c r="T51" t="s">
        <v>44</v>
      </c>
      <c r="U51" t="s">
        <v>45</v>
      </c>
      <c r="V51" t="s">
        <v>46</v>
      </c>
      <c r="W51" s="9">
        <v>40679</v>
      </c>
      <c r="X51" s="9">
        <v>41456</v>
      </c>
      <c r="Y51" t="s">
        <v>97</v>
      </c>
      <c r="Z51" t="s">
        <v>57</v>
      </c>
      <c r="AA51" t="s">
        <v>495</v>
      </c>
      <c r="AB51" t="s">
        <v>86</v>
      </c>
      <c r="AC51" t="s">
        <v>73</v>
      </c>
      <c r="AD51" t="s">
        <v>61</v>
      </c>
      <c r="AE51">
        <v>4.2</v>
      </c>
      <c r="AF51">
        <v>5</v>
      </c>
      <c r="AG51">
        <v>0</v>
      </c>
      <c r="AH51" s="9">
        <v>40973</v>
      </c>
      <c r="AI51">
        <v>9</v>
      </c>
      <c r="AJ51">
        <v>44</v>
      </c>
      <c r="AK51">
        <v>2</v>
      </c>
      <c r="AL51">
        <v>12</v>
      </c>
      <c r="AM51">
        <f>IF(Cleaned_Data[[#This Row],[DateofTermination]]="","",YEAR(Cleaned_Data[[#This Row],[DateofTermination]]))</f>
        <v>2013</v>
      </c>
      <c r="AN51">
        <v>1</v>
      </c>
    </row>
    <row r="52" spans="1:40" x14ac:dyDescent="0.35">
      <c r="A52" t="s">
        <v>172</v>
      </c>
      <c r="B52">
        <v>10269</v>
      </c>
      <c r="C52">
        <v>1</v>
      </c>
      <c r="D52">
        <v>1</v>
      </c>
      <c r="E52">
        <v>1</v>
      </c>
      <c r="F52">
        <v>5</v>
      </c>
      <c r="G52">
        <v>5</v>
      </c>
      <c r="H52">
        <v>3</v>
      </c>
      <c r="I52">
        <v>0</v>
      </c>
      <c r="J52">
        <v>59369</v>
      </c>
      <c r="K52">
        <v>1</v>
      </c>
      <c r="L52">
        <v>20</v>
      </c>
      <c r="M52" t="s">
        <v>500</v>
      </c>
      <c r="N52" t="s">
        <v>40</v>
      </c>
      <c r="O52">
        <v>2169</v>
      </c>
      <c r="P52" s="9">
        <v>31525</v>
      </c>
      <c r="Q52" t="s">
        <v>41</v>
      </c>
      <c r="R52" t="s">
        <v>617</v>
      </c>
      <c r="S52" t="s">
        <v>55</v>
      </c>
      <c r="T52" t="s">
        <v>44</v>
      </c>
      <c r="U52" t="s">
        <v>45</v>
      </c>
      <c r="V52" t="s">
        <v>46</v>
      </c>
      <c r="W52" s="9">
        <v>40420</v>
      </c>
      <c r="X52" s="9">
        <v>40812</v>
      </c>
      <c r="Y52" t="s">
        <v>56</v>
      </c>
      <c r="Z52" t="s">
        <v>57</v>
      </c>
      <c r="AA52" t="s">
        <v>495</v>
      </c>
      <c r="AB52" t="s">
        <v>94</v>
      </c>
      <c r="AC52" t="s">
        <v>60</v>
      </c>
      <c r="AD52" t="s">
        <v>61</v>
      </c>
      <c r="AE52">
        <v>4.2</v>
      </c>
      <c r="AF52">
        <v>4</v>
      </c>
      <c r="AG52">
        <v>0</v>
      </c>
      <c r="AH52" s="9">
        <v>40638</v>
      </c>
      <c r="AI52">
        <v>6</v>
      </c>
      <c r="AJ52">
        <v>25</v>
      </c>
      <c r="AK52">
        <v>1</v>
      </c>
      <c r="AL52">
        <v>14</v>
      </c>
      <c r="AM52">
        <f>IF(Cleaned_Data[[#This Row],[DateofTermination]]="","",YEAR(Cleaned_Data[[#This Row],[DateofTermination]]))</f>
        <v>2011</v>
      </c>
      <c r="AN52">
        <v>1</v>
      </c>
    </row>
    <row r="53" spans="1:40" x14ac:dyDescent="0.35">
      <c r="A53" t="s">
        <v>173</v>
      </c>
      <c r="B53">
        <v>10029</v>
      </c>
      <c r="C53">
        <v>1</v>
      </c>
      <c r="D53">
        <v>1</v>
      </c>
      <c r="E53">
        <v>1</v>
      </c>
      <c r="F53">
        <v>2</v>
      </c>
      <c r="G53">
        <v>5</v>
      </c>
      <c r="H53">
        <v>4</v>
      </c>
      <c r="I53">
        <v>0</v>
      </c>
      <c r="J53">
        <v>50373</v>
      </c>
      <c r="K53">
        <v>0</v>
      </c>
      <c r="L53">
        <v>19</v>
      </c>
      <c r="M53" t="s">
        <v>39</v>
      </c>
      <c r="N53" t="s">
        <v>40</v>
      </c>
      <c r="O53">
        <v>2134</v>
      </c>
      <c r="P53" s="9">
        <v>29061</v>
      </c>
      <c r="Q53" t="s">
        <v>41</v>
      </c>
      <c r="R53" t="s">
        <v>617</v>
      </c>
      <c r="S53" t="s">
        <v>55</v>
      </c>
      <c r="T53" t="s">
        <v>44</v>
      </c>
      <c r="U53" t="s">
        <v>45</v>
      </c>
      <c r="V53" t="s">
        <v>46</v>
      </c>
      <c r="W53" s="9">
        <v>42528</v>
      </c>
      <c r="X53" s="9"/>
      <c r="Y53" t="s">
        <v>47</v>
      </c>
      <c r="Z53" t="s">
        <v>48</v>
      </c>
      <c r="AA53" t="s">
        <v>495</v>
      </c>
      <c r="AB53" t="s">
        <v>86</v>
      </c>
      <c r="AC53" t="s">
        <v>625</v>
      </c>
      <c r="AD53" t="s">
        <v>52</v>
      </c>
      <c r="AE53">
        <v>4.0999999999999996</v>
      </c>
      <c r="AF53">
        <v>4</v>
      </c>
      <c r="AG53">
        <v>0</v>
      </c>
      <c r="AH53" s="9">
        <v>43524</v>
      </c>
      <c r="AI53">
        <v>5</v>
      </c>
      <c r="AJ53">
        <v>40</v>
      </c>
      <c r="AK53">
        <v>4</v>
      </c>
      <c r="AL53">
        <v>12</v>
      </c>
      <c r="AM53" t="str">
        <f>IF(Cleaned_Data[[#This Row],[DateofTermination]]="","",YEAR(Cleaned_Data[[#This Row],[DateofTermination]]))</f>
        <v/>
      </c>
      <c r="AN53">
        <v>1</v>
      </c>
    </row>
    <row r="54" spans="1:40" x14ac:dyDescent="0.35">
      <c r="A54" t="s">
        <v>174</v>
      </c>
      <c r="B54">
        <v>10261</v>
      </c>
      <c r="C54">
        <v>0</v>
      </c>
      <c r="D54">
        <v>0</v>
      </c>
      <c r="E54">
        <v>1</v>
      </c>
      <c r="F54">
        <v>1</v>
      </c>
      <c r="G54">
        <v>5</v>
      </c>
      <c r="H54">
        <v>3</v>
      </c>
      <c r="I54">
        <v>0</v>
      </c>
      <c r="J54">
        <v>63108</v>
      </c>
      <c r="K54">
        <v>0</v>
      </c>
      <c r="L54">
        <v>19</v>
      </c>
      <c r="M54" t="s">
        <v>39</v>
      </c>
      <c r="N54" t="s">
        <v>40</v>
      </c>
      <c r="O54">
        <v>2452</v>
      </c>
      <c r="P54" s="9">
        <v>30798</v>
      </c>
      <c r="Q54" t="s">
        <v>41</v>
      </c>
      <c r="R54" t="s">
        <v>617</v>
      </c>
      <c r="S54" t="s">
        <v>43</v>
      </c>
      <c r="T54" t="s">
        <v>44</v>
      </c>
      <c r="U54" t="s">
        <v>45</v>
      </c>
      <c r="V54" t="s">
        <v>46</v>
      </c>
      <c r="W54" s="9">
        <v>41493</v>
      </c>
      <c r="X54" s="9"/>
      <c r="Y54" t="s">
        <v>47</v>
      </c>
      <c r="Z54" t="s">
        <v>48</v>
      </c>
      <c r="AA54" t="s">
        <v>495</v>
      </c>
      <c r="AB54" t="s">
        <v>94</v>
      </c>
      <c r="AC54" t="s">
        <v>625</v>
      </c>
      <c r="AD54" t="s">
        <v>61</v>
      </c>
      <c r="AE54">
        <v>4.4000000000000004</v>
      </c>
      <c r="AF54">
        <v>5</v>
      </c>
      <c r="AG54">
        <v>0</v>
      </c>
      <c r="AH54" s="9">
        <v>43479</v>
      </c>
      <c r="AI54">
        <v>3</v>
      </c>
      <c r="AJ54">
        <v>36</v>
      </c>
      <c r="AK54">
        <v>6</v>
      </c>
      <c r="AL54">
        <v>14</v>
      </c>
      <c r="AM54" t="str">
        <f>IF(Cleaned_Data[[#This Row],[DateofTermination]]="","",YEAR(Cleaned_Data[[#This Row],[DateofTermination]]))</f>
        <v/>
      </c>
      <c r="AN54">
        <v>1</v>
      </c>
    </row>
    <row r="55" spans="1:40" x14ac:dyDescent="0.35">
      <c r="A55" t="s">
        <v>175</v>
      </c>
      <c r="B55">
        <v>10292</v>
      </c>
      <c r="C55">
        <v>0</v>
      </c>
      <c r="D55">
        <v>0</v>
      </c>
      <c r="E55">
        <v>1</v>
      </c>
      <c r="F55">
        <v>4</v>
      </c>
      <c r="G55">
        <v>5</v>
      </c>
      <c r="H55">
        <v>2</v>
      </c>
      <c r="I55">
        <v>0</v>
      </c>
      <c r="J55">
        <v>59144</v>
      </c>
      <c r="K55">
        <v>1</v>
      </c>
      <c r="L55">
        <v>19</v>
      </c>
      <c r="M55" t="s">
        <v>39</v>
      </c>
      <c r="N55" t="s">
        <v>40</v>
      </c>
      <c r="O55">
        <v>1880</v>
      </c>
      <c r="P55" s="9">
        <v>31942</v>
      </c>
      <c r="Q55" t="s">
        <v>41</v>
      </c>
      <c r="R55" t="s">
        <v>617</v>
      </c>
      <c r="S55" t="s">
        <v>43</v>
      </c>
      <c r="T55" t="s">
        <v>44</v>
      </c>
      <c r="U55" t="s">
        <v>45</v>
      </c>
      <c r="V55" t="s">
        <v>85</v>
      </c>
      <c r="W55" s="9">
        <v>40854</v>
      </c>
      <c r="X55" s="9">
        <v>42636</v>
      </c>
      <c r="Y55" t="s">
        <v>114</v>
      </c>
      <c r="Z55" t="s">
        <v>108</v>
      </c>
      <c r="AA55" t="s">
        <v>495</v>
      </c>
      <c r="AB55" t="s">
        <v>66</v>
      </c>
      <c r="AC55" t="s">
        <v>496</v>
      </c>
      <c r="AD55" t="s">
        <v>122</v>
      </c>
      <c r="AE55">
        <v>2</v>
      </c>
      <c r="AF55">
        <v>3</v>
      </c>
      <c r="AG55">
        <v>0</v>
      </c>
      <c r="AH55" s="9">
        <v>42374</v>
      </c>
      <c r="AI55">
        <v>16</v>
      </c>
      <c r="AJ55">
        <v>29</v>
      </c>
      <c r="AK55">
        <v>5</v>
      </c>
      <c r="AL55">
        <v>20</v>
      </c>
      <c r="AM55">
        <f>IF(Cleaned_Data[[#This Row],[DateofTermination]]="","",YEAR(Cleaned_Data[[#This Row],[DateofTermination]]))</f>
        <v>2016</v>
      </c>
      <c r="AN55">
        <v>1</v>
      </c>
    </row>
    <row r="56" spans="1:40" x14ac:dyDescent="0.35">
      <c r="A56" t="s">
        <v>176</v>
      </c>
      <c r="B56">
        <v>10282</v>
      </c>
      <c r="C56">
        <v>0</v>
      </c>
      <c r="D56">
        <v>2</v>
      </c>
      <c r="E56">
        <v>1</v>
      </c>
      <c r="F56">
        <v>1</v>
      </c>
      <c r="G56">
        <v>5</v>
      </c>
      <c r="H56">
        <v>2</v>
      </c>
      <c r="I56">
        <v>0</v>
      </c>
      <c r="J56">
        <v>68051</v>
      </c>
      <c r="K56">
        <v>0</v>
      </c>
      <c r="L56">
        <v>18</v>
      </c>
      <c r="M56" t="s">
        <v>133</v>
      </c>
      <c r="N56" t="s">
        <v>40</v>
      </c>
      <c r="O56">
        <v>1803</v>
      </c>
      <c r="P56" s="9">
        <v>28872</v>
      </c>
      <c r="Q56" t="s">
        <v>41</v>
      </c>
      <c r="R56" t="s">
        <v>617</v>
      </c>
      <c r="S56" t="s">
        <v>70</v>
      </c>
      <c r="T56" t="s">
        <v>44</v>
      </c>
      <c r="U56" t="s">
        <v>45</v>
      </c>
      <c r="V56" t="s">
        <v>46</v>
      </c>
      <c r="W56" s="9">
        <v>40379</v>
      </c>
      <c r="X56" s="9"/>
      <c r="Y56" t="s">
        <v>47</v>
      </c>
      <c r="Z56" t="s">
        <v>48</v>
      </c>
      <c r="AA56" t="s">
        <v>495</v>
      </c>
      <c r="AB56" t="s">
        <v>135</v>
      </c>
      <c r="AC56" t="s">
        <v>508</v>
      </c>
      <c r="AD56" t="s">
        <v>122</v>
      </c>
      <c r="AE56">
        <v>4.13</v>
      </c>
      <c r="AF56">
        <v>2</v>
      </c>
      <c r="AG56">
        <v>0</v>
      </c>
      <c r="AH56" s="9">
        <v>43479</v>
      </c>
      <c r="AI56">
        <v>3</v>
      </c>
      <c r="AJ56">
        <v>41</v>
      </c>
      <c r="AK56">
        <v>9</v>
      </c>
      <c r="AL56">
        <v>2</v>
      </c>
      <c r="AM56" t="str">
        <f>IF(Cleaned_Data[[#This Row],[DateofTermination]]="","",YEAR(Cleaned_Data[[#This Row],[DateofTermination]]))</f>
        <v/>
      </c>
      <c r="AN56">
        <v>1</v>
      </c>
    </row>
    <row r="57" spans="1:40" x14ac:dyDescent="0.35">
      <c r="A57" t="s">
        <v>177</v>
      </c>
      <c r="B57">
        <v>10019</v>
      </c>
      <c r="C57">
        <v>0</v>
      </c>
      <c r="D57">
        <v>0</v>
      </c>
      <c r="E57">
        <v>1</v>
      </c>
      <c r="F57">
        <v>1</v>
      </c>
      <c r="G57">
        <v>5</v>
      </c>
      <c r="H57">
        <v>4</v>
      </c>
      <c r="I57">
        <v>0</v>
      </c>
      <c r="J57">
        <v>170500</v>
      </c>
      <c r="K57">
        <v>0</v>
      </c>
      <c r="L57">
        <v>10</v>
      </c>
      <c r="M57" t="s">
        <v>518</v>
      </c>
      <c r="N57" t="s">
        <v>40</v>
      </c>
      <c r="O57">
        <v>2030</v>
      </c>
      <c r="P57" s="9">
        <v>28120</v>
      </c>
      <c r="Q57" t="s">
        <v>41</v>
      </c>
      <c r="R57" t="s">
        <v>617</v>
      </c>
      <c r="S57" t="s">
        <v>43</v>
      </c>
      <c r="T57" t="s">
        <v>44</v>
      </c>
      <c r="U57" t="s">
        <v>45</v>
      </c>
      <c r="V57" t="s">
        <v>85</v>
      </c>
      <c r="W57" s="9">
        <v>39934</v>
      </c>
      <c r="X57" s="9"/>
      <c r="Y57" t="s">
        <v>47</v>
      </c>
      <c r="Z57" t="s">
        <v>48</v>
      </c>
      <c r="AA57" t="s">
        <v>495</v>
      </c>
      <c r="AB57" t="s">
        <v>135</v>
      </c>
      <c r="AC57" t="s">
        <v>60</v>
      </c>
      <c r="AD57" t="s">
        <v>52</v>
      </c>
      <c r="AE57">
        <v>3.7</v>
      </c>
      <c r="AF57">
        <v>5</v>
      </c>
      <c r="AG57">
        <v>0</v>
      </c>
      <c r="AH57" s="9">
        <v>43557</v>
      </c>
      <c r="AI57">
        <v>15</v>
      </c>
      <c r="AJ57">
        <v>43</v>
      </c>
      <c r="AK57">
        <v>11</v>
      </c>
      <c r="AL57">
        <v>2</v>
      </c>
      <c r="AM57" t="str">
        <f>IF(Cleaned_Data[[#This Row],[DateofTermination]]="","",YEAR(Cleaned_Data[[#This Row],[DateofTermination]]))</f>
        <v/>
      </c>
      <c r="AN57">
        <v>1</v>
      </c>
    </row>
    <row r="58" spans="1:40" x14ac:dyDescent="0.35">
      <c r="A58" t="s">
        <v>519</v>
      </c>
      <c r="B58">
        <v>10094</v>
      </c>
      <c r="C58">
        <v>1</v>
      </c>
      <c r="D58">
        <v>1</v>
      </c>
      <c r="E58">
        <v>0</v>
      </c>
      <c r="F58">
        <v>1</v>
      </c>
      <c r="G58">
        <v>5</v>
      </c>
      <c r="H58">
        <v>3</v>
      </c>
      <c r="I58">
        <v>0</v>
      </c>
      <c r="J58">
        <v>63381</v>
      </c>
      <c r="K58">
        <v>0</v>
      </c>
      <c r="L58">
        <v>19</v>
      </c>
      <c r="M58" t="s">
        <v>39</v>
      </c>
      <c r="N58" t="s">
        <v>40</v>
      </c>
      <c r="O58">
        <v>2189</v>
      </c>
      <c r="P58" s="9">
        <v>30038</v>
      </c>
      <c r="Q58" t="s">
        <v>41</v>
      </c>
      <c r="R58" t="s">
        <v>618</v>
      </c>
      <c r="S58" t="s">
        <v>55</v>
      </c>
      <c r="T58" t="s">
        <v>44</v>
      </c>
      <c r="U58" t="s">
        <v>92</v>
      </c>
      <c r="V58" t="s">
        <v>46</v>
      </c>
      <c r="W58" s="9">
        <v>42125</v>
      </c>
      <c r="X58" s="9"/>
      <c r="Y58" t="s">
        <v>47</v>
      </c>
      <c r="Z58" t="s">
        <v>48</v>
      </c>
      <c r="AA58" t="s">
        <v>495</v>
      </c>
      <c r="AB58" t="s">
        <v>103</v>
      </c>
      <c r="AC58" t="s">
        <v>60</v>
      </c>
      <c r="AD58" t="s">
        <v>61</v>
      </c>
      <c r="AE58">
        <v>4.7300000000000004</v>
      </c>
      <c r="AF58">
        <v>5</v>
      </c>
      <c r="AG58">
        <v>0</v>
      </c>
      <c r="AH58" s="9">
        <v>43510</v>
      </c>
      <c r="AI58">
        <v>6</v>
      </c>
      <c r="AJ58">
        <v>38</v>
      </c>
      <c r="AK58">
        <v>5</v>
      </c>
      <c r="AL58">
        <v>18</v>
      </c>
      <c r="AM58" t="str">
        <f>IF(Cleaned_Data[[#This Row],[DateofTermination]]="","",YEAR(Cleaned_Data[[#This Row],[DateofTermination]]))</f>
        <v/>
      </c>
      <c r="AN58">
        <v>1</v>
      </c>
    </row>
    <row r="59" spans="1:40" x14ac:dyDescent="0.35">
      <c r="A59" t="s">
        <v>180</v>
      </c>
      <c r="B59">
        <v>10193</v>
      </c>
      <c r="C59">
        <v>1</v>
      </c>
      <c r="D59">
        <v>1</v>
      </c>
      <c r="E59">
        <v>1</v>
      </c>
      <c r="F59">
        <v>1</v>
      </c>
      <c r="G59">
        <v>3</v>
      </c>
      <c r="H59">
        <v>3</v>
      </c>
      <c r="I59">
        <v>0</v>
      </c>
      <c r="J59">
        <v>83552</v>
      </c>
      <c r="K59">
        <v>0</v>
      </c>
      <c r="L59">
        <v>9</v>
      </c>
      <c r="M59" t="s">
        <v>99</v>
      </c>
      <c r="N59" t="s">
        <v>40</v>
      </c>
      <c r="O59">
        <v>1810</v>
      </c>
      <c r="P59" s="9">
        <v>26709</v>
      </c>
      <c r="Q59" t="s">
        <v>41</v>
      </c>
      <c r="R59" t="s">
        <v>617</v>
      </c>
      <c r="S59" t="s">
        <v>55</v>
      </c>
      <c r="T59" t="s">
        <v>44</v>
      </c>
      <c r="U59" t="s">
        <v>45</v>
      </c>
      <c r="V59" t="s">
        <v>46</v>
      </c>
      <c r="W59" s="9">
        <v>42093</v>
      </c>
      <c r="X59" s="9"/>
      <c r="Y59" t="s">
        <v>47</v>
      </c>
      <c r="Z59" t="s">
        <v>48</v>
      </c>
      <c r="AA59" t="s">
        <v>499</v>
      </c>
      <c r="AB59" t="s">
        <v>59</v>
      </c>
      <c r="AC59" t="s">
        <v>60</v>
      </c>
      <c r="AD59" t="s">
        <v>61</v>
      </c>
      <c r="AE59">
        <v>3.04</v>
      </c>
      <c r="AF59">
        <v>3</v>
      </c>
      <c r="AG59">
        <v>6</v>
      </c>
      <c r="AH59" s="9">
        <v>43487</v>
      </c>
      <c r="AI59">
        <v>2</v>
      </c>
      <c r="AJ59">
        <v>47</v>
      </c>
      <c r="AK59">
        <v>5</v>
      </c>
      <c r="AL59">
        <v>4</v>
      </c>
      <c r="AM59" t="str">
        <f>IF(Cleaned_Data[[#This Row],[DateofTermination]]="","",YEAR(Cleaned_Data[[#This Row],[DateofTermination]]))</f>
        <v/>
      </c>
      <c r="AN59">
        <v>1</v>
      </c>
    </row>
    <row r="60" spans="1:40" x14ac:dyDescent="0.35">
      <c r="A60" t="s">
        <v>181</v>
      </c>
      <c r="B60">
        <v>10132</v>
      </c>
      <c r="C60">
        <v>0</v>
      </c>
      <c r="D60">
        <v>0</v>
      </c>
      <c r="E60">
        <v>0</v>
      </c>
      <c r="F60">
        <v>2</v>
      </c>
      <c r="G60">
        <v>5</v>
      </c>
      <c r="H60">
        <v>3</v>
      </c>
      <c r="I60">
        <v>0</v>
      </c>
      <c r="J60">
        <v>56149</v>
      </c>
      <c r="K60">
        <v>0</v>
      </c>
      <c r="L60">
        <v>19</v>
      </c>
      <c r="M60" t="s">
        <v>39</v>
      </c>
      <c r="N60" t="s">
        <v>40</v>
      </c>
      <c r="O60">
        <v>1821</v>
      </c>
      <c r="P60" s="9">
        <v>31918</v>
      </c>
      <c r="Q60" t="s">
        <v>41</v>
      </c>
      <c r="R60" t="s">
        <v>618</v>
      </c>
      <c r="S60" t="s">
        <v>43</v>
      </c>
      <c r="T60" t="s">
        <v>44</v>
      </c>
      <c r="U60" t="s">
        <v>45</v>
      </c>
      <c r="V60" t="s">
        <v>46</v>
      </c>
      <c r="W60" s="9">
        <v>42528</v>
      </c>
      <c r="X60" s="9"/>
      <c r="Y60" t="s">
        <v>47</v>
      </c>
      <c r="Z60" t="s">
        <v>48</v>
      </c>
      <c r="AA60" t="s">
        <v>495</v>
      </c>
      <c r="AB60" t="s">
        <v>50</v>
      </c>
      <c r="AC60" t="s">
        <v>496</v>
      </c>
      <c r="AD60" t="s">
        <v>61</v>
      </c>
      <c r="AE60">
        <v>4.12</v>
      </c>
      <c r="AF60">
        <v>5</v>
      </c>
      <c r="AG60">
        <v>0</v>
      </c>
      <c r="AH60" s="9">
        <v>43493</v>
      </c>
      <c r="AI60">
        <v>15</v>
      </c>
      <c r="AJ60">
        <v>33</v>
      </c>
      <c r="AK60">
        <v>4</v>
      </c>
      <c r="AL60">
        <v>22</v>
      </c>
      <c r="AM60" t="str">
        <f>IF(Cleaned_Data[[#This Row],[DateofTermination]]="","",YEAR(Cleaned_Data[[#This Row],[DateofTermination]]))</f>
        <v/>
      </c>
      <c r="AN60">
        <v>1</v>
      </c>
    </row>
    <row r="61" spans="1:40" x14ac:dyDescent="0.35">
      <c r="A61" t="s">
        <v>182</v>
      </c>
      <c r="B61">
        <v>10083</v>
      </c>
      <c r="C61">
        <v>0</v>
      </c>
      <c r="D61">
        <v>0</v>
      </c>
      <c r="E61">
        <v>1</v>
      </c>
      <c r="F61">
        <v>1</v>
      </c>
      <c r="G61">
        <v>3</v>
      </c>
      <c r="H61">
        <v>3</v>
      </c>
      <c r="I61">
        <v>0</v>
      </c>
      <c r="J61">
        <v>92329</v>
      </c>
      <c r="K61">
        <v>0</v>
      </c>
      <c r="L61">
        <v>28</v>
      </c>
      <c r="M61" t="s">
        <v>183</v>
      </c>
      <c r="N61" t="s">
        <v>126</v>
      </c>
      <c r="O61">
        <v>6278</v>
      </c>
      <c r="P61" s="9">
        <v>33833</v>
      </c>
      <c r="Q61" t="s">
        <v>41</v>
      </c>
      <c r="R61" t="s">
        <v>617</v>
      </c>
      <c r="S61" t="s">
        <v>43</v>
      </c>
      <c r="T61" t="s">
        <v>44</v>
      </c>
      <c r="U61" t="s">
        <v>45</v>
      </c>
      <c r="V61" t="s">
        <v>46</v>
      </c>
      <c r="W61" s="9">
        <v>41923</v>
      </c>
      <c r="X61" s="9"/>
      <c r="Y61" t="s">
        <v>47</v>
      </c>
      <c r="Z61" t="s">
        <v>48</v>
      </c>
      <c r="AA61" t="s">
        <v>499</v>
      </c>
      <c r="AB61" t="s">
        <v>90</v>
      </c>
      <c r="AC61" t="s">
        <v>625</v>
      </c>
      <c r="AD61" t="s">
        <v>61</v>
      </c>
      <c r="AE61">
        <v>5</v>
      </c>
      <c r="AF61">
        <v>3</v>
      </c>
      <c r="AG61">
        <v>4</v>
      </c>
      <c r="AH61" s="9">
        <v>43497</v>
      </c>
      <c r="AI61">
        <v>5</v>
      </c>
      <c r="AJ61">
        <v>27</v>
      </c>
      <c r="AK61">
        <v>5</v>
      </c>
      <c r="AL61">
        <v>7</v>
      </c>
      <c r="AM61" t="str">
        <f>IF(Cleaned_Data[[#This Row],[DateofTermination]]="","",YEAR(Cleaned_Data[[#This Row],[DateofTermination]]))</f>
        <v/>
      </c>
      <c r="AN61">
        <v>1</v>
      </c>
    </row>
    <row r="62" spans="1:40" x14ac:dyDescent="0.35">
      <c r="A62" t="s">
        <v>184</v>
      </c>
      <c r="B62">
        <v>10099</v>
      </c>
      <c r="C62">
        <v>0</v>
      </c>
      <c r="D62">
        <v>0</v>
      </c>
      <c r="E62">
        <v>0</v>
      </c>
      <c r="F62">
        <v>1</v>
      </c>
      <c r="G62">
        <v>6</v>
      </c>
      <c r="H62">
        <v>3</v>
      </c>
      <c r="I62">
        <v>0</v>
      </c>
      <c r="J62">
        <v>65729</v>
      </c>
      <c r="K62">
        <v>0</v>
      </c>
      <c r="L62">
        <v>21</v>
      </c>
      <c r="M62" t="s">
        <v>185</v>
      </c>
      <c r="N62" t="s">
        <v>157</v>
      </c>
      <c r="O62">
        <v>5473</v>
      </c>
      <c r="P62" s="9">
        <v>25682</v>
      </c>
      <c r="Q62" t="s">
        <v>41</v>
      </c>
      <c r="R62" t="s">
        <v>618</v>
      </c>
      <c r="S62" t="s">
        <v>43</v>
      </c>
      <c r="T62" t="s">
        <v>44</v>
      </c>
      <c r="U62" t="s">
        <v>45</v>
      </c>
      <c r="V62" t="s">
        <v>46</v>
      </c>
      <c r="W62" s="9">
        <v>41764</v>
      </c>
      <c r="X62" s="9"/>
      <c r="Y62" t="s">
        <v>47</v>
      </c>
      <c r="Z62" t="s">
        <v>48</v>
      </c>
      <c r="AA62" t="s">
        <v>145</v>
      </c>
      <c r="AB62" t="s">
        <v>186</v>
      </c>
      <c r="AC62" t="s">
        <v>60</v>
      </c>
      <c r="AD62" t="s">
        <v>61</v>
      </c>
      <c r="AE62">
        <v>4.62</v>
      </c>
      <c r="AF62">
        <v>4</v>
      </c>
      <c r="AG62">
        <v>0</v>
      </c>
      <c r="AH62" s="9">
        <v>43489</v>
      </c>
      <c r="AI62">
        <v>8</v>
      </c>
      <c r="AJ62">
        <v>50</v>
      </c>
      <c r="AK62">
        <v>6</v>
      </c>
      <c r="AL62">
        <v>15</v>
      </c>
      <c r="AM62" t="str">
        <f>IF(Cleaned_Data[[#This Row],[DateofTermination]]="","",YEAR(Cleaned_Data[[#This Row],[DateofTermination]]))</f>
        <v/>
      </c>
      <c r="AN62">
        <v>1</v>
      </c>
    </row>
    <row r="63" spans="1:40" x14ac:dyDescent="0.35">
      <c r="A63" t="s">
        <v>520</v>
      </c>
      <c r="B63">
        <v>10212</v>
      </c>
      <c r="C63">
        <v>1</v>
      </c>
      <c r="D63">
        <v>1</v>
      </c>
      <c r="E63">
        <v>0</v>
      </c>
      <c r="F63">
        <v>3</v>
      </c>
      <c r="G63">
        <v>3</v>
      </c>
      <c r="H63">
        <v>3</v>
      </c>
      <c r="I63">
        <v>0</v>
      </c>
      <c r="J63">
        <v>85028</v>
      </c>
      <c r="K63">
        <v>0</v>
      </c>
      <c r="L63">
        <v>28</v>
      </c>
      <c r="M63" t="s">
        <v>183</v>
      </c>
      <c r="N63" t="s">
        <v>126</v>
      </c>
      <c r="O63">
        <v>6033</v>
      </c>
      <c r="P63" s="9">
        <v>29329</v>
      </c>
      <c r="Q63" t="s">
        <v>41</v>
      </c>
      <c r="R63" t="s">
        <v>618</v>
      </c>
      <c r="S63" t="s">
        <v>55</v>
      </c>
      <c r="T63" t="s">
        <v>44</v>
      </c>
      <c r="U63" t="s">
        <v>45</v>
      </c>
      <c r="V63" t="s">
        <v>46</v>
      </c>
      <c r="W63" s="9">
        <v>41923</v>
      </c>
      <c r="X63" s="9"/>
      <c r="Y63" t="s">
        <v>47</v>
      </c>
      <c r="Z63" t="s">
        <v>48</v>
      </c>
      <c r="AA63" t="s">
        <v>499</v>
      </c>
      <c r="AB63" t="s">
        <v>90</v>
      </c>
      <c r="AC63" t="s">
        <v>496</v>
      </c>
      <c r="AD63" t="s">
        <v>61</v>
      </c>
      <c r="AE63">
        <v>3.1</v>
      </c>
      <c r="AF63">
        <v>5</v>
      </c>
      <c r="AG63">
        <v>8</v>
      </c>
      <c r="AH63" s="9">
        <v>43801</v>
      </c>
      <c r="AI63">
        <v>19</v>
      </c>
      <c r="AJ63">
        <v>40</v>
      </c>
      <c r="AK63">
        <v>5</v>
      </c>
      <c r="AL63">
        <v>7</v>
      </c>
      <c r="AM63" t="str">
        <f>IF(Cleaned_Data[[#This Row],[DateofTermination]]="","",YEAR(Cleaned_Data[[#This Row],[DateofTermination]]))</f>
        <v/>
      </c>
      <c r="AN63">
        <v>1</v>
      </c>
    </row>
    <row r="64" spans="1:40" x14ac:dyDescent="0.35">
      <c r="A64" t="s">
        <v>521</v>
      </c>
      <c r="B64">
        <v>10056</v>
      </c>
      <c r="C64">
        <v>1</v>
      </c>
      <c r="D64">
        <v>1</v>
      </c>
      <c r="E64">
        <v>0</v>
      </c>
      <c r="F64">
        <v>1</v>
      </c>
      <c r="G64">
        <v>5</v>
      </c>
      <c r="H64">
        <v>3</v>
      </c>
      <c r="I64">
        <v>0</v>
      </c>
      <c r="J64">
        <v>57583</v>
      </c>
      <c r="K64">
        <v>0</v>
      </c>
      <c r="L64">
        <v>19</v>
      </c>
      <c r="M64" t="s">
        <v>39</v>
      </c>
      <c r="N64" t="s">
        <v>40</v>
      </c>
      <c r="O64">
        <v>2110</v>
      </c>
      <c r="P64" s="9">
        <v>25683</v>
      </c>
      <c r="Q64" t="s">
        <v>41</v>
      </c>
      <c r="R64" t="s">
        <v>618</v>
      </c>
      <c r="S64" t="s">
        <v>55</v>
      </c>
      <c r="T64" t="s">
        <v>44</v>
      </c>
      <c r="U64" t="s">
        <v>45</v>
      </c>
      <c r="V64" t="s">
        <v>46</v>
      </c>
      <c r="W64" s="9">
        <v>40946</v>
      </c>
      <c r="X64" s="9"/>
      <c r="Y64" t="s">
        <v>47</v>
      </c>
      <c r="Z64" t="s">
        <v>48</v>
      </c>
      <c r="AA64" t="s">
        <v>495</v>
      </c>
      <c r="AB64" t="s">
        <v>68</v>
      </c>
      <c r="AC64" t="s">
        <v>60</v>
      </c>
      <c r="AD64" t="s">
        <v>61</v>
      </c>
      <c r="AE64">
        <v>5</v>
      </c>
      <c r="AF64">
        <v>3</v>
      </c>
      <c r="AG64">
        <v>0</v>
      </c>
      <c r="AH64" s="9">
        <v>43521</v>
      </c>
      <c r="AI64">
        <v>1</v>
      </c>
      <c r="AJ64">
        <v>50</v>
      </c>
      <c r="AK64">
        <v>8</v>
      </c>
      <c r="AL64">
        <v>16</v>
      </c>
      <c r="AM64" t="str">
        <f>IF(Cleaned_Data[[#This Row],[DateofTermination]]="","",YEAR(Cleaned_Data[[#This Row],[DateofTermination]]))</f>
        <v/>
      </c>
      <c r="AN64">
        <v>1</v>
      </c>
    </row>
    <row r="65" spans="1:40" x14ac:dyDescent="0.35">
      <c r="A65" t="s">
        <v>189</v>
      </c>
      <c r="B65">
        <v>10143</v>
      </c>
      <c r="C65">
        <v>0</v>
      </c>
      <c r="D65">
        <v>0</v>
      </c>
      <c r="E65">
        <v>1</v>
      </c>
      <c r="F65">
        <v>1</v>
      </c>
      <c r="G65">
        <v>5</v>
      </c>
      <c r="H65">
        <v>3</v>
      </c>
      <c r="I65">
        <v>0</v>
      </c>
      <c r="J65">
        <v>56294</v>
      </c>
      <c r="K65">
        <v>0</v>
      </c>
      <c r="L65">
        <v>20</v>
      </c>
      <c r="M65" t="s">
        <v>500</v>
      </c>
      <c r="N65" t="s">
        <v>40</v>
      </c>
      <c r="O65">
        <v>2458</v>
      </c>
      <c r="P65" s="9">
        <v>30403</v>
      </c>
      <c r="Q65" t="s">
        <v>41</v>
      </c>
      <c r="R65" t="s">
        <v>617</v>
      </c>
      <c r="S65" t="s">
        <v>43</v>
      </c>
      <c r="T65" t="s">
        <v>111</v>
      </c>
      <c r="U65" t="s">
        <v>45</v>
      </c>
      <c r="V65" t="s">
        <v>102</v>
      </c>
      <c r="W65" s="9">
        <v>40735</v>
      </c>
      <c r="X65" s="9"/>
      <c r="Y65" t="s">
        <v>47</v>
      </c>
      <c r="Z65" t="s">
        <v>48</v>
      </c>
      <c r="AA65" t="s">
        <v>495</v>
      </c>
      <c r="AB65" t="s">
        <v>66</v>
      </c>
      <c r="AC65" t="s">
        <v>496</v>
      </c>
      <c r="AD65" t="s">
        <v>61</v>
      </c>
      <c r="AE65">
        <v>3.96</v>
      </c>
      <c r="AF65">
        <v>4</v>
      </c>
      <c r="AG65">
        <v>0</v>
      </c>
      <c r="AH65" s="9">
        <v>43523</v>
      </c>
      <c r="AI65">
        <v>6</v>
      </c>
      <c r="AJ65">
        <v>37</v>
      </c>
      <c r="AK65">
        <v>8</v>
      </c>
      <c r="AL65">
        <v>20</v>
      </c>
      <c r="AM65" t="str">
        <f>IF(Cleaned_Data[[#This Row],[DateofTermination]]="","",YEAR(Cleaned_Data[[#This Row],[DateofTermination]]))</f>
        <v/>
      </c>
      <c r="AN65">
        <v>1</v>
      </c>
    </row>
    <row r="66" spans="1:40" x14ac:dyDescent="0.35">
      <c r="A66" t="s">
        <v>190</v>
      </c>
      <c r="B66">
        <v>10311</v>
      </c>
      <c r="C66">
        <v>1</v>
      </c>
      <c r="D66">
        <v>1</v>
      </c>
      <c r="E66">
        <v>1</v>
      </c>
      <c r="F66">
        <v>1</v>
      </c>
      <c r="G66">
        <v>6</v>
      </c>
      <c r="H66">
        <v>1</v>
      </c>
      <c r="I66">
        <v>0</v>
      </c>
      <c r="J66">
        <v>56991</v>
      </c>
      <c r="K66">
        <v>0</v>
      </c>
      <c r="L66">
        <v>19</v>
      </c>
      <c r="M66" t="s">
        <v>39</v>
      </c>
      <c r="N66" t="s">
        <v>40</v>
      </c>
      <c r="O66">
        <v>2138</v>
      </c>
      <c r="P66" s="9">
        <v>31374</v>
      </c>
      <c r="Q66" t="s">
        <v>41</v>
      </c>
      <c r="R66" t="s">
        <v>617</v>
      </c>
      <c r="S66" t="s">
        <v>55</v>
      </c>
      <c r="T66" t="s">
        <v>44</v>
      </c>
      <c r="U66" t="s">
        <v>45</v>
      </c>
      <c r="V66" t="s">
        <v>46</v>
      </c>
      <c r="W66" s="9">
        <v>43350</v>
      </c>
      <c r="X66" s="9"/>
      <c r="Y66" t="s">
        <v>47</v>
      </c>
      <c r="Z66" t="s">
        <v>48</v>
      </c>
      <c r="AA66" t="s">
        <v>495</v>
      </c>
      <c r="AB66" t="s">
        <v>86</v>
      </c>
      <c r="AC66" t="s">
        <v>60</v>
      </c>
      <c r="AD66" t="s">
        <v>61</v>
      </c>
      <c r="AE66">
        <v>4.3</v>
      </c>
      <c r="AF66">
        <v>4</v>
      </c>
      <c r="AG66">
        <v>3</v>
      </c>
      <c r="AH66" s="9">
        <v>43496</v>
      </c>
      <c r="AI66">
        <v>2</v>
      </c>
      <c r="AJ66">
        <v>34</v>
      </c>
      <c r="AK66">
        <v>1</v>
      </c>
      <c r="AL66">
        <v>12</v>
      </c>
      <c r="AM66" t="str">
        <f>IF(Cleaned_Data[[#This Row],[DateofTermination]]="","",YEAR(Cleaned_Data[[#This Row],[DateofTermination]]))</f>
        <v/>
      </c>
      <c r="AN66">
        <v>1</v>
      </c>
    </row>
    <row r="67" spans="1:40" x14ac:dyDescent="0.35">
      <c r="A67" t="s">
        <v>522</v>
      </c>
      <c r="B67">
        <v>10070</v>
      </c>
      <c r="C67">
        <v>1</v>
      </c>
      <c r="D67">
        <v>1</v>
      </c>
      <c r="E67">
        <v>1</v>
      </c>
      <c r="F67">
        <v>5</v>
      </c>
      <c r="G67">
        <v>5</v>
      </c>
      <c r="H67">
        <v>3</v>
      </c>
      <c r="I67">
        <v>0</v>
      </c>
      <c r="J67">
        <v>55722</v>
      </c>
      <c r="K67">
        <v>1</v>
      </c>
      <c r="L67">
        <v>19</v>
      </c>
      <c r="M67" t="s">
        <v>39</v>
      </c>
      <c r="N67" t="s">
        <v>40</v>
      </c>
      <c r="O67">
        <v>1810</v>
      </c>
      <c r="P67" s="9">
        <v>29494</v>
      </c>
      <c r="Q67" t="s">
        <v>41</v>
      </c>
      <c r="R67" t="s">
        <v>617</v>
      </c>
      <c r="S67" t="s">
        <v>55</v>
      </c>
      <c r="T67" t="s">
        <v>44</v>
      </c>
      <c r="U67" t="s">
        <v>45</v>
      </c>
      <c r="V67" t="s">
        <v>46</v>
      </c>
      <c r="W67" s="9">
        <v>40679</v>
      </c>
      <c r="X67" s="9">
        <v>42588</v>
      </c>
      <c r="Y67" t="s">
        <v>97</v>
      </c>
      <c r="Z67" t="s">
        <v>57</v>
      </c>
      <c r="AA67" t="s">
        <v>495</v>
      </c>
      <c r="AB67" t="s">
        <v>72</v>
      </c>
      <c r="AC67" t="s">
        <v>60</v>
      </c>
      <c r="AD67" t="s">
        <v>61</v>
      </c>
      <c r="AE67">
        <v>5</v>
      </c>
      <c r="AF67">
        <v>4</v>
      </c>
      <c r="AG67">
        <v>0</v>
      </c>
      <c r="AH67" s="9">
        <v>42404</v>
      </c>
      <c r="AI67">
        <v>14</v>
      </c>
      <c r="AJ67">
        <v>36</v>
      </c>
      <c r="AK67">
        <v>5</v>
      </c>
      <c r="AL67">
        <v>39</v>
      </c>
      <c r="AM67">
        <f>IF(Cleaned_Data[[#This Row],[DateofTermination]]="","",YEAR(Cleaned_Data[[#This Row],[DateofTermination]]))</f>
        <v>2016</v>
      </c>
      <c r="AN67">
        <v>1</v>
      </c>
    </row>
    <row r="68" spans="1:40" x14ac:dyDescent="0.35">
      <c r="A68" t="s">
        <v>192</v>
      </c>
      <c r="B68">
        <v>10155</v>
      </c>
      <c r="C68">
        <v>0</v>
      </c>
      <c r="D68">
        <v>0</v>
      </c>
      <c r="E68">
        <v>0</v>
      </c>
      <c r="F68">
        <v>1</v>
      </c>
      <c r="G68">
        <v>4</v>
      </c>
      <c r="H68">
        <v>3</v>
      </c>
      <c r="I68">
        <v>0</v>
      </c>
      <c r="J68">
        <v>101199</v>
      </c>
      <c r="K68">
        <v>0</v>
      </c>
      <c r="L68">
        <v>24</v>
      </c>
      <c r="M68" t="s">
        <v>77</v>
      </c>
      <c r="N68" t="s">
        <v>40</v>
      </c>
      <c r="O68">
        <v>2176</v>
      </c>
      <c r="P68" s="9">
        <v>29183</v>
      </c>
      <c r="Q68" t="s">
        <v>41</v>
      </c>
      <c r="R68" t="s">
        <v>618</v>
      </c>
      <c r="S68" t="s">
        <v>43</v>
      </c>
      <c r="T68" t="s">
        <v>44</v>
      </c>
      <c r="U68" t="s">
        <v>45</v>
      </c>
      <c r="V68" t="s">
        <v>85</v>
      </c>
      <c r="W68" s="9">
        <v>41153</v>
      </c>
      <c r="X68" s="9"/>
      <c r="Y68" t="s">
        <v>47</v>
      </c>
      <c r="Z68" t="s">
        <v>48</v>
      </c>
      <c r="AA68" t="s">
        <v>78</v>
      </c>
      <c r="AB68" t="s">
        <v>79</v>
      </c>
      <c r="AC68" t="s">
        <v>508</v>
      </c>
      <c r="AD68" t="s">
        <v>61</v>
      </c>
      <c r="AE68">
        <v>3.79</v>
      </c>
      <c r="AF68">
        <v>5</v>
      </c>
      <c r="AG68">
        <v>5</v>
      </c>
      <c r="AH68" s="9">
        <v>43490</v>
      </c>
      <c r="AI68">
        <v>8</v>
      </c>
      <c r="AJ68">
        <v>40</v>
      </c>
      <c r="AK68">
        <v>7</v>
      </c>
      <c r="AL68">
        <v>10</v>
      </c>
      <c r="AM68" t="str">
        <f>IF(Cleaned_Data[[#This Row],[DateofTermination]]="","",YEAR(Cleaned_Data[[#This Row],[DateofTermination]]))</f>
        <v/>
      </c>
      <c r="AN68">
        <v>1</v>
      </c>
    </row>
    <row r="69" spans="1:40" x14ac:dyDescent="0.35">
      <c r="A69" t="s">
        <v>193</v>
      </c>
      <c r="B69">
        <v>10306</v>
      </c>
      <c r="C69">
        <v>0</v>
      </c>
      <c r="D69">
        <v>0</v>
      </c>
      <c r="E69">
        <v>1</v>
      </c>
      <c r="F69">
        <v>1</v>
      </c>
      <c r="G69">
        <v>6</v>
      </c>
      <c r="H69">
        <v>1</v>
      </c>
      <c r="I69">
        <v>0</v>
      </c>
      <c r="J69">
        <v>61568</v>
      </c>
      <c r="K69">
        <v>0</v>
      </c>
      <c r="L69">
        <v>3</v>
      </c>
      <c r="M69" t="s">
        <v>143</v>
      </c>
      <c r="N69" t="s">
        <v>194</v>
      </c>
      <c r="O69">
        <v>36006</v>
      </c>
      <c r="P69" s="9">
        <v>32707</v>
      </c>
      <c r="Q69" t="s">
        <v>41</v>
      </c>
      <c r="R69" t="s">
        <v>617</v>
      </c>
      <c r="S69" t="s">
        <v>43</v>
      </c>
      <c r="T69" t="s">
        <v>44</v>
      </c>
      <c r="U69" t="s">
        <v>45</v>
      </c>
      <c r="V69" t="s">
        <v>102</v>
      </c>
      <c r="W69" s="9">
        <v>41911</v>
      </c>
      <c r="X69" s="9"/>
      <c r="Y69" t="s">
        <v>47</v>
      </c>
      <c r="Z69" t="s">
        <v>48</v>
      </c>
      <c r="AA69" t="s">
        <v>145</v>
      </c>
      <c r="AB69" t="s">
        <v>146</v>
      </c>
      <c r="AC69" t="s">
        <v>60</v>
      </c>
      <c r="AD69" t="s">
        <v>195</v>
      </c>
      <c r="AE69">
        <v>1.93</v>
      </c>
      <c r="AF69">
        <v>3</v>
      </c>
      <c r="AG69">
        <v>0</v>
      </c>
      <c r="AH69" s="9">
        <v>43495</v>
      </c>
      <c r="AI69">
        <v>5</v>
      </c>
      <c r="AJ69">
        <v>30</v>
      </c>
      <c r="AK69">
        <v>5</v>
      </c>
      <c r="AL69">
        <v>17</v>
      </c>
      <c r="AM69" t="str">
        <f>IF(Cleaned_Data[[#This Row],[DateofTermination]]="","",YEAR(Cleaned_Data[[#This Row],[DateofTermination]]))</f>
        <v/>
      </c>
      <c r="AN69">
        <v>1</v>
      </c>
    </row>
    <row r="70" spans="1:40" x14ac:dyDescent="0.35">
      <c r="A70" t="s">
        <v>196</v>
      </c>
      <c r="B70">
        <v>10100</v>
      </c>
      <c r="C70">
        <v>0</v>
      </c>
      <c r="D70">
        <v>3</v>
      </c>
      <c r="E70">
        <v>0</v>
      </c>
      <c r="F70">
        <v>5</v>
      </c>
      <c r="G70">
        <v>5</v>
      </c>
      <c r="H70">
        <v>3</v>
      </c>
      <c r="I70">
        <v>0</v>
      </c>
      <c r="J70">
        <v>58275</v>
      </c>
      <c r="K70">
        <v>1</v>
      </c>
      <c r="L70">
        <v>20</v>
      </c>
      <c r="M70" t="s">
        <v>500</v>
      </c>
      <c r="N70" t="s">
        <v>40</v>
      </c>
      <c r="O70">
        <v>2343</v>
      </c>
      <c r="P70" s="9">
        <v>31613</v>
      </c>
      <c r="Q70" t="s">
        <v>41</v>
      </c>
      <c r="R70" t="s">
        <v>618</v>
      </c>
      <c r="S70" t="s">
        <v>141</v>
      </c>
      <c r="T70" t="s">
        <v>44</v>
      </c>
      <c r="U70" t="s">
        <v>45</v>
      </c>
      <c r="V70" t="s">
        <v>85</v>
      </c>
      <c r="W70" s="9">
        <v>40637</v>
      </c>
      <c r="X70" s="9">
        <v>42105</v>
      </c>
      <c r="Y70" t="s">
        <v>197</v>
      </c>
      <c r="Z70" t="s">
        <v>57</v>
      </c>
      <c r="AA70" t="s">
        <v>495</v>
      </c>
      <c r="AB70" t="s">
        <v>103</v>
      </c>
      <c r="AC70" t="s">
        <v>73</v>
      </c>
      <c r="AD70" t="s">
        <v>61</v>
      </c>
      <c r="AE70">
        <v>4.62</v>
      </c>
      <c r="AF70">
        <v>5</v>
      </c>
      <c r="AG70">
        <v>0</v>
      </c>
      <c r="AH70" s="9">
        <v>42160</v>
      </c>
      <c r="AI70">
        <v>1</v>
      </c>
      <c r="AJ70">
        <v>29</v>
      </c>
      <c r="AK70">
        <v>4</v>
      </c>
      <c r="AL70">
        <v>18</v>
      </c>
      <c r="AM70">
        <f>IF(Cleaned_Data[[#This Row],[DateofTermination]]="","",YEAR(Cleaned_Data[[#This Row],[DateofTermination]]))</f>
        <v>2015</v>
      </c>
      <c r="AN70">
        <v>1</v>
      </c>
    </row>
    <row r="71" spans="1:40" x14ac:dyDescent="0.35">
      <c r="A71" t="s">
        <v>523</v>
      </c>
      <c r="B71">
        <v>10310</v>
      </c>
      <c r="C71">
        <v>1</v>
      </c>
      <c r="D71">
        <v>1</v>
      </c>
      <c r="E71">
        <v>1</v>
      </c>
      <c r="F71">
        <v>1</v>
      </c>
      <c r="G71">
        <v>5</v>
      </c>
      <c r="H71">
        <v>1</v>
      </c>
      <c r="I71">
        <v>0</v>
      </c>
      <c r="J71">
        <v>53189</v>
      </c>
      <c r="K71">
        <v>0</v>
      </c>
      <c r="L71">
        <v>19</v>
      </c>
      <c r="M71" t="s">
        <v>39</v>
      </c>
      <c r="N71" t="s">
        <v>40</v>
      </c>
      <c r="O71">
        <v>2061</v>
      </c>
      <c r="P71" s="9">
        <v>30941</v>
      </c>
      <c r="Q71" t="s">
        <v>41</v>
      </c>
      <c r="R71" t="s">
        <v>617</v>
      </c>
      <c r="S71" t="s">
        <v>55</v>
      </c>
      <c r="T71" t="s">
        <v>44</v>
      </c>
      <c r="U71" t="s">
        <v>45</v>
      </c>
      <c r="V71" t="s">
        <v>46</v>
      </c>
      <c r="W71" s="9">
        <v>41827</v>
      </c>
      <c r="X71" s="9"/>
      <c r="Y71" t="s">
        <v>47</v>
      </c>
      <c r="Z71" t="s">
        <v>48</v>
      </c>
      <c r="AA71" t="s">
        <v>495</v>
      </c>
      <c r="AB71" t="s">
        <v>75</v>
      </c>
      <c r="AC71" t="s">
        <v>60</v>
      </c>
      <c r="AD71" t="s">
        <v>195</v>
      </c>
      <c r="AE71">
        <v>1.1200000000000001</v>
      </c>
      <c r="AF71">
        <v>2</v>
      </c>
      <c r="AG71">
        <v>0</v>
      </c>
      <c r="AH71" s="9">
        <v>43496</v>
      </c>
      <c r="AI71">
        <v>9</v>
      </c>
      <c r="AJ71">
        <v>35</v>
      </c>
      <c r="AK71">
        <v>5</v>
      </c>
      <c r="AL71">
        <v>11</v>
      </c>
      <c r="AM71" t="str">
        <f>IF(Cleaned_Data[[#This Row],[DateofTermination]]="","",YEAR(Cleaned_Data[[#This Row],[DateofTermination]]))</f>
        <v/>
      </c>
      <c r="AN71">
        <v>1</v>
      </c>
    </row>
    <row r="72" spans="1:40" x14ac:dyDescent="0.35">
      <c r="A72" t="s">
        <v>524</v>
      </c>
      <c r="B72">
        <v>10197</v>
      </c>
      <c r="C72">
        <v>0</v>
      </c>
      <c r="D72">
        <v>0</v>
      </c>
      <c r="E72">
        <v>1</v>
      </c>
      <c r="F72">
        <v>1</v>
      </c>
      <c r="G72">
        <v>3</v>
      </c>
      <c r="H72">
        <v>3</v>
      </c>
      <c r="I72">
        <v>0</v>
      </c>
      <c r="J72">
        <v>96820</v>
      </c>
      <c r="K72">
        <v>0</v>
      </c>
      <c r="L72">
        <v>4</v>
      </c>
      <c r="M72" t="s">
        <v>525</v>
      </c>
      <c r="N72" t="s">
        <v>40</v>
      </c>
      <c r="O72">
        <v>2045</v>
      </c>
      <c r="P72" s="9">
        <v>32384</v>
      </c>
      <c r="Q72" t="s">
        <v>41</v>
      </c>
      <c r="R72" t="s">
        <v>617</v>
      </c>
      <c r="S72" t="s">
        <v>43</v>
      </c>
      <c r="T72" t="s">
        <v>44</v>
      </c>
      <c r="U72" t="s">
        <v>45</v>
      </c>
      <c r="V72" t="s">
        <v>46</v>
      </c>
      <c r="W72" s="9">
        <v>42781</v>
      </c>
      <c r="X72" s="9"/>
      <c r="Y72" t="s">
        <v>47</v>
      </c>
      <c r="Z72" t="s">
        <v>48</v>
      </c>
      <c r="AA72" t="s">
        <v>499</v>
      </c>
      <c r="AB72" t="s">
        <v>201</v>
      </c>
      <c r="AC72" t="s">
        <v>60</v>
      </c>
      <c r="AD72" t="s">
        <v>61</v>
      </c>
      <c r="AE72">
        <v>3.01</v>
      </c>
      <c r="AF72">
        <v>5</v>
      </c>
      <c r="AG72">
        <v>7</v>
      </c>
      <c r="AH72" s="9">
        <v>43488</v>
      </c>
      <c r="AI72">
        <v>15</v>
      </c>
      <c r="AJ72">
        <v>31</v>
      </c>
      <c r="AK72">
        <v>3</v>
      </c>
      <c r="AL72">
        <v>13</v>
      </c>
      <c r="AM72" t="str">
        <f>IF(Cleaned_Data[[#This Row],[DateofTermination]]="","",YEAR(Cleaned_Data[[#This Row],[DateofTermination]]))</f>
        <v/>
      </c>
      <c r="AN72">
        <v>1</v>
      </c>
    </row>
    <row r="73" spans="1:40" x14ac:dyDescent="0.35">
      <c r="A73" t="s">
        <v>526</v>
      </c>
      <c r="B73">
        <v>10276</v>
      </c>
      <c r="C73">
        <v>0</v>
      </c>
      <c r="D73">
        <v>0</v>
      </c>
      <c r="E73">
        <v>1</v>
      </c>
      <c r="F73">
        <v>1</v>
      </c>
      <c r="G73">
        <v>5</v>
      </c>
      <c r="H73">
        <v>3</v>
      </c>
      <c r="I73">
        <v>0</v>
      </c>
      <c r="J73">
        <v>51259</v>
      </c>
      <c r="K73">
        <v>0</v>
      </c>
      <c r="L73">
        <v>19</v>
      </c>
      <c r="M73" t="s">
        <v>39</v>
      </c>
      <c r="N73" t="s">
        <v>40</v>
      </c>
      <c r="O73">
        <v>2180</v>
      </c>
      <c r="P73" s="9">
        <v>25833</v>
      </c>
      <c r="Q73" t="s">
        <v>41</v>
      </c>
      <c r="R73" t="s">
        <v>617</v>
      </c>
      <c r="S73" t="s">
        <v>43</v>
      </c>
      <c r="T73" t="s">
        <v>44</v>
      </c>
      <c r="U73" t="s">
        <v>45</v>
      </c>
      <c r="V73" t="s">
        <v>46</v>
      </c>
      <c r="W73" s="9">
        <v>41978</v>
      </c>
      <c r="X73" s="9"/>
      <c r="Y73" t="s">
        <v>47</v>
      </c>
      <c r="Z73" t="s">
        <v>48</v>
      </c>
      <c r="AA73" t="s">
        <v>495</v>
      </c>
      <c r="AB73" t="s">
        <v>82</v>
      </c>
      <c r="AC73" t="s">
        <v>60</v>
      </c>
      <c r="AD73" t="s">
        <v>61</v>
      </c>
      <c r="AE73">
        <v>4.3</v>
      </c>
      <c r="AF73">
        <v>4</v>
      </c>
      <c r="AG73">
        <v>0</v>
      </c>
      <c r="AH73" s="9">
        <v>43515</v>
      </c>
      <c r="AI73">
        <v>1</v>
      </c>
      <c r="AJ73">
        <v>49</v>
      </c>
      <c r="AK73">
        <v>5</v>
      </c>
      <c r="AL73">
        <v>19</v>
      </c>
      <c r="AM73" t="str">
        <f>IF(Cleaned_Data[[#This Row],[DateofTermination]]="","",YEAR(Cleaned_Data[[#This Row],[DateofTermination]]))</f>
        <v/>
      </c>
      <c r="AN73">
        <v>1</v>
      </c>
    </row>
    <row r="74" spans="1:40" x14ac:dyDescent="0.35">
      <c r="A74" t="s">
        <v>527</v>
      </c>
      <c r="B74">
        <v>10304</v>
      </c>
      <c r="C74">
        <v>0</v>
      </c>
      <c r="D74">
        <v>0</v>
      </c>
      <c r="E74">
        <v>0</v>
      </c>
      <c r="F74">
        <v>1</v>
      </c>
      <c r="G74">
        <v>6</v>
      </c>
      <c r="H74">
        <v>1</v>
      </c>
      <c r="I74">
        <v>0</v>
      </c>
      <c r="J74">
        <v>59231</v>
      </c>
      <c r="K74">
        <v>0</v>
      </c>
      <c r="L74">
        <v>3</v>
      </c>
      <c r="M74" t="s">
        <v>143</v>
      </c>
      <c r="N74" t="s">
        <v>204</v>
      </c>
      <c r="O74">
        <v>98052</v>
      </c>
      <c r="P74" s="9">
        <v>31047</v>
      </c>
      <c r="Q74" t="s">
        <v>41</v>
      </c>
      <c r="R74" t="s">
        <v>618</v>
      </c>
      <c r="S74" t="s">
        <v>43</v>
      </c>
      <c r="T74" t="s">
        <v>44</v>
      </c>
      <c r="U74" t="s">
        <v>92</v>
      </c>
      <c r="V74" t="s">
        <v>46</v>
      </c>
      <c r="W74" s="9">
        <v>40959</v>
      </c>
      <c r="X74" s="9"/>
      <c r="Y74" t="s">
        <v>47</v>
      </c>
      <c r="Z74" t="s">
        <v>48</v>
      </c>
      <c r="AA74" t="s">
        <v>145</v>
      </c>
      <c r="AB74" t="s">
        <v>146</v>
      </c>
      <c r="AC74" t="s">
        <v>205</v>
      </c>
      <c r="AD74" t="s">
        <v>195</v>
      </c>
      <c r="AE74">
        <v>2.2999999999999998</v>
      </c>
      <c r="AF74">
        <v>1</v>
      </c>
      <c r="AG74">
        <v>0</v>
      </c>
      <c r="AH74" s="9">
        <v>43494</v>
      </c>
      <c r="AI74">
        <v>17</v>
      </c>
      <c r="AJ74">
        <v>35</v>
      </c>
      <c r="AK74">
        <v>8</v>
      </c>
      <c r="AL74">
        <v>17</v>
      </c>
      <c r="AM74" t="str">
        <f>IF(Cleaned_Data[[#This Row],[DateofTermination]]="","",YEAR(Cleaned_Data[[#This Row],[DateofTermination]]))</f>
        <v/>
      </c>
      <c r="AN74">
        <v>1</v>
      </c>
    </row>
    <row r="75" spans="1:40" x14ac:dyDescent="0.35">
      <c r="A75" t="s">
        <v>528</v>
      </c>
      <c r="B75">
        <v>10284</v>
      </c>
      <c r="C75">
        <v>1</v>
      </c>
      <c r="D75">
        <v>1</v>
      </c>
      <c r="E75">
        <v>0</v>
      </c>
      <c r="F75">
        <v>1</v>
      </c>
      <c r="G75">
        <v>5</v>
      </c>
      <c r="H75">
        <v>2</v>
      </c>
      <c r="I75">
        <v>0</v>
      </c>
      <c r="J75">
        <v>61584</v>
      </c>
      <c r="K75">
        <v>0</v>
      </c>
      <c r="L75">
        <v>19</v>
      </c>
      <c r="M75" t="s">
        <v>39</v>
      </c>
      <c r="N75" t="s">
        <v>40</v>
      </c>
      <c r="O75">
        <v>2351</v>
      </c>
      <c r="P75" s="9">
        <v>30154</v>
      </c>
      <c r="Q75" t="s">
        <v>41</v>
      </c>
      <c r="R75" t="s">
        <v>618</v>
      </c>
      <c r="S75" t="s">
        <v>55</v>
      </c>
      <c r="T75" t="s">
        <v>44</v>
      </c>
      <c r="U75" t="s">
        <v>45</v>
      </c>
      <c r="V75" t="s">
        <v>85</v>
      </c>
      <c r="W75" s="9">
        <v>41456</v>
      </c>
      <c r="X75" s="9"/>
      <c r="Y75" t="s">
        <v>47</v>
      </c>
      <c r="Z75" t="s">
        <v>48</v>
      </c>
      <c r="AA75" t="s">
        <v>495</v>
      </c>
      <c r="AB75" t="s">
        <v>86</v>
      </c>
      <c r="AC75" t="s">
        <v>60</v>
      </c>
      <c r="AD75" t="s">
        <v>122</v>
      </c>
      <c r="AE75">
        <v>3.88</v>
      </c>
      <c r="AF75">
        <v>4</v>
      </c>
      <c r="AG75">
        <v>0</v>
      </c>
      <c r="AH75" s="9">
        <v>43483</v>
      </c>
      <c r="AI75">
        <v>6</v>
      </c>
      <c r="AJ75">
        <v>37</v>
      </c>
      <c r="AK75">
        <v>6</v>
      </c>
      <c r="AL75">
        <v>12</v>
      </c>
      <c r="AM75" t="str">
        <f>IF(Cleaned_Data[[#This Row],[DateofTermination]]="","",YEAR(Cleaned_Data[[#This Row],[DateofTermination]]))</f>
        <v/>
      </c>
      <c r="AN75">
        <v>1</v>
      </c>
    </row>
    <row r="76" spans="1:40" x14ac:dyDescent="0.35">
      <c r="A76" t="s">
        <v>207</v>
      </c>
      <c r="B76">
        <v>10207</v>
      </c>
      <c r="C76">
        <v>0</v>
      </c>
      <c r="D76">
        <v>0</v>
      </c>
      <c r="E76">
        <v>0</v>
      </c>
      <c r="F76">
        <v>1</v>
      </c>
      <c r="G76">
        <v>5</v>
      </c>
      <c r="H76">
        <v>3</v>
      </c>
      <c r="I76">
        <v>0</v>
      </c>
      <c r="J76">
        <v>46335</v>
      </c>
      <c r="K76">
        <v>0</v>
      </c>
      <c r="L76">
        <v>19</v>
      </c>
      <c r="M76" t="s">
        <v>39</v>
      </c>
      <c r="N76" t="s">
        <v>40</v>
      </c>
      <c r="O76">
        <v>2125</v>
      </c>
      <c r="P76" s="9">
        <v>31075</v>
      </c>
      <c r="Q76" t="s">
        <v>41</v>
      </c>
      <c r="R76" t="s">
        <v>618</v>
      </c>
      <c r="S76" t="s">
        <v>43</v>
      </c>
      <c r="T76" t="s">
        <v>44</v>
      </c>
      <c r="U76" t="s">
        <v>92</v>
      </c>
      <c r="V76" t="s">
        <v>46</v>
      </c>
      <c r="W76" s="9">
        <v>40943</v>
      </c>
      <c r="X76" s="9"/>
      <c r="Y76" t="s">
        <v>47</v>
      </c>
      <c r="Z76" t="s">
        <v>48</v>
      </c>
      <c r="AA76" t="s">
        <v>495</v>
      </c>
      <c r="AB76" t="s">
        <v>94</v>
      </c>
      <c r="AC76" t="s">
        <v>508</v>
      </c>
      <c r="AD76" t="s">
        <v>61</v>
      </c>
      <c r="AE76">
        <v>3.4</v>
      </c>
      <c r="AF76">
        <v>5</v>
      </c>
      <c r="AG76">
        <v>0</v>
      </c>
      <c r="AH76" s="9">
        <v>43515</v>
      </c>
      <c r="AI76">
        <v>15</v>
      </c>
      <c r="AJ76">
        <v>35</v>
      </c>
      <c r="AK76">
        <v>8</v>
      </c>
      <c r="AL76">
        <v>14</v>
      </c>
      <c r="AM76" t="str">
        <f>IF(Cleaned_Data[[#This Row],[DateofTermination]]="","",YEAR(Cleaned_Data[[#This Row],[DateofTermination]]))</f>
        <v/>
      </c>
      <c r="AN76">
        <v>1</v>
      </c>
    </row>
    <row r="77" spans="1:40" x14ac:dyDescent="0.35">
      <c r="A77" t="s">
        <v>208</v>
      </c>
      <c r="B77">
        <v>10133</v>
      </c>
      <c r="C77">
        <v>1</v>
      </c>
      <c r="D77">
        <v>1</v>
      </c>
      <c r="E77">
        <v>0</v>
      </c>
      <c r="F77">
        <v>1</v>
      </c>
      <c r="G77">
        <v>3</v>
      </c>
      <c r="H77">
        <v>3</v>
      </c>
      <c r="I77">
        <v>0</v>
      </c>
      <c r="J77">
        <v>70621</v>
      </c>
      <c r="K77">
        <v>0</v>
      </c>
      <c r="L77">
        <v>14</v>
      </c>
      <c r="M77" t="s">
        <v>505</v>
      </c>
      <c r="N77" t="s">
        <v>40</v>
      </c>
      <c r="O77">
        <v>2119</v>
      </c>
      <c r="P77" s="9">
        <v>26811</v>
      </c>
      <c r="Q77" t="s">
        <v>41</v>
      </c>
      <c r="R77" t="s">
        <v>618</v>
      </c>
      <c r="S77" t="s">
        <v>55</v>
      </c>
      <c r="T77" t="s">
        <v>44</v>
      </c>
      <c r="U77" t="s">
        <v>45</v>
      </c>
      <c r="V77" t="s">
        <v>46</v>
      </c>
      <c r="W77" s="9">
        <v>42125</v>
      </c>
      <c r="X77" s="9"/>
      <c r="Y77" t="s">
        <v>47</v>
      </c>
      <c r="Z77" t="s">
        <v>48</v>
      </c>
      <c r="AA77" t="s">
        <v>499</v>
      </c>
      <c r="AB77" t="s">
        <v>90</v>
      </c>
      <c r="AC77" t="s">
        <v>625</v>
      </c>
      <c r="AD77" t="s">
        <v>61</v>
      </c>
      <c r="AE77">
        <v>4.1100000000000003</v>
      </c>
      <c r="AF77">
        <v>4</v>
      </c>
      <c r="AG77">
        <v>6</v>
      </c>
      <c r="AH77" s="9">
        <v>43521</v>
      </c>
      <c r="AI77">
        <v>16</v>
      </c>
      <c r="AJ77">
        <v>47</v>
      </c>
      <c r="AK77">
        <v>5</v>
      </c>
      <c r="AL77">
        <v>7</v>
      </c>
      <c r="AM77" t="str">
        <f>IF(Cleaned_Data[[#This Row],[DateofTermination]]="","",YEAR(Cleaned_Data[[#This Row],[DateofTermination]]))</f>
        <v/>
      </c>
      <c r="AN77">
        <v>1</v>
      </c>
    </row>
    <row r="78" spans="1:40" x14ac:dyDescent="0.35">
      <c r="A78" t="s">
        <v>209</v>
      </c>
      <c r="B78">
        <v>10028</v>
      </c>
      <c r="C78">
        <v>0</v>
      </c>
      <c r="D78">
        <v>0</v>
      </c>
      <c r="E78">
        <v>1</v>
      </c>
      <c r="F78">
        <v>1</v>
      </c>
      <c r="G78">
        <v>3</v>
      </c>
      <c r="H78">
        <v>4</v>
      </c>
      <c r="I78">
        <v>0</v>
      </c>
      <c r="J78">
        <v>138888</v>
      </c>
      <c r="K78">
        <v>0</v>
      </c>
      <c r="L78">
        <v>13</v>
      </c>
      <c r="M78" t="s">
        <v>529</v>
      </c>
      <c r="N78" t="s">
        <v>40</v>
      </c>
      <c r="O78">
        <v>1886</v>
      </c>
      <c r="P78" s="9">
        <v>26624</v>
      </c>
      <c r="Q78" t="s">
        <v>41</v>
      </c>
      <c r="R78" t="s">
        <v>617</v>
      </c>
      <c r="S78" t="s">
        <v>43</v>
      </c>
      <c r="T78" t="s">
        <v>44</v>
      </c>
      <c r="U78" t="s">
        <v>45</v>
      </c>
      <c r="V78" t="s">
        <v>85</v>
      </c>
      <c r="W78" s="9">
        <v>41760</v>
      </c>
      <c r="X78" s="9"/>
      <c r="Y78" t="s">
        <v>47</v>
      </c>
      <c r="Z78" t="s">
        <v>48</v>
      </c>
      <c r="AA78" t="s">
        <v>499</v>
      </c>
      <c r="AB78" t="s">
        <v>151</v>
      </c>
      <c r="AC78" t="s">
        <v>60</v>
      </c>
      <c r="AD78" t="s">
        <v>52</v>
      </c>
      <c r="AE78">
        <v>4.3</v>
      </c>
      <c r="AF78">
        <v>5</v>
      </c>
      <c r="AG78">
        <v>5</v>
      </c>
      <c r="AH78" s="9">
        <v>43556</v>
      </c>
      <c r="AI78">
        <v>4</v>
      </c>
      <c r="AJ78">
        <v>47</v>
      </c>
      <c r="AK78">
        <v>6</v>
      </c>
      <c r="AL78">
        <v>5</v>
      </c>
      <c r="AM78" t="str">
        <f>IF(Cleaned_Data[[#This Row],[DateofTermination]]="","",YEAR(Cleaned_Data[[#This Row],[DateofTermination]]))</f>
        <v/>
      </c>
      <c r="AN78">
        <v>1</v>
      </c>
    </row>
    <row r="79" spans="1:40" x14ac:dyDescent="0.35">
      <c r="A79" t="s">
        <v>211</v>
      </c>
      <c r="B79">
        <v>10006</v>
      </c>
      <c r="C79">
        <v>0</v>
      </c>
      <c r="D79">
        <v>0</v>
      </c>
      <c r="E79">
        <v>0</v>
      </c>
      <c r="F79">
        <v>1</v>
      </c>
      <c r="G79">
        <v>6</v>
      </c>
      <c r="H79">
        <v>4</v>
      </c>
      <c r="I79">
        <v>0</v>
      </c>
      <c r="J79">
        <v>74241</v>
      </c>
      <c r="K79">
        <v>0</v>
      </c>
      <c r="L79">
        <v>3</v>
      </c>
      <c r="M79" t="s">
        <v>143</v>
      </c>
      <c r="N79" t="s">
        <v>212</v>
      </c>
      <c r="O79">
        <v>90007</v>
      </c>
      <c r="P79" s="9">
        <v>31528</v>
      </c>
      <c r="Q79" t="s">
        <v>41</v>
      </c>
      <c r="R79" t="s">
        <v>618</v>
      </c>
      <c r="S79" t="s">
        <v>43</v>
      </c>
      <c r="T79" t="s">
        <v>44</v>
      </c>
      <c r="U79" t="s">
        <v>45</v>
      </c>
      <c r="V79" t="s">
        <v>46</v>
      </c>
      <c r="W79" s="9">
        <v>40817</v>
      </c>
      <c r="X79" s="9"/>
      <c r="Y79" t="s">
        <v>47</v>
      </c>
      <c r="Z79" t="s">
        <v>48</v>
      </c>
      <c r="AA79" t="s">
        <v>145</v>
      </c>
      <c r="AB79" t="s">
        <v>164</v>
      </c>
      <c r="AC79" t="s">
        <v>60</v>
      </c>
      <c r="AD79" t="s">
        <v>52</v>
      </c>
      <c r="AE79">
        <v>4.7699999999999996</v>
      </c>
      <c r="AF79">
        <v>5</v>
      </c>
      <c r="AG79">
        <v>0</v>
      </c>
      <c r="AH79" s="9">
        <v>43492</v>
      </c>
      <c r="AI79">
        <v>14</v>
      </c>
      <c r="AJ79">
        <v>34</v>
      </c>
      <c r="AK79">
        <v>8</v>
      </c>
      <c r="AL79">
        <v>21</v>
      </c>
      <c r="AM79" t="str">
        <f>IF(Cleaned_Data[[#This Row],[DateofTermination]]="","",YEAR(Cleaned_Data[[#This Row],[DateofTermination]]))</f>
        <v/>
      </c>
      <c r="AN79">
        <v>1</v>
      </c>
    </row>
    <row r="80" spans="1:40" x14ac:dyDescent="0.35">
      <c r="A80" t="s">
        <v>530</v>
      </c>
      <c r="B80">
        <v>10105</v>
      </c>
      <c r="C80">
        <v>0</v>
      </c>
      <c r="D80">
        <v>0</v>
      </c>
      <c r="E80">
        <v>0</v>
      </c>
      <c r="F80">
        <v>1</v>
      </c>
      <c r="G80">
        <v>5</v>
      </c>
      <c r="H80">
        <v>3</v>
      </c>
      <c r="I80">
        <v>0</v>
      </c>
      <c r="J80">
        <v>75188</v>
      </c>
      <c r="K80">
        <v>0</v>
      </c>
      <c r="L80">
        <v>18</v>
      </c>
      <c r="M80" t="s">
        <v>133</v>
      </c>
      <c r="N80" t="s">
        <v>40</v>
      </c>
      <c r="O80">
        <v>1731</v>
      </c>
      <c r="P80" s="9">
        <v>32128</v>
      </c>
      <c r="Q80" t="s">
        <v>41</v>
      </c>
      <c r="R80" t="s">
        <v>618</v>
      </c>
      <c r="S80" t="s">
        <v>43</v>
      </c>
      <c r="T80" t="s">
        <v>44</v>
      </c>
      <c r="U80" t="s">
        <v>45</v>
      </c>
      <c r="V80" t="s">
        <v>46</v>
      </c>
      <c r="W80" s="9">
        <v>41900</v>
      </c>
      <c r="X80" s="9"/>
      <c r="Y80" t="s">
        <v>47</v>
      </c>
      <c r="Z80" t="s">
        <v>48</v>
      </c>
      <c r="AA80" t="s">
        <v>495</v>
      </c>
      <c r="AB80" t="s">
        <v>135</v>
      </c>
      <c r="AC80" t="s">
        <v>73</v>
      </c>
      <c r="AD80" t="s">
        <v>61</v>
      </c>
      <c r="AE80">
        <v>4.5199999999999996</v>
      </c>
      <c r="AF80">
        <v>4</v>
      </c>
      <c r="AG80">
        <v>0</v>
      </c>
      <c r="AH80" s="9">
        <v>43480</v>
      </c>
      <c r="AI80">
        <v>4</v>
      </c>
      <c r="AJ80">
        <v>32</v>
      </c>
      <c r="AK80">
        <v>5</v>
      </c>
      <c r="AL80">
        <v>2</v>
      </c>
      <c r="AM80" t="str">
        <f>IF(Cleaned_Data[[#This Row],[DateofTermination]]="","",YEAR(Cleaned_Data[[#This Row],[DateofTermination]]))</f>
        <v/>
      </c>
      <c r="AN80">
        <v>1</v>
      </c>
    </row>
    <row r="81" spans="1:40" x14ac:dyDescent="0.35">
      <c r="A81" t="s">
        <v>214</v>
      </c>
      <c r="B81">
        <v>10211</v>
      </c>
      <c r="C81">
        <v>1</v>
      </c>
      <c r="D81">
        <v>1</v>
      </c>
      <c r="E81">
        <v>0</v>
      </c>
      <c r="F81">
        <v>1</v>
      </c>
      <c r="G81">
        <v>5</v>
      </c>
      <c r="H81">
        <v>3</v>
      </c>
      <c r="I81">
        <v>0</v>
      </c>
      <c r="J81">
        <v>62514</v>
      </c>
      <c r="K81">
        <v>0</v>
      </c>
      <c r="L81">
        <v>19</v>
      </c>
      <c r="M81" t="s">
        <v>39</v>
      </c>
      <c r="N81" t="s">
        <v>40</v>
      </c>
      <c r="O81">
        <v>1749</v>
      </c>
      <c r="P81" s="9">
        <v>29690</v>
      </c>
      <c r="Q81" t="s">
        <v>41</v>
      </c>
      <c r="R81" t="s">
        <v>618</v>
      </c>
      <c r="S81" t="s">
        <v>55</v>
      </c>
      <c r="T81" t="s">
        <v>44</v>
      </c>
      <c r="U81" t="s">
        <v>45</v>
      </c>
      <c r="V81" t="s">
        <v>46</v>
      </c>
      <c r="W81" s="9">
        <v>40294</v>
      </c>
      <c r="X81" s="9"/>
      <c r="Y81" t="s">
        <v>47</v>
      </c>
      <c r="Z81" t="s">
        <v>48</v>
      </c>
      <c r="AA81" t="s">
        <v>495</v>
      </c>
      <c r="AB81" t="s">
        <v>82</v>
      </c>
      <c r="AC81" t="s">
        <v>73</v>
      </c>
      <c r="AD81" t="s">
        <v>61</v>
      </c>
      <c r="AE81">
        <v>2.9</v>
      </c>
      <c r="AF81">
        <v>3</v>
      </c>
      <c r="AG81">
        <v>0</v>
      </c>
      <c r="AH81" s="9">
        <v>43486</v>
      </c>
      <c r="AI81">
        <v>6</v>
      </c>
      <c r="AJ81">
        <v>39</v>
      </c>
      <c r="AK81">
        <v>10</v>
      </c>
      <c r="AL81">
        <v>19</v>
      </c>
      <c r="AM81" t="str">
        <f>IF(Cleaned_Data[[#This Row],[DateofTermination]]="","",YEAR(Cleaned_Data[[#This Row],[DateofTermination]]))</f>
        <v/>
      </c>
      <c r="AN81">
        <v>1</v>
      </c>
    </row>
    <row r="82" spans="1:40" x14ac:dyDescent="0.35">
      <c r="A82" t="s">
        <v>215</v>
      </c>
      <c r="B82">
        <v>10064</v>
      </c>
      <c r="C82">
        <v>1</v>
      </c>
      <c r="D82">
        <v>1</v>
      </c>
      <c r="E82">
        <v>0</v>
      </c>
      <c r="F82">
        <v>5</v>
      </c>
      <c r="G82">
        <v>5</v>
      </c>
      <c r="H82">
        <v>3</v>
      </c>
      <c r="I82">
        <v>0</v>
      </c>
      <c r="J82">
        <v>60070</v>
      </c>
      <c r="K82">
        <v>1</v>
      </c>
      <c r="L82">
        <v>19</v>
      </c>
      <c r="M82" t="s">
        <v>39</v>
      </c>
      <c r="N82" t="s">
        <v>40</v>
      </c>
      <c r="O82">
        <v>2343</v>
      </c>
      <c r="P82" s="9">
        <v>32282</v>
      </c>
      <c r="Q82" t="s">
        <v>41</v>
      </c>
      <c r="R82" t="s">
        <v>618</v>
      </c>
      <c r="S82" t="s">
        <v>55</v>
      </c>
      <c r="T82" t="s">
        <v>44</v>
      </c>
      <c r="U82" t="s">
        <v>45</v>
      </c>
      <c r="V82" t="s">
        <v>46</v>
      </c>
      <c r="W82" s="9">
        <v>40637</v>
      </c>
      <c r="X82" s="9">
        <v>42892</v>
      </c>
      <c r="Y82" t="s">
        <v>216</v>
      </c>
      <c r="Z82" t="s">
        <v>57</v>
      </c>
      <c r="AA82" t="s">
        <v>495</v>
      </c>
      <c r="AB82" t="s">
        <v>66</v>
      </c>
      <c r="AC82" t="s">
        <v>73</v>
      </c>
      <c r="AD82" t="s">
        <v>61</v>
      </c>
      <c r="AE82">
        <v>5</v>
      </c>
      <c r="AF82">
        <v>3</v>
      </c>
      <c r="AG82">
        <v>0</v>
      </c>
      <c r="AH82" s="9">
        <v>42982</v>
      </c>
      <c r="AI82">
        <v>7</v>
      </c>
      <c r="AJ82">
        <v>29</v>
      </c>
      <c r="AK82">
        <v>6</v>
      </c>
      <c r="AL82">
        <v>20</v>
      </c>
      <c r="AM82">
        <f>IF(Cleaned_Data[[#This Row],[DateofTermination]]="","",YEAR(Cleaned_Data[[#This Row],[DateofTermination]]))</f>
        <v>2017</v>
      </c>
      <c r="AN82">
        <v>1</v>
      </c>
    </row>
    <row r="83" spans="1:40" x14ac:dyDescent="0.35">
      <c r="A83" t="s">
        <v>217</v>
      </c>
      <c r="B83">
        <v>10247</v>
      </c>
      <c r="C83">
        <v>0</v>
      </c>
      <c r="D83">
        <v>0</v>
      </c>
      <c r="E83">
        <v>1</v>
      </c>
      <c r="F83">
        <v>1</v>
      </c>
      <c r="G83">
        <v>5</v>
      </c>
      <c r="H83">
        <v>3</v>
      </c>
      <c r="I83">
        <v>0</v>
      </c>
      <c r="J83">
        <v>48888</v>
      </c>
      <c r="K83">
        <v>0</v>
      </c>
      <c r="L83">
        <v>19</v>
      </c>
      <c r="M83" t="s">
        <v>39</v>
      </c>
      <c r="N83" t="s">
        <v>40</v>
      </c>
      <c r="O83">
        <v>2026</v>
      </c>
      <c r="P83" s="9">
        <v>23314</v>
      </c>
      <c r="Q83" t="s">
        <v>96</v>
      </c>
      <c r="R83" t="s">
        <v>617</v>
      </c>
      <c r="S83" t="s">
        <v>43</v>
      </c>
      <c r="T83" t="s">
        <v>44</v>
      </c>
      <c r="U83" t="s">
        <v>45</v>
      </c>
      <c r="V83" t="s">
        <v>46</v>
      </c>
      <c r="W83" s="9">
        <v>41923</v>
      </c>
      <c r="X83" s="9"/>
      <c r="Y83" t="s">
        <v>47</v>
      </c>
      <c r="Z83" t="s">
        <v>48</v>
      </c>
      <c r="AA83" t="s">
        <v>495</v>
      </c>
      <c r="AB83" t="s">
        <v>103</v>
      </c>
      <c r="AC83" t="s">
        <v>496</v>
      </c>
      <c r="AD83" t="s">
        <v>61</v>
      </c>
      <c r="AE83">
        <v>4.7</v>
      </c>
      <c r="AF83">
        <v>5</v>
      </c>
      <c r="AG83">
        <v>0</v>
      </c>
      <c r="AH83" s="9">
        <v>43509</v>
      </c>
      <c r="AI83">
        <v>8</v>
      </c>
      <c r="AJ83">
        <v>56</v>
      </c>
      <c r="AK83">
        <v>5</v>
      </c>
      <c r="AL83">
        <v>18</v>
      </c>
      <c r="AM83" t="str">
        <f>IF(Cleaned_Data[[#This Row],[DateofTermination]]="","",YEAR(Cleaned_Data[[#This Row],[DateofTermination]]))</f>
        <v/>
      </c>
      <c r="AN83">
        <v>1</v>
      </c>
    </row>
    <row r="84" spans="1:40" x14ac:dyDescent="0.35">
      <c r="A84" t="s">
        <v>218</v>
      </c>
      <c r="B84">
        <v>10235</v>
      </c>
      <c r="C84">
        <v>1</v>
      </c>
      <c r="D84">
        <v>1</v>
      </c>
      <c r="E84">
        <v>1</v>
      </c>
      <c r="F84">
        <v>1</v>
      </c>
      <c r="G84">
        <v>5</v>
      </c>
      <c r="H84">
        <v>3</v>
      </c>
      <c r="I84">
        <v>0</v>
      </c>
      <c r="J84">
        <v>54285</v>
      </c>
      <c r="K84">
        <v>0</v>
      </c>
      <c r="L84">
        <v>19</v>
      </c>
      <c r="M84" t="s">
        <v>39</v>
      </c>
      <c r="N84" t="s">
        <v>40</v>
      </c>
      <c r="O84">
        <v>2045</v>
      </c>
      <c r="P84" s="9">
        <v>30910</v>
      </c>
      <c r="Q84" t="s">
        <v>41</v>
      </c>
      <c r="R84" t="s">
        <v>617</v>
      </c>
      <c r="S84" t="s">
        <v>55</v>
      </c>
      <c r="T84" t="s">
        <v>44</v>
      </c>
      <c r="U84" t="s">
        <v>45</v>
      </c>
      <c r="V84" t="s">
        <v>46</v>
      </c>
      <c r="W84" s="9">
        <v>41729</v>
      </c>
      <c r="X84" s="9"/>
      <c r="Y84" t="s">
        <v>47</v>
      </c>
      <c r="Z84" t="s">
        <v>48</v>
      </c>
      <c r="AA84" t="s">
        <v>495</v>
      </c>
      <c r="AB84" t="s">
        <v>103</v>
      </c>
      <c r="AC84" t="s">
        <v>625</v>
      </c>
      <c r="AD84" t="s">
        <v>61</v>
      </c>
      <c r="AE84">
        <v>4.2</v>
      </c>
      <c r="AF84">
        <v>3</v>
      </c>
      <c r="AG84">
        <v>0</v>
      </c>
      <c r="AH84" s="9">
        <v>43770</v>
      </c>
      <c r="AI84">
        <v>3</v>
      </c>
      <c r="AJ84">
        <v>35</v>
      </c>
      <c r="AK84">
        <v>6</v>
      </c>
      <c r="AL84">
        <v>18</v>
      </c>
      <c r="AM84" t="str">
        <f>IF(Cleaned_Data[[#This Row],[DateofTermination]]="","",YEAR(Cleaned_Data[[#This Row],[DateofTermination]]))</f>
        <v/>
      </c>
      <c r="AN84">
        <v>1</v>
      </c>
    </row>
    <row r="85" spans="1:40" x14ac:dyDescent="0.35">
      <c r="A85" t="s">
        <v>219</v>
      </c>
      <c r="B85">
        <v>10299</v>
      </c>
      <c r="C85">
        <v>0</v>
      </c>
      <c r="D85">
        <v>3</v>
      </c>
      <c r="E85">
        <v>0</v>
      </c>
      <c r="F85">
        <v>1</v>
      </c>
      <c r="G85">
        <v>5</v>
      </c>
      <c r="H85">
        <v>1</v>
      </c>
      <c r="I85">
        <v>0</v>
      </c>
      <c r="J85">
        <v>56847</v>
      </c>
      <c r="K85">
        <v>0</v>
      </c>
      <c r="L85">
        <v>20</v>
      </c>
      <c r="M85" t="s">
        <v>500</v>
      </c>
      <c r="N85" t="s">
        <v>40</v>
      </c>
      <c r="O85">
        <v>2133</v>
      </c>
      <c r="P85" s="9">
        <v>27667</v>
      </c>
      <c r="Q85" t="s">
        <v>41</v>
      </c>
      <c r="R85" t="s">
        <v>618</v>
      </c>
      <c r="S85" t="s">
        <v>141</v>
      </c>
      <c r="T85" t="s">
        <v>44</v>
      </c>
      <c r="U85" t="s">
        <v>45</v>
      </c>
      <c r="V85" t="s">
        <v>46</v>
      </c>
      <c r="W85" s="9">
        <v>41827</v>
      </c>
      <c r="X85" s="9"/>
      <c r="Y85" t="s">
        <v>47</v>
      </c>
      <c r="Z85" t="s">
        <v>48</v>
      </c>
      <c r="AA85" t="s">
        <v>495</v>
      </c>
      <c r="AB85" t="s">
        <v>50</v>
      </c>
      <c r="AC85" t="s">
        <v>60</v>
      </c>
      <c r="AD85" t="s">
        <v>195</v>
      </c>
      <c r="AE85">
        <v>3</v>
      </c>
      <c r="AF85">
        <v>1</v>
      </c>
      <c r="AG85">
        <v>0</v>
      </c>
      <c r="AH85" s="9">
        <v>43521</v>
      </c>
      <c r="AI85">
        <v>5</v>
      </c>
      <c r="AJ85">
        <v>44</v>
      </c>
      <c r="AK85">
        <v>5</v>
      </c>
      <c r="AL85">
        <v>22</v>
      </c>
      <c r="AM85" t="str">
        <f>IF(Cleaned_Data[[#This Row],[DateofTermination]]="","",YEAR(Cleaned_Data[[#This Row],[DateofTermination]]))</f>
        <v/>
      </c>
      <c r="AN85">
        <v>1</v>
      </c>
    </row>
    <row r="86" spans="1:40" x14ac:dyDescent="0.35">
      <c r="A86" t="s">
        <v>220</v>
      </c>
      <c r="B86">
        <v>10280</v>
      </c>
      <c r="C86">
        <v>0</v>
      </c>
      <c r="D86">
        <v>0</v>
      </c>
      <c r="E86">
        <v>1</v>
      </c>
      <c r="F86">
        <v>4</v>
      </c>
      <c r="G86">
        <v>5</v>
      </c>
      <c r="H86">
        <v>2</v>
      </c>
      <c r="I86">
        <v>0</v>
      </c>
      <c r="J86">
        <v>60340</v>
      </c>
      <c r="K86">
        <v>1</v>
      </c>
      <c r="L86">
        <v>19</v>
      </c>
      <c r="M86" t="s">
        <v>39</v>
      </c>
      <c r="N86" t="s">
        <v>40</v>
      </c>
      <c r="O86">
        <v>2129</v>
      </c>
      <c r="P86" s="9">
        <v>30188</v>
      </c>
      <c r="Q86" t="s">
        <v>41</v>
      </c>
      <c r="R86" t="s">
        <v>617</v>
      </c>
      <c r="S86" t="s">
        <v>43</v>
      </c>
      <c r="T86" t="s">
        <v>44</v>
      </c>
      <c r="U86" t="s">
        <v>45</v>
      </c>
      <c r="V86" t="s">
        <v>46</v>
      </c>
      <c r="W86" s="9">
        <v>40943</v>
      </c>
      <c r="X86" s="9">
        <v>43370</v>
      </c>
      <c r="Y86" t="s">
        <v>107</v>
      </c>
      <c r="Z86" t="s">
        <v>108</v>
      </c>
      <c r="AA86" t="s">
        <v>495</v>
      </c>
      <c r="AB86" t="s">
        <v>50</v>
      </c>
      <c r="AC86" t="s">
        <v>73</v>
      </c>
      <c r="AD86" t="s">
        <v>122</v>
      </c>
      <c r="AE86">
        <v>5</v>
      </c>
      <c r="AF86">
        <v>4</v>
      </c>
      <c r="AG86">
        <v>0</v>
      </c>
      <c r="AH86" s="9">
        <v>43438</v>
      </c>
      <c r="AI86">
        <v>16</v>
      </c>
      <c r="AJ86">
        <v>36</v>
      </c>
      <c r="AK86">
        <v>7</v>
      </c>
      <c r="AL86">
        <v>22</v>
      </c>
      <c r="AM86">
        <f>IF(Cleaned_Data[[#This Row],[DateofTermination]]="","",YEAR(Cleaned_Data[[#This Row],[DateofTermination]]))</f>
        <v>2018</v>
      </c>
      <c r="AN86">
        <v>1</v>
      </c>
    </row>
    <row r="87" spans="1:40" x14ac:dyDescent="0.35">
      <c r="A87" t="s">
        <v>221</v>
      </c>
      <c r="B87">
        <v>10296</v>
      </c>
      <c r="C87">
        <v>0</v>
      </c>
      <c r="D87">
        <v>0</v>
      </c>
      <c r="E87">
        <v>0</v>
      </c>
      <c r="F87">
        <v>4</v>
      </c>
      <c r="G87">
        <v>5</v>
      </c>
      <c r="H87">
        <v>2</v>
      </c>
      <c r="I87">
        <v>0</v>
      </c>
      <c r="J87">
        <v>59124</v>
      </c>
      <c r="K87">
        <v>1</v>
      </c>
      <c r="L87">
        <v>19</v>
      </c>
      <c r="M87" t="s">
        <v>39</v>
      </c>
      <c r="N87" t="s">
        <v>40</v>
      </c>
      <c r="O87">
        <v>2458</v>
      </c>
      <c r="P87" s="9">
        <v>31120</v>
      </c>
      <c r="Q87" t="s">
        <v>41</v>
      </c>
      <c r="R87" t="s">
        <v>618</v>
      </c>
      <c r="S87" t="s">
        <v>43</v>
      </c>
      <c r="T87" t="s">
        <v>44</v>
      </c>
      <c r="U87" t="s">
        <v>45</v>
      </c>
      <c r="V87" t="s">
        <v>46</v>
      </c>
      <c r="W87" s="9">
        <v>41687</v>
      </c>
      <c r="X87" s="9">
        <v>43156</v>
      </c>
      <c r="Y87" t="s">
        <v>222</v>
      </c>
      <c r="Z87" t="s">
        <v>108</v>
      </c>
      <c r="AA87" t="s">
        <v>495</v>
      </c>
      <c r="AB87" t="s">
        <v>68</v>
      </c>
      <c r="AC87" t="s">
        <v>73</v>
      </c>
      <c r="AD87" t="s">
        <v>122</v>
      </c>
      <c r="AE87">
        <v>2.2999999999999998</v>
      </c>
      <c r="AF87">
        <v>3</v>
      </c>
      <c r="AG87">
        <v>0</v>
      </c>
      <c r="AH87" s="9">
        <v>42750</v>
      </c>
      <c r="AI87">
        <v>19</v>
      </c>
      <c r="AJ87">
        <v>33</v>
      </c>
      <c r="AK87">
        <v>4</v>
      </c>
      <c r="AL87">
        <v>16</v>
      </c>
      <c r="AM87">
        <f>IF(Cleaned_Data[[#This Row],[DateofTermination]]="","",YEAR(Cleaned_Data[[#This Row],[DateofTermination]]))</f>
        <v>2018</v>
      </c>
      <c r="AN87">
        <v>1</v>
      </c>
    </row>
    <row r="88" spans="1:40" x14ac:dyDescent="0.35">
      <c r="A88" t="s">
        <v>223</v>
      </c>
      <c r="B88">
        <v>10290</v>
      </c>
      <c r="C88">
        <v>1</v>
      </c>
      <c r="D88">
        <v>1</v>
      </c>
      <c r="E88">
        <v>0</v>
      </c>
      <c r="F88">
        <v>4</v>
      </c>
      <c r="G88">
        <v>4</v>
      </c>
      <c r="H88">
        <v>2</v>
      </c>
      <c r="I88">
        <v>0</v>
      </c>
      <c r="J88">
        <v>99280</v>
      </c>
      <c r="K88">
        <v>1</v>
      </c>
      <c r="L88">
        <v>24</v>
      </c>
      <c r="M88" t="s">
        <v>77</v>
      </c>
      <c r="N88" t="s">
        <v>40</v>
      </c>
      <c r="O88">
        <v>1749</v>
      </c>
      <c r="P88" s="9">
        <v>28577</v>
      </c>
      <c r="Q88" t="s">
        <v>41</v>
      </c>
      <c r="R88" t="s">
        <v>618</v>
      </c>
      <c r="S88" t="s">
        <v>55</v>
      </c>
      <c r="T88" t="s">
        <v>44</v>
      </c>
      <c r="U88" t="s">
        <v>45</v>
      </c>
      <c r="V88" t="s">
        <v>85</v>
      </c>
      <c r="W88" s="9">
        <v>40579</v>
      </c>
      <c r="X88" s="9">
        <v>41400</v>
      </c>
      <c r="Y88" t="s">
        <v>107</v>
      </c>
      <c r="Z88" t="s">
        <v>108</v>
      </c>
      <c r="AA88" t="s">
        <v>78</v>
      </c>
      <c r="AB88" t="s">
        <v>79</v>
      </c>
      <c r="AC88" t="s">
        <v>60</v>
      </c>
      <c r="AD88" t="s">
        <v>122</v>
      </c>
      <c r="AE88">
        <v>2.1</v>
      </c>
      <c r="AF88">
        <v>5</v>
      </c>
      <c r="AG88">
        <v>4</v>
      </c>
      <c r="AH88" s="9">
        <v>41190</v>
      </c>
      <c r="AI88">
        <v>19</v>
      </c>
      <c r="AJ88">
        <v>35</v>
      </c>
      <c r="AK88">
        <v>2</v>
      </c>
      <c r="AL88">
        <v>10</v>
      </c>
      <c r="AM88">
        <f>IF(Cleaned_Data[[#This Row],[DateofTermination]]="","",YEAR(Cleaned_Data[[#This Row],[DateofTermination]]))</f>
        <v>2013</v>
      </c>
      <c r="AN88">
        <v>1</v>
      </c>
    </row>
    <row r="89" spans="1:40" x14ac:dyDescent="0.35">
      <c r="A89" t="s">
        <v>531</v>
      </c>
      <c r="B89">
        <v>10263</v>
      </c>
      <c r="C89">
        <v>1</v>
      </c>
      <c r="D89">
        <v>1</v>
      </c>
      <c r="E89">
        <v>0</v>
      </c>
      <c r="F89">
        <v>1</v>
      </c>
      <c r="G89">
        <v>5</v>
      </c>
      <c r="H89">
        <v>3</v>
      </c>
      <c r="I89">
        <v>0</v>
      </c>
      <c r="J89">
        <v>71776</v>
      </c>
      <c r="K89">
        <v>0</v>
      </c>
      <c r="L89">
        <v>20</v>
      </c>
      <c r="M89" t="s">
        <v>500</v>
      </c>
      <c r="N89" t="s">
        <v>40</v>
      </c>
      <c r="O89">
        <v>1824</v>
      </c>
      <c r="P89" s="9">
        <v>24852</v>
      </c>
      <c r="Q89" t="s">
        <v>41</v>
      </c>
      <c r="R89" t="s">
        <v>618</v>
      </c>
      <c r="S89" t="s">
        <v>55</v>
      </c>
      <c r="T89" t="s">
        <v>44</v>
      </c>
      <c r="U89" t="s">
        <v>45</v>
      </c>
      <c r="V89" t="s">
        <v>85</v>
      </c>
      <c r="W89" s="9">
        <v>41827</v>
      </c>
      <c r="X89" s="9"/>
      <c r="Y89" t="s">
        <v>47</v>
      </c>
      <c r="Z89" t="s">
        <v>48</v>
      </c>
      <c r="AA89" t="s">
        <v>495</v>
      </c>
      <c r="AB89" t="s">
        <v>68</v>
      </c>
      <c r="AC89" t="s">
        <v>496</v>
      </c>
      <c r="AD89" t="s">
        <v>61</v>
      </c>
      <c r="AE89">
        <v>4.4000000000000004</v>
      </c>
      <c r="AF89">
        <v>5</v>
      </c>
      <c r="AG89">
        <v>0</v>
      </c>
      <c r="AH89" s="9">
        <v>43518</v>
      </c>
      <c r="AI89">
        <v>17</v>
      </c>
      <c r="AJ89">
        <v>52</v>
      </c>
      <c r="AK89">
        <v>5</v>
      </c>
      <c r="AL89">
        <v>16</v>
      </c>
      <c r="AM89" t="str">
        <f>IF(Cleaned_Data[[#This Row],[DateofTermination]]="","",YEAR(Cleaned_Data[[#This Row],[DateofTermination]]))</f>
        <v/>
      </c>
      <c r="AN89">
        <v>1</v>
      </c>
    </row>
    <row r="90" spans="1:40" x14ac:dyDescent="0.35">
      <c r="A90" t="s">
        <v>225</v>
      </c>
      <c r="B90">
        <v>10136</v>
      </c>
      <c r="C90">
        <v>0</v>
      </c>
      <c r="D90">
        <v>0</v>
      </c>
      <c r="E90">
        <v>0</v>
      </c>
      <c r="F90">
        <v>1</v>
      </c>
      <c r="G90">
        <v>5</v>
      </c>
      <c r="H90">
        <v>3</v>
      </c>
      <c r="I90">
        <v>0</v>
      </c>
      <c r="J90">
        <v>65902</v>
      </c>
      <c r="K90">
        <v>0</v>
      </c>
      <c r="L90">
        <v>20</v>
      </c>
      <c r="M90" t="s">
        <v>500</v>
      </c>
      <c r="N90" t="s">
        <v>40</v>
      </c>
      <c r="O90">
        <v>2324</v>
      </c>
      <c r="P90" s="9">
        <v>30452</v>
      </c>
      <c r="Q90" t="s">
        <v>41</v>
      </c>
      <c r="R90" t="s">
        <v>618</v>
      </c>
      <c r="S90" t="s">
        <v>43</v>
      </c>
      <c r="T90" t="s">
        <v>44</v>
      </c>
      <c r="U90" t="s">
        <v>45</v>
      </c>
      <c r="V90" t="s">
        <v>85</v>
      </c>
      <c r="W90" s="9">
        <v>41687</v>
      </c>
      <c r="X90" s="9"/>
      <c r="Y90" t="s">
        <v>47</v>
      </c>
      <c r="Z90" t="s">
        <v>48</v>
      </c>
      <c r="AA90" t="s">
        <v>495</v>
      </c>
      <c r="AB90" t="s">
        <v>72</v>
      </c>
      <c r="AC90" t="s">
        <v>496</v>
      </c>
      <c r="AD90" t="s">
        <v>61</v>
      </c>
      <c r="AE90">
        <v>4</v>
      </c>
      <c r="AF90">
        <v>4</v>
      </c>
      <c r="AG90">
        <v>0</v>
      </c>
      <c r="AH90" s="9">
        <v>43647</v>
      </c>
      <c r="AI90">
        <v>7</v>
      </c>
      <c r="AJ90">
        <v>37</v>
      </c>
      <c r="AK90">
        <v>6</v>
      </c>
      <c r="AL90">
        <v>39</v>
      </c>
      <c r="AM90" t="str">
        <f>IF(Cleaned_Data[[#This Row],[DateofTermination]]="","",YEAR(Cleaned_Data[[#This Row],[DateofTermination]]))</f>
        <v/>
      </c>
      <c r="AN90">
        <v>1</v>
      </c>
    </row>
    <row r="91" spans="1:40" x14ac:dyDescent="0.35">
      <c r="A91" t="s">
        <v>226</v>
      </c>
      <c r="B91">
        <v>10189</v>
      </c>
      <c r="C91">
        <v>1</v>
      </c>
      <c r="D91">
        <v>1</v>
      </c>
      <c r="E91">
        <v>0</v>
      </c>
      <c r="F91">
        <v>5</v>
      </c>
      <c r="G91">
        <v>5</v>
      </c>
      <c r="H91">
        <v>3</v>
      </c>
      <c r="I91">
        <v>0</v>
      </c>
      <c r="J91">
        <v>57748</v>
      </c>
      <c r="K91">
        <v>1</v>
      </c>
      <c r="L91">
        <v>19</v>
      </c>
      <c r="M91" t="s">
        <v>39</v>
      </c>
      <c r="N91" t="s">
        <v>40</v>
      </c>
      <c r="O91">
        <v>2176</v>
      </c>
      <c r="P91" s="9">
        <v>31121</v>
      </c>
      <c r="Q91" t="s">
        <v>41</v>
      </c>
      <c r="R91" t="s">
        <v>618</v>
      </c>
      <c r="S91" t="s">
        <v>55</v>
      </c>
      <c r="T91" t="s">
        <v>44</v>
      </c>
      <c r="U91" t="s">
        <v>45</v>
      </c>
      <c r="V91" t="s">
        <v>46</v>
      </c>
      <c r="W91" s="9">
        <v>40735</v>
      </c>
      <c r="X91" s="9">
        <v>42566</v>
      </c>
      <c r="Y91" t="s">
        <v>216</v>
      </c>
      <c r="Z91" t="s">
        <v>57</v>
      </c>
      <c r="AA91" t="s">
        <v>495</v>
      </c>
      <c r="AB91" t="s">
        <v>72</v>
      </c>
      <c r="AC91" t="s">
        <v>73</v>
      </c>
      <c r="AD91" t="s">
        <v>61</v>
      </c>
      <c r="AE91">
        <v>3.13</v>
      </c>
      <c r="AF91">
        <v>3</v>
      </c>
      <c r="AG91">
        <v>0</v>
      </c>
      <c r="AH91" s="9">
        <v>42462</v>
      </c>
      <c r="AI91">
        <v>16</v>
      </c>
      <c r="AJ91">
        <v>31</v>
      </c>
      <c r="AK91">
        <v>5</v>
      </c>
      <c r="AL91">
        <v>39</v>
      </c>
      <c r="AM91">
        <f>IF(Cleaned_Data[[#This Row],[DateofTermination]]="","",YEAR(Cleaned_Data[[#This Row],[DateofTermination]]))</f>
        <v>2016</v>
      </c>
      <c r="AN91">
        <v>1</v>
      </c>
    </row>
    <row r="92" spans="1:40" x14ac:dyDescent="0.35">
      <c r="A92" t="s">
        <v>532</v>
      </c>
      <c r="B92">
        <v>10308</v>
      </c>
      <c r="C92">
        <v>1</v>
      </c>
      <c r="D92">
        <v>1</v>
      </c>
      <c r="E92">
        <v>1</v>
      </c>
      <c r="F92">
        <v>1</v>
      </c>
      <c r="G92">
        <v>5</v>
      </c>
      <c r="H92">
        <v>1</v>
      </c>
      <c r="I92">
        <v>0</v>
      </c>
      <c r="J92">
        <v>64057</v>
      </c>
      <c r="K92">
        <v>0</v>
      </c>
      <c r="L92">
        <v>19</v>
      </c>
      <c r="M92" t="s">
        <v>39</v>
      </c>
      <c r="N92" t="s">
        <v>40</v>
      </c>
      <c r="O92">
        <v>2132</v>
      </c>
      <c r="P92" s="9">
        <v>33381</v>
      </c>
      <c r="Q92" t="s">
        <v>41</v>
      </c>
      <c r="R92" t="s">
        <v>617</v>
      </c>
      <c r="S92" t="s">
        <v>55</v>
      </c>
      <c r="T92" t="s">
        <v>44</v>
      </c>
      <c r="U92" t="s">
        <v>45</v>
      </c>
      <c r="V92" t="s">
        <v>46</v>
      </c>
      <c r="W92" s="9">
        <v>42313</v>
      </c>
      <c r="X92" s="9"/>
      <c r="Y92" t="s">
        <v>47</v>
      </c>
      <c r="Z92" t="s">
        <v>48</v>
      </c>
      <c r="AA92" t="s">
        <v>495</v>
      </c>
      <c r="AB92" t="s">
        <v>75</v>
      </c>
      <c r="AC92" t="s">
        <v>60</v>
      </c>
      <c r="AD92" t="s">
        <v>195</v>
      </c>
      <c r="AE92">
        <v>1.56</v>
      </c>
      <c r="AF92">
        <v>5</v>
      </c>
      <c r="AG92">
        <v>0</v>
      </c>
      <c r="AH92" s="9">
        <v>43525</v>
      </c>
      <c r="AI92">
        <v>15</v>
      </c>
      <c r="AJ92">
        <v>29</v>
      </c>
      <c r="AK92">
        <v>4</v>
      </c>
      <c r="AL92">
        <v>11</v>
      </c>
      <c r="AM92" t="str">
        <f>IF(Cleaned_Data[[#This Row],[DateofTermination]]="","",YEAR(Cleaned_Data[[#This Row],[DateofTermination]]))</f>
        <v/>
      </c>
      <c r="AN92">
        <v>1</v>
      </c>
    </row>
    <row r="93" spans="1:40" x14ac:dyDescent="0.35">
      <c r="A93" t="s">
        <v>228</v>
      </c>
      <c r="B93">
        <v>10309</v>
      </c>
      <c r="C93">
        <v>0</v>
      </c>
      <c r="D93">
        <v>0</v>
      </c>
      <c r="E93">
        <v>1</v>
      </c>
      <c r="F93">
        <v>1</v>
      </c>
      <c r="G93">
        <v>3</v>
      </c>
      <c r="H93">
        <v>1</v>
      </c>
      <c r="I93">
        <v>0</v>
      </c>
      <c r="J93">
        <v>53366</v>
      </c>
      <c r="K93">
        <v>0</v>
      </c>
      <c r="L93">
        <v>15</v>
      </c>
      <c r="M93" t="s">
        <v>229</v>
      </c>
      <c r="N93" t="s">
        <v>40</v>
      </c>
      <c r="O93">
        <v>2138</v>
      </c>
      <c r="P93" s="9">
        <v>20407</v>
      </c>
      <c r="Q93" t="s">
        <v>96</v>
      </c>
      <c r="R93" t="s">
        <v>617</v>
      </c>
      <c r="S93" t="s">
        <v>43</v>
      </c>
      <c r="T93" t="s">
        <v>44</v>
      </c>
      <c r="U93" t="s">
        <v>45</v>
      </c>
      <c r="V93" t="s">
        <v>46</v>
      </c>
      <c r="W93" s="9">
        <v>42093</v>
      </c>
      <c r="X93" s="9"/>
      <c r="Y93" t="s">
        <v>47</v>
      </c>
      <c r="Z93" t="s">
        <v>48</v>
      </c>
      <c r="AA93" t="s">
        <v>499</v>
      </c>
      <c r="AB93" t="s">
        <v>90</v>
      </c>
      <c r="AC93" t="s">
        <v>496</v>
      </c>
      <c r="AD93" t="s">
        <v>195</v>
      </c>
      <c r="AE93">
        <v>1.2</v>
      </c>
      <c r="AF93">
        <v>3</v>
      </c>
      <c r="AG93">
        <v>6</v>
      </c>
      <c r="AH93" s="9">
        <v>43557</v>
      </c>
      <c r="AI93">
        <v>2</v>
      </c>
      <c r="AJ93">
        <v>64</v>
      </c>
      <c r="AK93">
        <v>5</v>
      </c>
      <c r="AL93">
        <v>7</v>
      </c>
      <c r="AM93" t="str">
        <f>IF(Cleaned_Data[[#This Row],[DateofTermination]]="","",YEAR(Cleaned_Data[[#This Row],[DateofTermination]]))</f>
        <v/>
      </c>
      <c r="AN93">
        <v>1</v>
      </c>
    </row>
    <row r="94" spans="1:40" x14ac:dyDescent="0.35">
      <c r="A94" t="s">
        <v>230</v>
      </c>
      <c r="B94">
        <v>10049</v>
      </c>
      <c r="C94">
        <v>1</v>
      </c>
      <c r="D94">
        <v>1</v>
      </c>
      <c r="E94">
        <v>0</v>
      </c>
      <c r="F94">
        <v>1</v>
      </c>
      <c r="G94">
        <v>5</v>
      </c>
      <c r="H94">
        <v>3</v>
      </c>
      <c r="I94">
        <v>0</v>
      </c>
      <c r="J94">
        <v>58530</v>
      </c>
      <c r="K94">
        <v>0</v>
      </c>
      <c r="L94">
        <v>19</v>
      </c>
      <c r="M94" t="s">
        <v>39</v>
      </c>
      <c r="N94" t="s">
        <v>40</v>
      </c>
      <c r="O94">
        <v>2155</v>
      </c>
      <c r="P94" s="9">
        <v>31921</v>
      </c>
      <c r="Q94" t="s">
        <v>41</v>
      </c>
      <c r="R94" t="s">
        <v>618</v>
      </c>
      <c r="S94" t="s">
        <v>55</v>
      </c>
      <c r="T94" t="s">
        <v>44</v>
      </c>
      <c r="U94" t="s">
        <v>45</v>
      </c>
      <c r="V94" t="s">
        <v>46</v>
      </c>
      <c r="W94" s="9">
        <v>41153</v>
      </c>
      <c r="X94" s="9"/>
      <c r="Y94" t="s">
        <v>47</v>
      </c>
      <c r="Z94" t="s">
        <v>48</v>
      </c>
      <c r="AA94" t="s">
        <v>495</v>
      </c>
      <c r="AB94" t="s">
        <v>86</v>
      </c>
      <c r="AC94" t="s">
        <v>73</v>
      </c>
      <c r="AD94" t="s">
        <v>61</v>
      </c>
      <c r="AE94">
        <v>5</v>
      </c>
      <c r="AF94">
        <v>5</v>
      </c>
      <c r="AG94">
        <v>0</v>
      </c>
      <c r="AH94" s="9">
        <v>43494</v>
      </c>
      <c r="AI94">
        <v>19</v>
      </c>
      <c r="AJ94">
        <v>33</v>
      </c>
      <c r="AK94">
        <v>7</v>
      </c>
      <c r="AL94">
        <v>12</v>
      </c>
      <c r="AM94" t="str">
        <f>IF(Cleaned_Data[[#This Row],[DateofTermination]]="","",YEAR(Cleaned_Data[[#This Row],[DateofTermination]]))</f>
        <v/>
      </c>
      <c r="AN94">
        <v>1</v>
      </c>
    </row>
    <row r="95" spans="1:40" x14ac:dyDescent="0.35">
      <c r="A95" t="s">
        <v>231</v>
      </c>
      <c r="B95">
        <v>10093</v>
      </c>
      <c r="C95">
        <v>0</v>
      </c>
      <c r="D95">
        <v>0</v>
      </c>
      <c r="E95">
        <v>1</v>
      </c>
      <c r="F95">
        <v>5</v>
      </c>
      <c r="G95">
        <v>5</v>
      </c>
      <c r="H95">
        <v>3</v>
      </c>
      <c r="I95">
        <v>0</v>
      </c>
      <c r="J95">
        <v>72609</v>
      </c>
      <c r="K95">
        <v>1</v>
      </c>
      <c r="L95">
        <v>20</v>
      </c>
      <c r="M95" t="s">
        <v>500</v>
      </c>
      <c r="N95" t="s">
        <v>40</v>
      </c>
      <c r="O95">
        <v>2143</v>
      </c>
      <c r="P95" s="9">
        <v>29097</v>
      </c>
      <c r="Q95" t="s">
        <v>41</v>
      </c>
      <c r="R95" t="s">
        <v>617</v>
      </c>
      <c r="S95" t="s">
        <v>43</v>
      </c>
      <c r="T95" t="s">
        <v>44</v>
      </c>
      <c r="U95" t="s">
        <v>92</v>
      </c>
      <c r="V95" t="s">
        <v>46</v>
      </c>
      <c r="W95" s="9">
        <v>40679</v>
      </c>
      <c r="X95" s="9">
        <v>41449</v>
      </c>
      <c r="Y95" t="s">
        <v>65</v>
      </c>
      <c r="Z95" t="s">
        <v>57</v>
      </c>
      <c r="AA95" t="s">
        <v>495</v>
      </c>
      <c r="AB95" t="s">
        <v>75</v>
      </c>
      <c r="AC95" t="s">
        <v>73</v>
      </c>
      <c r="AD95" t="s">
        <v>61</v>
      </c>
      <c r="AE95">
        <v>4.76</v>
      </c>
      <c r="AF95">
        <v>5</v>
      </c>
      <c r="AG95">
        <v>0</v>
      </c>
      <c r="AH95" s="9">
        <v>41398</v>
      </c>
      <c r="AI95">
        <v>20</v>
      </c>
      <c r="AJ95">
        <v>34</v>
      </c>
      <c r="AK95">
        <v>2</v>
      </c>
      <c r="AL95">
        <v>11</v>
      </c>
      <c r="AM95">
        <f>IF(Cleaned_Data[[#This Row],[DateofTermination]]="","",YEAR(Cleaned_Data[[#This Row],[DateofTermination]]))</f>
        <v>2013</v>
      </c>
      <c r="AN95">
        <v>1</v>
      </c>
    </row>
    <row r="96" spans="1:40" x14ac:dyDescent="0.35">
      <c r="A96" t="s">
        <v>232</v>
      </c>
      <c r="B96">
        <v>10163</v>
      </c>
      <c r="C96">
        <v>1</v>
      </c>
      <c r="D96">
        <v>1</v>
      </c>
      <c r="E96">
        <v>0</v>
      </c>
      <c r="F96">
        <v>5</v>
      </c>
      <c r="G96">
        <v>5</v>
      </c>
      <c r="H96">
        <v>3</v>
      </c>
      <c r="I96">
        <v>0</v>
      </c>
      <c r="J96">
        <v>55965</v>
      </c>
      <c r="K96">
        <v>1</v>
      </c>
      <c r="L96">
        <v>20</v>
      </c>
      <c r="M96" t="s">
        <v>500</v>
      </c>
      <c r="N96" t="s">
        <v>40</v>
      </c>
      <c r="O96">
        <v>2170</v>
      </c>
      <c r="P96" s="9">
        <v>28910</v>
      </c>
      <c r="Q96" t="s">
        <v>41</v>
      </c>
      <c r="R96" t="s">
        <v>618</v>
      </c>
      <c r="S96" t="s">
        <v>55</v>
      </c>
      <c r="T96" t="s">
        <v>44</v>
      </c>
      <c r="U96" t="s">
        <v>45</v>
      </c>
      <c r="V96" t="s">
        <v>46</v>
      </c>
      <c r="W96" s="9">
        <v>40637</v>
      </c>
      <c r="X96" s="9">
        <v>41518</v>
      </c>
      <c r="Y96" t="s">
        <v>56</v>
      </c>
      <c r="Z96" t="s">
        <v>57</v>
      </c>
      <c r="AA96" t="s">
        <v>495</v>
      </c>
      <c r="AB96" t="s">
        <v>82</v>
      </c>
      <c r="AC96" t="s">
        <v>73</v>
      </c>
      <c r="AD96" t="s">
        <v>61</v>
      </c>
      <c r="AE96">
        <v>3.66</v>
      </c>
      <c r="AF96">
        <v>3</v>
      </c>
      <c r="AG96">
        <v>0</v>
      </c>
      <c r="AH96" s="9">
        <v>41091</v>
      </c>
      <c r="AI96">
        <v>6</v>
      </c>
      <c r="AJ96">
        <v>35</v>
      </c>
      <c r="AK96">
        <v>2</v>
      </c>
      <c r="AL96">
        <v>19</v>
      </c>
      <c r="AM96">
        <f>IF(Cleaned_Data[[#This Row],[DateofTermination]]="","",YEAR(Cleaned_Data[[#This Row],[DateofTermination]]))</f>
        <v>2013</v>
      </c>
      <c r="AN96">
        <v>1</v>
      </c>
    </row>
    <row r="97" spans="1:40" x14ac:dyDescent="0.35">
      <c r="A97" t="s">
        <v>233</v>
      </c>
      <c r="B97">
        <v>10305</v>
      </c>
      <c r="C97">
        <v>1</v>
      </c>
      <c r="D97">
        <v>1</v>
      </c>
      <c r="E97">
        <v>1</v>
      </c>
      <c r="F97">
        <v>1</v>
      </c>
      <c r="G97">
        <v>6</v>
      </c>
      <c r="H97">
        <v>3</v>
      </c>
      <c r="I97">
        <v>0</v>
      </c>
      <c r="J97">
        <v>70187</v>
      </c>
      <c r="K97">
        <v>1</v>
      </c>
      <c r="L97">
        <v>3</v>
      </c>
      <c r="M97" t="s">
        <v>143</v>
      </c>
      <c r="N97" t="s">
        <v>40</v>
      </c>
      <c r="O97">
        <v>2330</v>
      </c>
      <c r="P97" s="9">
        <v>28719</v>
      </c>
      <c r="Q97" t="s">
        <v>41</v>
      </c>
      <c r="R97" t="s">
        <v>617</v>
      </c>
      <c r="S97" t="s">
        <v>55</v>
      </c>
      <c r="T97" t="s">
        <v>44</v>
      </c>
      <c r="U97" t="s">
        <v>45</v>
      </c>
      <c r="V97" t="s">
        <v>46</v>
      </c>
      <c r="W97" s="9">
        <v>41911</v>
      </c>
      <c r="X97" s="9">
        <v>43361</v>
      </c>
      <c r="Y97" t="s">
        <v>234</v>
      </c>
      <c r="Z97" t="s">
        <v>108</v>
      </c>
      <c r="AA97" t="s">
        <v>145</v>
      </c>
      <c r="AB97" t="s">
        <v>164</v>
      </c>
      <c r="AC97" t="s">
        <v>625</v>
      </c>
      <c r="AD97" t="s">
        <v>195</v>
      </c>
      <c r="AE97">
        <v>2</v>
      </c>
      <c r="AF97">
        <v>5</v>
      </c>
      <c r="AG97">
        <v>0</v>
      </c>
      <c r="AH97" s="9">
        <v>43493</v>
      </c>
      <c r="AI97">
        <v>7</v>
      </c>
      <c r="AJ97">
        <v>40</v>
      </c>
      <c r="AK97">
        <v>4</v>
      </c>
      <c r="AL97">
        <v>21</v>
      </c>
      <c r="AM97">
        <f>IF(Cleaned_Data[[#This Row],[DateofTermination]]="","",YEAR(Cleaned_Data[[#This Row],[DateofTermination]]))</f>
        <v>2018</v>
      </c>
      <c r="AN97">
        <v>1</v>
      </c>
    </row>
    <row r="98" spans="1:40" x14ac:dyDescent="0.35">
      <c r="A98" t="s">
        <v>235</v>
      </c>
      <c r="B98">
        <v>10015</v>
      </c>
      <c r="C98">
        <v>0</v>
      </c>
      <c r="D98">
        <v>0</v>
      </c>
      <c r="E98">
        <v>1</v>
      </c>
      <c r="F98">
        <v>1</v>
      </c>
      <c r="G98">
        <v>3</v>
      </c>
      <c r="H98">
        <v>4</v>
      </c>
      <c r="I98">
        <v>0</v>
      </c>
      <c r="J98">
        <v>178000</v>
      </c>
      <c r="K98">
        <v>0</v>
      </c>
      <c r="L98">
        <v>12</v>
      </c>
      <c r="M98" t="s">
        <v>533</v>
      </c>
      <c r="N98" t="s">
        <v>40</v>
      </c>
      <c r="O98">
        <v>1460</v>
      </c>
      <c r="P98" s="9">
        <v>29348</v>
      </c>
      <c r="Q98" t="s">
        <v>41</v>
      </c>
      <c r="R98" t="s">
        <v>617</v>
      </c>
      <c r="S98" t="s">
        <v>43</v>
      </c>
      <c r="T98" t="s">
        <v>44</v>
      </c>
      <c r="U98" t="s">
        <v>45</v>
      </c>
      <c r="V98" t="s">
        <v>85</v>
      </c>
      <c r="W98" s="9">
        <v>40648</v>
      </c>
      <c r="X98" s="9"/>
      <c r="Y98" t="s">
        <v>47</v>
      </c>
      <c r="Z98" t="s">
        <v>48</v>
      </c>
      <c r="AA98" t="s">
        <v>499</v>
      </c>
      <c r="AB98" t="s">
        <v>151</v>
      </c>
      <c r="AC98" t="s">
        <v>60</v>
      </c>
      <c r="AD98" t="s">
        <v>52</v>
      </c>
      <c r="AE98">
        <v>5</v>
      </c>
      <c r="AF98">
        <v>5</v>
      </c>
      <c r="AG98">
        <v>5</v>
      </c>
      <c r="AH98" s="9">
        <v>43647</v>
      </c>
      <c r="AI98">
        <v>15</v>
      </c>
      <c r="AJ98">
        <v>40</v>
      </c>
      <c r="AK98">
        <v>9</v>
      </c>
      <c r="AL98">
        <v>5</v>
      </c>
      <c r="AM98" t="str">
        <f>IF(Cleaned_Data[[#This Row],[DateofTermination]]="","",YEAR(Cleaned_Data[[#This Row],[DateofTermination]]))</f>
        <v/>
      </c>
      <c r="AN98">
        <v>1</v>
      </c>
    </row>
    <row r="99" spans="1:40" x14ac:dyDescent="0.35">
      <c r="A99" t="s">
        <v>237</v>
      </c>
      <c r="B99">
        <v>10080</v>
      </c>
      <c r="C99">
        <v>1</v>
      </c>
      <c r="D99">
        <v>1</v>
      </c>
      <c r="E99">
        <v>0</v>
      </c>
      <c r="F99">
        <v>1</v>
      </c>
      <c r="G99">
        <v>1</v>
      </c>
      <c r="H99">
        <v>3</v>
      </c>
      <c r="I99">
        <v>0</v>
      </c>
      <c r="J99">
        <v>99351</v>
      </c>
      <c r="K99">
        <v>0</v>
      </c>
      <c r="L99">
        <v>26</v>
      </c>
      <c r="M99" t="s">
        <v>129</v>
      </c>
      <c r="N99" t="s">
        <v>40</v>
      </c>
      <c r="O99">
        <v>2050</v>
      </c>
      <c r="P99" s="9">
        <v>28961</v>
      </c>
      <c r="Q99" t="s">
        <v>41</v>
      </c>
      <c r="R99" t="s">
        <v>618</v>
      </c>
      <c r="S99" t="s">
        <v>55</v>
      </c>
      <c r="T99" t="s">
        <v>44</v>
      </c>
      <c r="U99" t="s">
        <v>238</v>
      </c>
      <c r="V99" t="s">
        <v>46</v>
      </c>
      <c r="W99" s="9">
        <v>39934</v>
      </c>
      <c r="X99" s="9"/>
      <c r="Y99" t="s">
        <v>47</v>
      </c>
      <c r="Z99" t="s">
        <v>48</v>
      </c>
      <c r="AA99" t="s">
        <v>130</v>
      </c>
      <c r="AB99" t="s">
        <v>493</v>
      </c>
      <c r="AC99" t="s">
        <v>240</v>
      </c>
      <c r="AD99" t="s">
        <v>61</v>
      </c>
      <c r="AE99">
        <v>5</v>
      </c>
      <c r="AF99">
        <v>3</v>
      </c>
      <c r="AG99">
        <v>2</v>
      </c>
      <c r="AH99" s="9">
        <v>43679</v>
      </c>
      <c r="AI99">
        <v>3</v>
      </c>
      <c r="AJ99">
        <v>41</v>
      </c>
      <c r="AK99">
        <v>11</v>
      </c>
      <c r="AL99">
        <v>9</v>
      </c>
      <c r="AM99" t="str">
        <f>IF(Cleaned_Data[[#This Row],[DateofTermination]]="","",YEAR(Cleaned_Data[[#This Row],[DateofTermination]]))</f>
        <v/>
      </c>
      <c r="AN99">
        <v>1</v>
      </c>
    </row>
    <row r="100" spans="1:40" x14ac:dyDescent="0.35">
      <c r="A100" t="s">
        <v>534</v>
      </c>
      <c r="B100">
        <v>10258</v>
      </c>
      <c r="C100">
        <v>0</v>
      </c>
      <c r="D100">
        <v>0</v>
      </c>
      <c r="E100">
        <v>1</v>
      </c>
      <c r="F100">
        <v>1</v>
      </c>
      <c r="G100">
        <v>6</v>
      </c>
      <c r="H100">
        <v>3</v>
      </c>
      <c r="I100">
        <v>0</v>
      </c>
      <c r="J100">
        <v>67251</v>
      </c>
      <c r="K100">
        <v>0</v>
      </c>
      <c r="L100">
        <v>3</v>
      </c>
      <c r="M100" t="s">
        <v>143</v>
      </c>
      <c r="N100" t="s">
        <v>126</v>
      </c>
      <c r="O100">
        <v>6050</v>
      </c>
      <c r="P100" s="9">
        <v>23251</v>
      </c>
      <c r="Q100" t="s">
        <v>96</v>
      </c>
      <c r="R100" t="s">
        <v>617</v>
      </c>
      <c r="S100" t="s">
        <v>43</v>
      </c>
      <c r="T100" t="s">
        <v>44</v>
      </c>
      <c r="U100" t="s">
        <v>45</v>
      </c>
      <c r="V100" t="s">
        <v>85</v>
      </c>
      <c r="W100" s="9">
        <v>40703</v>
      </c>
      <c r="X100" s="9"/>
      <c r="Y100" t="s">
        <v>47</v>
      </c>
      <c r="Z100" t="s">
        <v>48</v>
      </c>
      <c r="AA100" t="s">
        <v>145</v>
      </c>
      <c r="AB100" t="s">
        <v>164</v>
      </c>
      <c r="AC100" t="s">
        <v>508</v>
      </c>
      <c r="AD100" t="s">
        <v>61</v>
      </c>
      <c r="AE100">
        <v>4.3</v>
      </c>
      <c r="AF100">
        <v>3</v>
      </c>
      <c r="AG100">
        <v>0</v>
      </c>
      <c r="AH100" s="9">
        <v>43492</v>
      </c>
      <c r="AI100">
        <v>7</v>
      </c>
      <c r="AJ100">
        <v>56</v>
      </c>
      <c r="AK100">
        <v>9</v>
      </c>
      <c r="AL100">
        <v>21</v>
      </c>
      <c r="AM100" t="str">
        <f>IF(Cleaned_Data[[#This Row],[DateofTermination]]="","",YEAR(Cleaned_Data[[#This Row],[DateofTermination]]))</f>
        <v/>
      </c>
      <c r="AN100">
        <v>1</v>
      </c>
    </row>
    <row r="101" spans="1:40" x14ac:dyDescent="0.35">
      <c r="A101" t="s">
        <v>242</v>
      </c>
      <c r="B101">
        <v>10273</v>
      </c>
      <c r="C101">
        <v>0</v>
      </c>
      <c r="D101">
        <v>0</v>
      </c>
      <c r="E101">
        <v>0</v>
      </c>
      <c r="F101">
        <v>1</v>
      </c>
      <c r="G101">
        <v>3</v>
      </c>
      <c r="H101">
        <v>3</v>
      </c>
      <c r="I101">
        <v>0</v>
      </c>
      <c r="J101">
        <v>65707</v>
      </c>
      <c r="K101">
        <v>0</v>
      </c>
      <c r="L101">
        <v>14</v>
      </c>
      <c r="M101" t="s">
        <v>505</v>
      </c>
      <c r="N101" t="s">
        <v>126</v>
      </c>
      <c r="O101">
        <v>6040</v>
      </c>
      <c r="P101" s="9">
        <v>31305</v>
      </c>
      <c r="Q101" t="s">
        <v>41</v>
      </c>
      <c r="R101" t="s">
        <v>618</v>
      </c>
      <c r="S101" t="s">
        <v>43</v>
      </c>
      <c r="T101" t="s">
        <v>44</v>
      </c>
      <c r="U101" t="s">
        <v>45</v>
      </c>
      <c r="V101" t="s">
        <v>46</v>
      </c>
      <c r="W101" s="9">
        <v>40183</v>
      </c>
      <c r="X101" s="9"/>
      <c r="Y101" t="s">
        <v>47</v>
      </c>
      <c r="Z101" t="s">
        <v>48</v>
      </c>
      <c r="AA101" t="s">
        <v>499</v>
      </c>
      <c r="AB101" t="s">
        <v>170</v>
      </c>
      <c r="AC101" t="s">
        <v>496</v>
      </c>
      <c r="AD101" t="s">
        <v>61</v>
      </c>
      <c r="AE101">
        <v>4.7</v>
      </c>
      <c r="AF101">
        <v>4</v>
      </c>
      <c r="AG101">
        <v>5</v>
      </c>
      <c r="AH101" s="9">
        <v>43467</v>
      </c>
      <c r="AI101">
        <v>1</v>
      </c>
      <c r="AJ101">
        <v>34</v>
      </c>
      <c r="AK101">
        <v>10</v>
      </c>
      <c r="AL101">
        <v>6</v>
      </c>
      <c r="AM101" t="str">
        <f>IF(Cleaned_Data[[#This Row],[DateofTermination]]="","",YEAR(Cleaned_Data[[#This Row],[DateofTermination]]))</f>
        <v/>
      </c>
      <c r="AN101">
        <v>1</v>
      </c>
    </row>
    <row r="102" spans="1:40" x14ac:dyDescent="0.35">
      <c r="A102" t="s">
        <v>243</v>
      </c>
      <c r="B102">
        <v>10111</v>
      </c>
      <c r="C102">
        <v>0</v>
      </c>
      <c r="D102">
        <v>0</v>
      </c>
      <c r="E102">
        <v>1</v>
      </c>
      <c r="F102">
        <v>1</v>
      </c>
      <c r="G102">
        <v>5</v>
      </c>
      <c r="H102">
        <v>3</v>
      </c>
      <c r="I102">
        <v>0</v>
      </c>
      <c r="J102">
        <v>52249</v>
      </c>
      <c r="K102">
        <v>0</v>
      </c>
      <c r="L102">
        <v>19</v>
      </c>
      <c r="M102" t="s">
        <v>39</v>
      </c>
      <c r="N102" t="s">
        <v>40</v>
      </c>
      <c r="O102">
        <v>1905</v>
      </c>
      <c r="P102" s="9">
        <v>25703</v>
      </c>
      <c r="Q102" t="s">
        <v>41</v>
      </c>
      <c r="R102" t="s">
        <v>617</v>
      </c>
      <c r="S102" t="s">
        <v>43</v>
      </c>
      <c r="T102" t="s">
        <v>44</v>
      </c>
      <c r="U102" t="s">
        <v>92</v>
      </c>
      <c r="V102" t="s">
        <v>46</v>
      </c>
      <c r="W102" s="9">
        <v>42093</v>
      </c>
      <c r="X102" s="9"/>
      <c r="Y102" t="s">
        <v>47</v>
      </c>
      <c r="Z102" t="s">
        <v>48</v>
      </c>
      <c r="AA102" t="s">
        <v>495</v>
      </c>
      <c r="AB102" t="s">
        <v>94</v>
      </c>
      <c r="AC102" t="s">
        <v>625</v>
      </c>
      <c r="AD102" t="s">
        <v>61</v>
      </c>
      <c r="AE102">
        <v>4.5</v>
      </c>
      <c r="AF102">
        <v>3</v>
      </c>
      <c r="AG102">
        <v>0</v>
      </c>
      <c r="AH102" s="9">
        <v>43514</v>
      </c>
      <c r="AI102">
        <v>5</v>
      </c>
      <c r="AJ102">
        <v>50</v>
      </c>
      <c r="AK102">
        <v>5</v>
      </c>
      <c r="AL102">
        <v>14</v>
      </c>
      <c r="AM102" t="str">
        <f>IF(Cleaned_Data[[#This Row],[DateofTermination]]="","",YEAR(Cleaned_Data[[#This Row],[DateofTermination]]))</f>
        <v/>
      </c>
      <c r="AN102">
        <v>1</v>
      </c>
    </row>
    <row r="103" spans="1:40" x14ac:dyDescent="0.35">
      <c r="A103" t="s">
        <v>244</v>
      </c>
      <c r="B103">
        <v>10257</v>
      </c>
      <c r="C103">
        <v>0</v>
      </c>
      <c r="D103">
        <v>0</v>
      </c>
      <c r="E103">
        <v>0</v>
      </c>
      <c r="F103">
        <v>1</v>
      </c>
      <c r="G103">
        <v>5</v>
      </c>
      <c r="H103">
        <v>3</v>
      </c>
      <c r="I103">
        <v>0</v>
      </c>
      <c r="J103">
        <v>53171</v>
      </c>
      <c r="K103">
        <v>0</v>
      </c>
      <c r="L103">
        <v>19</v>
      </c>
      <c r="M103" t="s">
        <v>39</v>
      </c>
      <c r="N103" t="s">
        <v>40</v>
      </c>
      <c r="O103">
        <v>2121</v>
      </c>
      <c r="P103" s="9">
        <v>32773</v>
      </c>
      <c r="Q103" t="s">
        <v>41</v>
      </c>
      <c r="R103" t="s">
        <v>618</v>
      </c>
      <c r="S103" t="s">
        <v>43</v>
      </c>
      <c r="T103" t="s">
        <v>44</v>
      </c>
      <c r="U103" t="s">
        <v>92</v>
      </c>
      <c r="V103" t="s">
        <v>85</v>
      </c>
      <c r="W103" s="9">
        <v>40679</v>
      </c>
      <c r="X103" s="9"/>
      <c r="Y103" t="s">
        <v>47</v>
      </c>
      <c r="Z103" t="s">
        <v>48</v>
      </c>
      <c r="AA103" t="s">
        <v>495</v>
      </c>
      <c r="AB103" t="s">
        <v>103</v>
      </c>
      <c r="AC103" t="s">
        <v>496</v>
      </c>
      <c r="AD103" t="s">
        <v>61</v>
      </c>
      <c r="AE103">
        <v>4.2</v>
      </c>
      <c r="AF103">
        <v>4</v>
      </c>
      <c r="AG103">
        <v>0</v>
      </c>
      <c r="AH103" s="9">
        <v>43522</v>
      </c>
      <c r="AI103">
        <v>12</v>
      </c>
      <c r="AJ103">
        <v>30</v>
      </c>
      <c r="AK103">
        <v>9</v>
      </c>
      <c r="AL103">
        <v>18</v>
      </c>
      <c r="AM103" t="str">
        <f>IF(Cleaned_Data[[#This Row],[DateofTermination]]="","",YEAR(Cleaned_Data[[#This Row],[DateofTermination]]))</f>
        <v/>
      </c>
      <c r="AN103">
        <v>1</v>
      </c>
    </row>
    <row r="104" spans="1:40" x14ac:dyDescent="0.35">
      <c r="A104" t="s">
        <v>245</v>
      </c>
      <c r="B104">
        <v>10159</v>
      </c>
      <c r="C104">
        <v>1</v>
      </c>
      <c r="D104">
        <v>1</v>
      </c>
      <c r="E104">
        <v>0</v>
      </c>
      <c r="F104">
        <v>1</v>
      </c>
      <c r="G104">
        <v>5</v>
      </c>
      <c r="H104">
        <v>3</v>
      </c>
      <c r="I104">
        <v>0</v>
      </c>
      <c r="J104">
        <v>51337</v>
      </c>
      <c r="K104">
        <v>0</v>
      </c>
      <c r="L104">
        <v>19</v>
      </c>
      <c r="M104" t="s">
        <v>39</v>
      </c>
      <c r="N104" t="s">
        <v>40</v>
      </c>
      <c r="O104">
        <v>2145</v>
      </c>
      <c r="P104" s="9">
        <v>26229</v>
      </c>
      <c r="Q104" t="s">
        <v>41</v>
      </c>
      <c r="R104" t="s">
        <v>618</v>
      </c>
      <c r="S104" t="s">
        <v>55</v>
      </c>
      <c r="T104" t="s">
        <v>44</v>
      </c>
      <c r="U104" t="s">
        <v>45</v>
      </c>
      <c r="V104" t="s">
        <v>85</v>
      </c>
      <c r="W104" s="9">
        <v>42093</v>
      </c>
      <c r="X104" s="9"/>
      <c r="Y104" t="s">
        <v>47</v>
      </c>
      <c r="Z104" t="s">
        <v>48</v>
      </c>
      <c r="AA104" t="s">
        <v>495</v>
      </c>
      <c r="AB104" t="s">
        <v>50</v>
      </c>
      <c r="AC104" t="s">
        <v>496</v>
      </c>
      <c r="AD104" t="s">
        <v>61</v>
      </c>
      <c r="AE104">
        <v>3.73</v>
      </c>
      <c r="AF104">
        <v>3</v>
      </c>
      <c r="AG104">
        <v>0</v>
      </c>
      <c r="AH104" s="9">
        <v>43481</v>
      </c>
      <c r="AI104">
        <v>19</v>
      </c>
      <c r="AJ104">
        <v>48</v>
      </c>
      <c r="AK104">
        <v>5</v>
      </c>
      <c r="AL104">
        <v>22</v>
      </c>
      <c r="AM104" t="str">
        <f>IF(Cleaned_Data[[#This Row],[DateofTermination]]="","",YEAR(Cleaned_Data[[#This Row],[DateofTermination]]))</f>
        <v/>
      </c>
      <c r="AN104">
        <v>1</v>
      </c>
    </row>
    <row r="105" spans="1:40" x14ac:dyDescent="0.35">
      <c r="A105" t="s">
        <v>246</v>
      </c>
      <c r="B105">
        <v>10122</v>
      </c>
      <c r="C105">
        <v>0</v>
      </c>
      <c r="D105">
        <v>2</v>
      </c>
      <c r="E105">
        <v>0</v>
      </c>
      <c r="F105">
        <v>5</v>
      </c>
      <c r="G105">
        <v>5</v>
      </c>
      <c r="H105">
        <v>3</v>
      </c>
      <c r="I105">
        <v>1</v>
      </c>
      <c r="J105">
        <v>51505</v>
      </c>
      <c r="K105">
        <v>1</v>
      </c>
      <c r="L105">
        <v>19</v>
      </c>
      <c r="M105" t="s">
        <v>39</v>
      </c>
      <c r="N105" t="s">
        <v>40</v>
      </c>
      <c r="O105">
        <v>2330</v>
      </c>
      <c r="P105" s="9">
        <v>32836</v>
      </c>
      <c r="Q105" t="s">
        <v>41</v>
      </c>
      <c r="R105" t="s">
        <v>618</v>
      </c>
      <c r="S105" t="s">
        <v>70</v>
      </c>
      <c r="T105" t="s">
        <v>44</v>
      </c>
      <c r="U105" t="s">
        <v>45</v>
      </c>
      <c r="V105" t="s">
        <v>85</v>
      </c>
      <c r="W105" s="9">
        <v>40735</v>
      </c>
      <c r="X105" s="9">
        <v>42689</v>
      </c>
      <c r="Y105" t="s">
        <v>65</v>
      </c>
      <c r="Z105" t="s">
        <v>57</v>
      </c>
      <c r="AA105" t="s">
        <v>495</v>
      </c>
      <c r="AB105" t="s">
        <v>68</v>
      </c>
      <c r="AC105" t="s">
        <v>624</v>
      </c>
      <c r="AD105" t="s">
        <v>61</v>
      </c>
      <c r="AE105">
        <v>4.24</v>
      </c>
      <c r="AF105">
        <v>4</v>
      </c>
      <c r="AG105">
        <v>0</v>
      </c>
      <c r="AH105" s="9">
        <v>42489</v>
      </c>
      <c r="AI105">
        <v>2</v>
      </c>
      <c r="AJ105">
        <v>27</v>
      </c>
      <c r="AK105">
        <v>5</v>
      </c>
      <c r="AL105">
        <v>16</v>
      </c>
      <c r="AM105">
        <f>IF(Cleaned_Data[[#This Row],[DateofTermination]]="","",YEAR(Cleaned_Data[[#This Row],[DateofTermination]]))</f>
        <v>2016</v>
      </c>
      <c r="AN105">
        <v>1</v>
      </c>
    </row>
    <row r="106" spans="1:40" x14ac:dyDescent="0.35">
      <c r="A106" t="s">
        <v>535</v>
      </c>
      <c r="B106">
        <v>10142</v>
      </c>
      <c r="C106">
        <v>0</v>
      </c>
      <c r="D106">
        <v>4</v>
      </c>
      <c r="E106">
        <v>0</v>
      </c>
      <c r="F106">
        <v>4</v>
      </c>
      <c r="G106">
        <v>6</v>
      </c>
      <c r="H106">
        <v>3</v>
      </c>
      <c r="I106">
        <v>0</v>
      </c>
      <c r="J106">
        <v>59370</v>
      </c>
      <c r="K106">
        <v>1</v>
      </c>
      <c r="L106">
        <v>3</v>
      </c>
      <c r="M106" t="s">
        <v>143</v>
      </c>
      <c r="N106" t="s">
        <v>248</v>
      </c>
      <c r="O106">
        <v>43050</v>
      </c>
      <c r="P106" s="9">
        <v>33773</v>
      </c>
      <c r="Q106" t="s">
        <v>41</v>
      </c>
      <c r="R106" t="s">
        <v>618</v>
      </c>
      <c r="S106" t="s">
        <v>81</v>
      </c>
      <c r="T106" t="s">
        <v>44</v>
      </c>
      <c r="U106" t="s">
        <v>45</v>
      </c>
      <c r="V106" t="s">
        <v>85</v>
      </c>
      <c r="W106" s="9">
        <v>41827</v>
      </c>
      <c r="X106" s="9">
        <v>42133</v>
      </c>
      <c r="Y106" t="s">
        <v>107</v>
      </c>
      <c r="Z106" t="s">
        <v>108</v>
      </c>
      <c r="AA106" t="s">
        <v>145</v>
      </c>
      <c r="AB106" t="s">
        <v>146</v>
      </c>
      <c r="AC106" t="s">
        <v>508</v>
      </c>
      <c r="AD106" t="s">
        <v>61</v>
      </c>
      <c r="AE106">
        <v>3.97</v>
      </c>
      <c r="AF106">
        <v>4</v>
      </c>
      <c r="AG106">
        <v>0</v>
      </c>
      <c r="AH106" s="9">
        <v>41654</v>
      </c>
      <c r="AI106">
        <v>7</v>
      </c>
      <c r="AJ106">
        <v>23</v>
      </c>
      <c r="AK106">
        <v>1</v>
      </c>
      <c r="AL106">
        <v>17</v>
      </c>
      <c r="AM106">
        <f>IF(Cleaned_Data[[#This Row],[DateofTermination]]="","",YEAR(Cleaned_Data[[#This Row],[DateofTermination]]))</f>
        <v>2015</v>
      </c>
      <c r="AN106">
        <v>1</v>
      </c>
    </row>
    <row r="107" spans="1:40" x14ac:dyDescent="0.35">
      <c r="A107" t="s">
        <v>249</v>
      </c>
      <c r="B107">
        <v>10283</v>
      </c>
      <c r="C107">
        <v>1</v>
      </c>
      <c r="D107">
        <v>1</v>
      </c>
      <c r="E107">
        <v>1</v>
      </c>
      <c r="F107">
        <v>5</v>
      </c>
      <c r="G107">
        <v>5</v>
      </c>
      <c r="H107">
        <v>2</v>
      </c>
      <c r="I107">
        <v>1</v>
      </c>
      <c r="J107">
        <v>54933</v>
      </c>
      <c r="K107">
        <v>1</v>
      </c>
      <c r="L107">
        <v>19</v>
      </c>
      <c r="M107" t="s">
        <v>39</v>
      </c>
      <c r="N107" t="s">
        <v>40</v>
      </c>
      <c r="O107">
        <v>2062</v>
      </c>
      <c r="P107" s="9">
        <v>25475</v>
      </c>
      <c r="Q107" t="s">
        <v>41</v>
      </c>
      <c r="R107" t="s">
        <v>617</v>
      </c>
      <c r="S107" t="s">
        <v>55</v>
      </c>
      <c r="T107" t="s">
        <v>44</v>
      </c>
      <c r="U107" t="s">
        <v>45</v>
      </c>
      <c r="V107" t="s">
        <v>85</v>
      </c>
      <c r="W107" s="9">
        <v>40943</v>
      </c>
      <c r="X107" s="9">
        <v>42180</v>
      </c>
      <c r="Y107" t="s">
        <v>216</v>
      </c>
      <c r="Z107" t="s">
        <v>57</v>
      </c>
      <c r="AA107" t="s">
        <v>495</v>
      </c>
      <c r="AB107" t="s">
        <v>72</v>
      </c>
      <c r="AC107" t="s">
        <v>624</v>
      </c>
      <c r="AD107" t="s">
        <v>122</v>
      </c>
      <c r="AE107">
        <v>3.97</v>
      </c>
      <c r="AF107">
        <v>4</v>
      </c>
      <c r="AG107">
        <v>0</v>
      </c>
      <c r="AH107" s="9">
        <v>42024</v>
      </c>
      <c r="AI107">
        <v>15</v>
      </c>
      <c r="AJ107">
        <v>46</v>
      </c>
      <c r="AK107">
        <v>3</v>
      </c>
      <c r="AL107">
        <v>39</v>
      </c>
      <c r="AM107">
        <f>IF(Cleaned_Data[[#This Row],[DateofTermination]]="","",YEAR(Cleaned_Data[[#This Row],[DateofTermination]]))</f>
        <v>2015</v>
      </c>
      <c r="AN107">
        <v>1</v>
      </c>
    </row>
    <row r="108" spans="1:40" x14ac:dyDescent="0.35">
      <c r="A108" t="s">
        <v>250</v>
      </c>
      <c r="B108">
        <v>10018</v>
      </c>
      <c r="C108">
        <v>0</v>
      </c>
      <c r="D108">
        <v>0</v>
      </c>
      <c r="E108">
        <v>0</v>
      </c>
      <c r="F108">
        <v>1</v>
      </c>
      <c r="G108">
        <v>5</v>
      </c>
      <c r="H108">
        <v>4</v>
      </c>
      <c r="I108">
        <v>0</v>
      </c>
      <c r="J108">
        <v>57815</v>
      </c>
      <c r="K108">
        <v>0</v>
      </c>
      <c r="L108">
        <v>19</v>
      </c>
      <c r="M108" t="s">
        <v>39</v>
      </c>
      <c r="N108" t="s">
        <v>40</v>
      </c>
      <c r="O108">
        <v>2451</v>
      </c>
      <c r="P108" s="9">
        <v>29692</v>
      </c>
      <c r="Q108" t="s">
        <v>41</v>
      </c>
      <c r="R108" t="s">
        <v>618</v>
      </c>
      <c r="S108" t="s">
        <v>43</v>
      </c>
      <c r="T108" t="s">
        <v>44</v>
      </c>
      <c r="U108" t="s">
        <v>92</v>
      </c>
      <c r="V108" t="s">
        <v>102</v>
      </c>
      <c r="W108" s="9">
        <v>41911</v>
      </c>
      <c r="X108" s="9"/>
      <c r="Y108" t="s">
        <v>47</v>
      </c>
      <c r="Z108" t="s">
        <v>48</v>
      </c>
      <c r="AA108" t="s">
        <v>495</v>
      </c>
      <c r="AB108" t="s">
        <v>75</v>
      </c>
      <c r="AC108" t="s">
        <v>60</v>
      </c>
      <c r="AD108" t="s">
        <v>52</v>
      </c>
      <c r="AE108">
        <v>3.9</v>
      </c>
      <c r="AF108">
        <v>4</v>
      </c>
      <c r="AG108">
        <v>0</v>
      </c>
      <c r="AH108" s="9">
        <v>43648</v>
      </c>
      <c r="AI108">
        <v>3</v>
      </c>
      <c r="AJ108">
        <v>39</v>
      </c>
      <c r="AK108">
        <v>5</v>
      </c>
      <c r="AL108">
        <v>11</v>
      </c>
      <c r="AM108" t="str">
        <f>IF(Cleaned_Data[[#This Row],[DateofTermination]]="","",YEAR(Cleaned_Data[[#This Row],[DateofTermination]]))</f>
        <v/>
      </c>
      <c r="AN108">
        <v>1</v>
      </c>
    </row>
    <row r="109" spans="1:40" x14ac:dyDescent="0.35">
      <c r="A109" t="s">
        <v>251</v>
      </c>
      <c r="B109">
        <v>10255</v>
      </c>
      <c r="C109">
        <v>0</v>
      </c>
      <c r="D109">
        <v>0</v>
      </c>
      <c r="E109">
        <v>0</v>
      </c>
      <c r="F109">
        <v>1</v>
      </c>
      <c r="G109">
        <v>6</v>
      </c>
      <c r="H109">
        <v>3</v>
      </c>
      <c r="I109">
        <v>0</v>
      </c>
      <c r="J109">
        <v>61555</v>
      </c>
      <c r="K109">
        <v>0</v>
      </c>
      <c r="L109">
        <v>3</v>
      </c>
      <c r="M109" t="s">
        <v>143</v>
      </c>
      <c r="N109" t="s">
        <v>252</v>
      </c>
      <c r="O109">
        <v>46204</v>
      </c>
      <c r="P109" s="9">
        <v>31557</v>
      </c>
      <c r="Q109" t="s">
        <v>41</v>
      </c>
      <c r="R109" t="s">
        <v>618</v>
      </c>
      <c r="S109" t="s">
        <v>43</v>
      </c>
      <c r="T109" t="s">
        <v>44</v>
      </c>
      <c r="U109" t="s">
        <v>45</v>
      </c>
      <c r="V109" t="s">
        <v>46</v>
      </c>
      <c r="W109" s="9">
        <v>42051</v>
      </c>
      <c r="X109" s="9"/>
      <c r="Y109" t="s">
        <v>47</v>
      </c>
      <c r="Z109" t="s">
        <v>48</v>
      </c>
      <c r="AA109" t="s">
        <v>145</v>
      </c>
      <c r="AB109" t="s">
        <v>164</v>
      </c>
      <c r="AC109" t="s">
        <v>60</v>
      </c>
      <c r="AD109" t="s">
        <v>61</v>
      </c>
      <c r="AE109">
        <v>4.5</v>
      </c>
      <c r="AF109">
        <v>5</v>
      </c>
      <c r="AG109">
        <v>0</v>
      </c>
      <c r="AH109" s="9">
        <v>43490</v>
      </c>
      <c r="AI109">
        <v>20</v>
      </c>
      <c r="AJ109">
        <v>34</v>
      </c>
      <c r="AK109">
        <v>5</v>
      </c>
      <c r="AL109">
        <v>21</v>
      </c>
      <c r="AM109" t="str">
        <f>IF(Cleaned_Data[[#This Row],[DateofTermination]]="","",YEAR(Cleaned_Data[[#This Row],[DateofTermination]]))</f>
        <v/>
      </c>
      <c r="AN109">
        <v>1</v>
      </c>
    </row>
    <row r="110" spans="1:40" x14ac:dyDescent="0.35">
      <c r="A110" t="s">
        <v>253</v>
      </c>
      <c r="B110">
        <v>10246</v>
      </c>
      <c r="C110">
        <v>0</v>
      </c>
      <c r="D110">
        <v>0</v>
      </c>
      <c r="E110">
        <v>0</v>
      </c>
      <c r="F110">
        <v>4</v>
      </c>
      <c r="G110">
        <v>3</v>
      </c>
      <c r="H110">
        <v>3</v>
      </c>
      <c r="I110">
        <v>0</v>
      </c>
      <c r="J110">
        <v>114800</v>
      </c>
      <c r="K110">
        <v>1</v>
      </c>
      <c r="L110">
        <v>8</v>
      </c>
      <c r="M110" t="s">
        <v>113</v>
      </c>
      <c r="N110" t="s">
        <v>40</v>
      </c>
      <c r="O110">
        <v>2127</v>
      </c>
      <c r="P110" s="9">
        <v>28996</v>
      </c>
      <c r="Q110" t="s">
        <v>41</v>
      </c>
      <c r="R110" t="s">
        <v>618</v>
      </c>
      <c r="S110" t="s">
        <v>43</v>
      </c>
      <c r="T110" t="s">
        <v>44</v>
      </c>
      <c r="U110" t="s">
        <v>45</v>
      </c>
      <c r="V110" t="s">
        <v>46</v>
      </c>
      <c r="W110" s="9">
        <v>42051</v>
      </c>
      <c r="X110" s="9">
        <v>42078</v>
      </c>
      <c r="Y110" t="s">
        <v>222</v>
      </c>
      <c r="Z110" t="s">
        <v>108</v>
      </c>
      <c r="AA110" t="s">
        <v>499</v>
      </c>
      <c r="AB110" t="s">
        <v>59</v>
      </c>
      <c r="AC110" t="s">
        <v>60</v>
      </c>
      <c r="AD110" t="s">
        <v>61</v>
      </c>
      <c r="AE110">
        <v>4.5999999999999996</v>
      </c>
      <c r="AF110">
        <v>4</v>
      </c>
      <c r="AG110">
        <v>4</v>
      </c>
      <c r="AH110" s="9">
        <v>42024</v>
      </c>
      <c r="AI110">
        <v>10</v>
      </c>
      <c r="AJ110">
        <v>36</v>
      </c>
      <c r="AK110">
        <v>0</v>
      </c>
      <c r="AL110">
        <v>4</v>
      </c>
      <c r="AM110">
        <f>IF(Cleaned_Data[[#This Row],[DateofTermination]]="","",YEAR(Cleaned_Data[[#This Row],[DateofTermination]]))</f>
        <v>2015</v>
      </c>
      <c r="AN110">
        <v>1</v>
      </c>
    </row>
    <row r="111" spans="1:40" x14ac:dyDescent="0.35">
      <c r="A111" t="s">
        <v>254</v>
      </c>
      <c r="B111">
        <v>10228</v>
      </c>
      <c r="C111">
        <v>1</v>
      </c>
      <c r="D111">
        <v>1</v>
      </c>
      <c r="E111">
        <v>1</v>
      </c>
      <c r="F111">
        <v>1</v>
      </c>
      <c r="G111">
        <v>3</v>
      </c>
      <c r="H111">
        <v>3</v>
      </c>
      <c r="I111">
        <v>0</v>
      </c>
      <c r="J111">
        <v>74679</v>
      </c>
      <c r="K111">
        <v>0</v>
      </c>
      <c r="L111">
        <v>14</v>
      </c>
      <c r="M111" t="s">
        <v>505</v>
      </c>
      <c r="N111" t="s">
        <v>40</v>
      </c>
      <c r="O111">
        <v>2135</v>
      </c>
      <c r="P111" s="9">
        <v>30457</v>
      </c>
      <c r="Q111" t="s">
        <v>41</v>
      </c>
      <c r="R111" t="s">
        <v>617</v>
      </c>
      <c r="S111" t="s">
        <v>55</v>
      </c>
      <c r="T111" t="s">
        <v>44</v>
      </c>
      <c r="U111" t="s">
        <v>92</v>
      </c>
      <c r="V111" t="s">
        <v>46</v>
      </c>
      <c r="W111" s="9">
        <v>42093</v>
      </c>
      <c r="X111" s="9"/>
      <c r="Y111" t="s">
        <v>47</v>
      </c>
      <c r="Z111" t="s">
        <v>48</v>
      </c>
      <c r="AA111" t="s">
        <v>499</v>
      </c>
      <c r="AB111" t="s">
        <v>90</v>
      </c>
      <c r="AC111" t="s">
        <v>496</v>
      </c>
      <c r="AD111" t="s">
        <v>61</v>
      </c>
      <c r="AE111">
        <v>4.3</v>
      </c>
      <c r="AF111">
        <v>5</v>
      </c>
      <c r="AG111">
        <v>7</v>
      </c>
      <c r="AH111" s="9">
        <v>43739</v>
      </c>
      <c r="AI111">
        <v>20</v>
      </c>
      <c r="AJ111">
        <v>37</v>
      </c>
      <c r="AK111">
        <v>5</v>
      </c>
      <c r="AL111">
        <v>7</v>
      </c>
      <c r="AM111" t="str">
        <f>IF(Cleaned_Data[[#This Row],[DateofTermination]]="","",YEAR(Cleaned_Data[[#This Row],[DateofTermination]]))</f>
        <v/>
      </c>
      <c r="AN111">
        <v>1</v>
      </c>
    </row>
    <row r="112" spans="1:40" x14ac:dyDescent="0.35">
      <c r="A112" t="s">
        <v>536</v>
      </c>
      <c r="B112">
        <v>10243</v>
      </c>
      <c r="C112">
        <v>0</v>
      </c>
      <c r="D112">
        <v>0</v>
      </c>
      <c r="E112">
        <v>0</v>
      </c>
      <c r="F112">
        <v>1</v>
      </c>
      <c r="G112">
        <v>5</v>
      </c>
      <c r="H112">
        <v>3</v>
      </c>
      <c r="I112">
        <v>0</v>
      </c>
      <c r="J112">
        <v>53018</v>
      </c>
      <c r="K112">
        <v>0</v>
      </c>
      <c r="L112">
        <v>19</v>
      </c>
      <c r="M112" t="s">
        <v>39</v>
      </c>
      <c r="N112" t="s">
        <v>40</v>
      </c>
      <c r="O112">
        <v>2451</v>
      </c>
      <c r="P112" s="9">
        <v>32689</v>
      </c>
      <c r="Q112" t="s">
        <v>41</v>
      </c>
      <c r="R112" t="s">
        <v>618</v>
      </c>
      <c r="S112" t="s">
        <v>43</v>
      </c>
      <c r="T112" t="s">
        <v>44</v>
      </c>
      <c r="U112" t="s">
        <v>92</v>
      </c>
      <c r="V112" t="s">
        <v>46</v>
      </c>
      <c r="W112" s="9">
        <v>41589</v>
      </c>
      <c r="X112" s="9"/>
      <c r="Y112" t="s">
        <v>47</v>
      </c>
      <c r="Z112" t="s">
        <v>48</v>
      </c>
      <c r="AA112" t="s">
        <v>495</v>
      </c>
      <c r="AB112" t="s">
        <v>82</v>
      </c>
      <c r="AC112" t="s">
        <v>60</v>
      </c>
      <c r="AD112" t="s">
        <v>61</v>
      </c>
      <c r="AE112">
        <v>4.3</v>
      </c>
      <c r="AF112">
        <v>5</v>
      </c>
      <c r="AG112">
        <v>0</v>
      </c>
      <c r="AH112" s="9">
        <v>43514</v>
      </c>
      <c r="AI112">
        <v>7</v>
      </c>
      <c r="AJ112">
        <v>31</v>
      </c>
      <c r="AK112">
        <v>6</v>
      </c>
      <c r="AL112">
        <v>19</v>
      </c>
      <c r="AM112" t="str">
        <f>IF(Cleaned_Data[[#This Row],[DateofTermination]]="","",YEAR(Cleaned_Data[[#This Row],[DateofTermination]]))</f>
        <v/>
      </c>
      <c r="AN112">
        <v>1</v>
      </c>
    </row>
    <row r="113" spans="1:40" x14ac:dyDescent="0.35">
      <c r="A113" t="s">
        <v>256</v>
      </c>
      <c r="B113">
        <v>10031</v>
      </c>
      <c r="C113">
        <v>0</v>
      </c>
      <c r="D113">
        <v>2</v>
      </c>
      <c r="E113">
        <v>1</v>
      </c>
      <c r="F113">
        <v>1</v>
      </c>
      <c r="G113">
        <v>5</v>
      </c>
      <c r="H113">
        <v>4</v>
      </c>
      <c r="I113">
        <v>1</v>
      </c>
      <c r="J113">
        <v>59892</v>
      </c>
      <c r="K113">
        <v>0</v>
      </c>
      <c r="L113">
        <v>19</v>
      </c>
      <c r="M113" t="s">
        <v>39</v>
      </c>
      <c r="N113" t="s">
        <v>40</v>
      </c>
      <c r="O113">
        <v>2108</v>
      </c>
      <c r="P113" s="9">
        <v>28207</v>
      </c>
      <c r="Q113" t="s">
        <v>41</v>
      </c>
      <c r="R113" t="s">
        <v>617</v>
      </c>
      <c r="S113" t="s">
        <v>70</v>
      </c>
      <c r="T113" t="s">
        <v>44</v>
      </c>
      <c r="U113" t="s">
        <v>45</v>
      </c>
      <c r="V113" t="s">
        <v>85</v>
      </c>
      <c r="W113" s="9">
        <v>40854</v>
      </c>
      <c r="X113" s="9"/>
      <c r="Y113" t="s">
        <v>47</v>
      </c>
      <c r="Z113" t="s">
        <v>48</v>
      </c>
      <c r="AA113" t="s">
        <v>495</v>
      </c>
      <c r="AB113" t="s">
        <v>86</v>
      </c>
      <c r="AC113" t="s">
        <v>624</v>
      </c>
      <c r="AD113" t="s">
        <v>52</v>
      </c>
      <c r="AE113">
        <v>4.5</v>
      </c>
      <c r="AF113">
        <v>4</v>
      </c>
      <c r="AG113">
        <v>0</v>
      </c>
      <c r="AH113" s="9">
        <v>43514</v>
      </c>
      <c r="AI113">
        <v>1</v>
      </c>
      <c r="AJ113">
        <v>43</v>
      </c>
      <c r="AK113">
        <v>8</v>
      </c>
      <c r="AL113">
        <v>12</v>
      </c>
      <c r="AM113" t="str">
        <f>IF(Cleaned_Data[[#This Row],[DateofTermination]]="","",YEAR(Cleaned_Data[[#This Row],[DateofTermination]]))</f>
        <v/>
      </c>
      <c r="AN113">
        <v>1</v>
      </c>
    </row>
    <row r="114" spans="1:40" x14ac:dyDescent="0.35">
      <c r="A114" t="s">
        <v>257</v>
      </c>
      <c r="B114">
        <v>10300</v>
      </c>
      <c r="C114">
        <v>1</v>
      </c>
      <c r="D114">
        <v>1</v>
      </c>
      <c r="E114">
        <v>1</v>
      </c>
      <c r="F114">
        <v>5</v>
      </c>
      <c r="G114">
        <v>5</v>
      </c>
      <c r="H114">
        <v>1</v>
      </c>
      <c r="I114">
        <v>1</v>
      </c>
      <c r="J114">
        <v>68898</v>
      </c>
      <c r="K114">
        <v>1</v>
      </c>
      <c r="L114">
        <v>20</v>
      </c>
      <c r="M114" t="s">
        <v>500</v>
      </c>
      <c r="N114" t="s">
        <v>40</v>
      </c>
      <c r="O114">
        <v>2128</v>
      </c>
      <c r="P114" s="9">
        <v>19224</v>
      </c>
      <c r="Q114" t="s">
        <v>96</v>
      </c>
      <c r="R114" t="s">
        <v>617</v>
      </c>
      <c r="S114" t="s">
        <v>55</v>
      </c>
      <c r="T114" t="s">
        <v>44</v>
      </c>
      <c r="U114" t="s">
        <v>45</v>
      </c>
      <c r="V114" t="s">
        <v>85</v>
      </c>
      <c r="W114" s="9">
        <v>40659</v>
      </c>
      <c r="X114" s="9">
        <v>40693</v>
      </c>
      <c r="Y114" t="s">
        <v>56</v>
      </c>
      <c r="Z114" t="s">
        <v>57</v>
      </c>
      <c r="AA114" t="s">
        <v>495</v>
      </c>
      <c r="AB114" t="s">
        <v>86</v>
      </c>
      <c r="AC114" t="s">
        <v>624</v>
      </c>
      <c r="AD114" t="s">
        <v>195</v>
      </c>
      <c r="AE114">
        <v>3</v>
      </c>
      <c r="AF114">
        <v>3</v>
      </c>
      <c r="AG114">
        <v>0</v>
      </c>
      <c r="AH114" s="9">
        <v>40697</v>
      </c>
      <c r="AI114">
        <v>10</v>
      </c>
      <c r="AJ114">
        <v>59</v>
      </c>
      <c r="AK114">
        <v>0</v>
      </c>
      <c r="AL114">
        <v>12</v>
      </c>
      <c r="AM114">
        <f>IF(Cleaned_Data[[#This Row],[DateofTermination]]="","",YEAR(Cleaned_Data[[#This Row],[DateofTermination]]))</f>
        <v>2011</v>
      </c>
      <c r="AN114">
        <v>1</v>
      </c>
    </row>
    <row r="115" spans="1:40" x14ac:dyDescent="0.35">
      <c r="A115" t="s">
        <v>258</v>
      </c>
      <c r="B115">
        <v>10101</v>
      </c>
      <c r="C115">
        <v>0</v>
      </c>
      <c r="D115">
        <v>3</v>
      </c>
      <c r="E115">
        <v>0</v>
      </c>
      <c r="F115">
        <v>1</v>
      </c>
      <c r="G115">
        <v>3</v>
      </c>
      <c r="H115">
        <v>3</v>
      </c>
      <c r="I115">
        <v>0</v>
      </c>
      <c r="J115">
        <v>61242</v>
      </c>
      <c r="K115">
        <v>0</v>
      </c>
      <c r="L115">
        <v>14</v>
      </c>
      <c r="M115" t="s">
        <v>505</v>
      </c>
      <c r="N115" t="s">
        <v>40</v>
      </c>
      <c r="O115">
        <v>2472</v>
      </c>
      <c r="P115" s="9">
        <v>26538</v>
      </c>
      <c r="Q115" t="s">
        <v>41</v>
      </c>
      <c r="R115" t="s">
        <v>618</v>
      </c>
      <c r="S115" t="s">
        <v>141</v>
      </c>
      <c r="T115" t="s">
        <v>44</v>
      </c>
      <c r="U115" t="s">
        <v>92</v>
      </c>
      <c r="V115" t="s">
        <v>46</v>
      </c>
      <c r="W115" s="9">
        <v>42125</v>
      </c>
      <c r="X115" s="9"/>
      <c r="Y115" t="s">
        <v>47</v>
      </c>
      <c r="Z115" t="s">
        <v>48</v>
      </c>
      <c r="AA115" t="s">
        <v>499</v>
      </c>
      <c r="AB115" t="s">
        <v>90</v>
      </c>
      <c r="AC115" t="s">
        <v>625</v>
      </c>
      <c r="AD115" t="s">
        <v>61</v>
      </c>
      <c r="AE115">
        <v>4.6100000000000003</v>
      </c>
      <c r="AF115">
        <v>4</v>
      </c>
      <c r="AG115">
        <v>5</v>
      </c>
      <c r="AH115" s="9">
        <v>43493</v>
      </c>
      <c r="AI115">
        <v>11</v>
      </c>
      <c r="AJ115">
        <v>47</v>
      </c>
      <c r="AK115">
        <v>5</v>
      </c>
      <c r="AL115">
        <v>7</v>
      </c>
      <c r="AM115" t="str">
        <f>IF(Cleaned_Data[[#This Row],[DateofTermination]]="","",YEAR(Cleaned_Data[[#This Row],[DateofTermination]]))</f>
        <v/>
      </c>
      <c r="AN115">
        <v>1</v>
      </c>
    </row>
    <row r="116" spans="1:40" x14ac:dyDescent="0.35">
      <c r="A116" t="s">
        <v>259</v>
      </c>
      <c r="B116">
        <v>10237</v>
      </c>
      <c r="C116">
        <v>1</v>
      </c>
      <c r="D116">
        <v>1</v>
      </c>
      <c r="E116">
        <v>0</v>
      </c>
      <c r="F116">
        <v>3</v>
      </c>
      <c r="G116">
        <v>5</v>
      </c>
      <c r="H116">
        <v>3</v>
      </c>
      <c r="I116">
        <v>0</v>
      </c>
      <c r="J116">
        <v>66825</v>
      </c>
      <c r="K116">
        <v>0</v>
      </c>
      <c r="L116">
        <v>20</v>
      </c>
      <c r="M116" t="s">
        <v>500</v>
      </c>
      <c r="N116" t="s">
        <v>40</v>
      </c>
      <c r="O116">
        <v>1886</v>
      </c>
      <c r="P116" s="9">
        <v>32400</v>
      </c>
      <c r="Q116" t="s">
        <v>41</v>
      </c>
      <c r="R116" t="s">
        <v>618</v>
      </c>
      <c r="S116" t="s">
        <v>55</v>
      </c>
      <c r="T116" t="s">
        <v>44</v>
      </c>
      <c r="U116" t="s">
        <v>45</v>
      </c>
      <c r="V116" t="s">
        <v>46</v>
      </c>
      <c r="W116" s="9">
        <v>41978</v>
      </c>
      <c r="X116" s="9"/>
      <c r="Y116" t="s">
        <v>47</v>
      </c>
      <c r="Z116" t="s">
        <v>48</v>
      </c>
      <c r="AA116" t="s">
        <v>495</v>
      </c>
      <c r="AB116" t="s">
        <v>94</v>
      </c>
      <c r="AC116" t="s">
        <v>496</v>
      </c>
      <c r="AD116" t="s">
        <v>61</v>
      </c>
      <c r="AE116">
        <v>4.5999999999999996</v>
      </c>
      <c r="AF116">
        <v>3</v>
      </c>
      <c r="AG116">
        <v>0</v>
      </c>
      <c r="AH116" s="9">
        <v>43648</v>
      </c>
      <c r="AI116">
        <v>20</v>
      </c>
      <c r="AJ116">
        <v>31</v>
      </c>
      <c r="AK116">
        <v>5</v>
      </c>
      <c r="AL116">
        <v>14</v>
      </c>
      <c r="AM116" t="str">
        <f>IF(Cleaned_Data[[#This Row],[DateofTermination]]="","",YEAR(Cleaned_Data[[#This Row],[DateofTermination]]))</f>
        <v/>
      </c>
      <c r="AN116">
        <v>1</v>
      </c>
    </row>
    <row r="117" spans="1:40" x14ac:dyDescent="0.35">
      <c r="A117" t="s">
        <v>260</v>
      </c>
      <c r="B117">
        <v>10051</v>
      </c>
      <c r="C117">
        <v>1</v>
      </c>
      <c r="D117">
        <v>1</v>
      </c>
      <c r="E117">
        <v>1</v>
      </c>
      <c r="F117">
        <v>1</v>
      </c>
      <c r="G117">
        <v>5</v>
      </c>
      <c r="H117">
        <v>3</v>
      </c>
      <c r="I117">
        <v>0</v>
      </c>
      <c r="J117">
        <v>48285</v>
      </c>
      <c r="K117">
        <v>0</v>
      </c>
      <c r="L117">
        <v>19</v>
      </c>
      <c r="M117" t="s">
        <v>39</v>
      </c>
      <c r="N117" t="s">
        <v>40</v>
      </c>
      <c r="O117">
        <v>2169</v>
      </c>
      <c r="P117" s="9">
        <v>30728</v>
      </c>
      <c r="Q117" t="s">
        <v>41</v>
      </c>
      <c r="R117" t="s">
        <v>617</v>
      </c>
      <c r="S117" t="s">
        <v>55</v>
      </c>
      <c r="T117" t="s">
        <v>44</v>
      </c>
      <c r="U117" t="s">
        <v>45</v>
      </c>
      <c r="V117" t="s">
        <v>46</v>
      </c>
      <c r="W117" s="9">
        <v>40946</v>
      </c>
      <c r="X117" s="9"/>
      <c r="Y117" t="s">
        <v>47</v>
      </c>
      <c r="Z117" t="s">
        <v>48</v>
      </c>
      <c r="AA117" t="s">
        <v>495</v>
      </c>
      <c r="AB117" t="s">
        <v>94</v>
      </c>
      <c r="AC117" t="s">
        <v>496</v>
      </c>
      <c r="AD117" t="s">
        <v>61</v>
      </c>
      <c r="AE117">
        <v>5</v>
      </c>
      <c r="AF117">
        <v>3</v>
      </c>
      <c r="AG117">
        <v>0</v>
      </c>
      <c r="AH117" s="9">
        <v>43479</v>
      </c>
      <c r="AI117">
        <v>2</v>
      </c>
      <c r="AJ117">
        <v>36</v>
      </c>
      <c r="AK117">
        <v>8</v>
      </c>
      <c r="AL117">
        <v>14</v>
      </c>
      <c r="AM117" t="str">
        <f>IF(Cleaned_Data[[#This Row],[DateofTermination]]="","",YEAR(Cleaned_Data[[#This Row],[DateofTermination]]))</f>
        <v/>
      </c>
      <c r="AN117">
        <v>1</v>
      </c>
    </row>
    <row r="118" spans="1:40" x14ac:dyDescent="0.35">
      <c r="A118" t="s">
        <v>537</v>
      </c>
      <c r="B118">
        <v>10218</v>
      </c>
      <c r="C118">
        <v>0</v>
      </c>
      <c r="D118">
        <v>3</v>
      </c>
      <c r="E118">
        <v>0</v>
      </c>
      <c r="F118">
        <v>3</v>
      </c>
      <c r="G118">
        <v>5</v>
      </c>
      <c r="H118">
        <v>3</v>
      </c>
      <c r="I118">
        <v>0</v>
      </c>
      <c r="J118">
        <v>66149</v>
      </c>
      <c r="K118">
        <v>0</v>
      </c>
      <c r="L118">
        <v>20</v>
      </c>
      <c r="M118" t="s">
        <v>500</v>
      </c>
      <c r="N118" t="s">
        <v>40</v>
      </c>
      <c r="O118">
        <v>1824</v>
      </c>
      <c r="P118" s="9">
        <v>30733</v>
      </c>
      <c r="Q118" t="s">
        <v>41</v>
      </c>
      <c r="R118" t="s">
        <v>618</v>
      </c>
      <c r="S118" t="s">
        <v>141</v>
      </c>
      <c r="T118" t="s">
        <v>44</v>
      </c>
      <c r="U118" t="s">
        <v>45</v>
      </c>
      <c r="V118" t="s">
        <v>262</v>
      </c>
      <c r="W118" s="9">
        <v>41547</v>
      </c>
      <c r="X118" s="9"/>
      <c r="Y118" t="s">
        <v>47</v>
      </c>
      <c r="Z118" t="s">
        <v>48</v>
      </c>
      <c r="AA118" t="s">
        <v>495</v>
      </c>
      <c r="AB118" t="s">
        <v>66</v>
      </c>
      <c r="AC118" t="s">
        <v>73</v>
      </c>
      <c r="AD118" t="s">
        <v>61</v>
      </c>
      <c r="AE118">
        <v>4.4000000000000004</v>
      </c>
      <c r="AF118">
        <v>5</v>
      </c>
      <c r="AG118">
        <v>0</v>
      </c>
      <c r="AH118" s="9">
        <v>43517</v>
      </c>
      <c r="AI118">
        <v>1</v>
      </c>
      <c r="AJ118">
        <v>36</v>
      </c>
      <c r="AK118">
        <v>6</v>
      </c>
      <c r="AL118">
        <v>20</v>
      </c>
      <c r="AM118" t="str">
        <f>IF(Cleaned_Data[[#This Row],[DateofTermination]]="","",YEAR(Cleaned_Data[[#This Row],[DateofTermination]]))</f>
        <v/>
      </c>
      <c r="AN118">
        <v>1</v>
      </c>
    </row>
    <row r="119" spans="1:40" x14ac:dyDescent="0.35">
      <c r="A119" t="s">
        <v>263</v>
      </c>
      <c r="B119">
        <v>10256</v>
      </c>
      <c r="C119">
        <v>1</v>
      </c>
      <c r="D119">
        <v>1</v>
      </c>
      <c r="E119">
        <v>0</v>
      </c>
      <c r="F119">
        <v>3</v>
      </c>
      <c r="G119">
        <v>5</v>
      </c>
      <c r="H119">
        <v>3</v>
      </c>
      <c r="I119">
        <v>0</v>
      </c>
      <c r="J119">
        <v>49256</v>
      </c>
      <c r="K119">
        <v>0</v>
      </c>
      <c r="L119">
        <v>19</v>
      </c>
      <c r="M119" t="s">
        <v>39</v>
      </c>
      <c r="N119" t="s">
        <v>40</v>
      </c>
      <c r="O119">
        <v>1864</v>
      </c>
      <c r="P119" s="9">
        <v>24183</v>
      </c>
      <c r="Q119" t="s">
        <v>41</v>
      </c>
      <c r="R119" t="s">
        <v>618</v>
      </c>
      <c r="S119" t="s">
        <v>55</v>
      </c>
      <c r="T119" t="s">
        <v>44</v>
      </c>
      <c r="U119" t="s">
        <v>45</v>
      </c>
      <c r="V119" t="s">
        <v>116</v>
      </c>
      <c r="W119" s="9">
        <v>41505</v>
      </c>
      <c r="X119" s="9"/>
      <c r="Y119" t="s">
        <v>47</v>
      </c>
      <c r="Z119" t="s">
        <v>48</v>
      </c>
      <c r="AA119" t="s">
        <v>495</v>
      </c>
      <c r="AB119" t="s">
        <v>66</v>
      </c>
      <c r="AC119" t="s">
        <v>496</v>
      </c>
      <c r="AD119" t="s">
        <v>61</v>
      </c>
      <c r="AE119">
        <v>4.0999999999999996</v>
      </c>
      <c r="AF119">
        <v>5</v>
      </c>
      <c r="AG119">
        <v>0</v>
      </c>
      <c r="AH119" s="9">
        <v>43511</v>
      </c>
      <c r="AI119">
        <v>3</v>
      </c>
      <c r="AJ119">
        <v>54</v>
      </c>
      <c r="AK119">
        <v>6</v>
      </c>
      <c r="AL119">
        <v>20</v>
      </c>
      <c r="AM119" t="str">
        <f>IF(Cleaned_Data[[#This Row],[DateofTermination]]="","",YEAR(Cleaned_Data[[#This Row],[DateofTermination]]))</f>
        <v/>
      </c>
      <c r="AN119">
        <v>1</v>
      </c>
    </row>
    <row r="120" spans="1:40" x14ac:dyDescent="0.35">
      <c r="A120" t="s">
        <v>538</v>
      </c>
      <c r="B120">
        <v>10098</v>
      </c>
      <c r="C120">
        <v>0</v>
      </c>
      <c r="D120">
        <v>2</v>
      </c>
      <c r="E120">
        <v>1</v>
      </c>
      <c r="F120">
        <v>1</v>
      </c>
      <c r="G120">
        <v>5</v>
      </c>
      <c r="H120">
        <v>3</v>
      </c>
      <c r="I120">
        <v>0</v>
      </c>
      <c r="J120">
        <v>62957</v>
      </c>
      <c r="K120">
        <v>0</v>
      </c>
      <c r="L120">
        <v>18</v>
      </c>
      <c r="M120" t="s">
        <v>133</v>
      </c>
      <c r="N120" t="s">
        <v>40</v>
      </c>
      <c r="O120">
        <v>1752</v>
      </c>
      <c r="P120" s="9">
        <v>31306</v>
      </c>
      <c r="Q120" t="s">
        <v>41</v>
      </c>
      <c r="R120" t="s">
        <v>617</v>
      </c>
      <c r="S120" t="s">
        <v>70</v>
      </c>
      <c r="T120" t="s">
        <v>44</v>
      </c>
      <c r="U120" t="s">
        <v>45</v>
      </c>
      <c r="V120" t="s">
        <v>46</v>
      </c>
      <c r="W120" s="9">
        <v>42041</v>
      </c>
      <c r="X120" s="9"/>
      <c r="Y120" t="s">
        <v>47</v>
      </c>
      <c r="Z120" t="s">
        <v>48</v>
      </c>
      <c r="AA120" t="s">
        <v>495</v>
      </c>
      <c r="AB120" t="s">
        <v>135</v>
      </c>
      <c r="AC120" t="s">
        <v>625</v>
      </c>
      <c r="AD120" t="s">
        <v>61</v>
      </c>
      <c r="AE120">
        <v>4.63</v>
      </c>
      <c r="AF120">
        <v>3</v>
      </c>
      <c r="AG120">
        <v>0</v>
      </c>
      <c r="AH120" s="9">
        <v>43556</v>
      </c>
      <c r="AI120">
        <v>2</v>
      </c>
      <c r="AJ120">
        <v>34</v>
      </c>
      <c r="AK120">
        <v>5</v>
      </c>
      <c r="AL120">
        <v>2</v>
      </c>
      <c r="AM120" t="str">
        <f>IF(Cleaned_Data[[#This Row],[DateofTermination]]="","",YEAR(Cleaned_Data[[#This Row],[DateofTermination]]))</f>
        <v/>
      </c>
      <c r="AN120">
        <v>1</v>
      </c>
    </row>
    <row r="121" spans="1:40" x14ac:dyDescent="0.35">
      <c r="A121" t="s">
        <v>265</v>
      </c>
      <c r="B121">
        <v>10059</v>
      </c>
      <c r="C121">
        <v>0</v>
      </c>
      <c r="D121">
        <v>2</v>
      </c>
      <c r="E121">
        <v>0</v>
      </c>
      <c r="F121">
        <v>5</v>
      </c>
      <c r="G121">
        <v>5</v>
      </c>
      <c r="H121">
        <v>3</v>
      </c>
      <c r="I121">
        <v>0</v>
      </c>
      <c r="J121">
        <v>63813</v>
      </c>
      <c r="K121">
        <v>1</v>
      </c>
      <c r="L121">
        <v>19</v>
      </c>
      <c r="M121" t="s">
        <v>39</v>
      </c>
      <c r="N121" t="s">
        <v>40</v>
      </c>
      <c r="O121">
        <v>2176</v>
      </c>
      <c r="P121" s="9">
        <v>28025</v>
      </c>
      <c r="Q121" t="s">
        <v>41</v>
      </c>
      <c r="R121" t="s">
        <v>618</v>
      </c>
      <c r="S121" t="s">
        <v>70</v>
      </c>
      <c r="T121" t="s">
        <v>44</v>
      </c>
      <c r="U121" t="s">
        <v>45</v>
      </c>
      <c r="V121" t="s">
        <v>46</v>
      </c>
      <c r="W121" s="9">
        <v>40595</v>
      </c>
      <c r="X121" s="9">
        <v>41944</v>
      </c>
      <c r="Y121" t="s">
        <v>197</v>
      </c>
      <c r="Z121" t="s">
        <v>57</v>
      </c>
      <c r="AA121" t="s">
        <v>495</v>
      </c>
      <c r="AB121" t="s">
        <v>103</v>
      </c>
      <c r="AC121" t="s">
        <v>508</v>
      </c>
      <c r="AD121" t="s">
        <v>61</v>
      </c>
      <c r="AE121">
        <v>5</v>
      </c>
      <c r="AF121">
        <v>5</v>
      </c>
      <c r="AG121">
        <v>0</v>
      </c>
      <c r="AH121" s="9">
        <v>41339</v>
      </c>
      <c r="AI121">
        <v>17</v>
      </c>
      <c r="AJ121">
        <v>38</v>
      </c>
      <c r="AK121">
        <v>4</v>
      </c>
      <c r="AL121">
        <v>18</v>
      </c>
      <c r="AM121">
        <f>IF(Cleaned_Data[[#This Row],[DateofTermination]]="","",YEAR(Cleaned_Data[[#This Row],[DateofTermination]]))</f>
        <v>2014</v>
      </c>
      <c r="AN121">
        <v>1</v>
      </c>
    </row>
    <row r="122" spans="1:40" x14ac:dyDescent="0.35">
      <c r="A122" t="s">
        <v>266</v>
      </c>
      <c r="B122">
        <v>10234</v>
      </c>
      <c r="C122">
        <v>1</v>
      </c>
      <c r="D122">
        <v>1</v>
      </c>
      <c r="E122">
        <v>1</v>
      </c>
      <c r="F122">
        <v>1</v>
      </c>
      <c r="G122">
        <v>3</v>
      </c>
      <c r="H122">
        <v>3</v>
      </c>
      <c r="I122">
        <v>0</v>
      </c>
      <c r="J122">
        <v>99020</v>
      </c>
      <c r="K122">
        <v>0</v>
      </c>
      <c r="L122">
        <v>4</v>
      </c>
      <c r="M122" t="s">
        <v>525</v>
      </c>
      <c r="N122" t="s">
        <v>40</v>
      </c>
      <c r="O122">
        <v>2134</v>
      </c>
      <c r="P122" s="9">
        <v>28079</v>
      </c>
      <c r="Q122" t="s">
        <v>41</v>
      </c>
      <c r="R122" t="s">
        <v>617</v>
      </c>
      <c r="S122" t="s">
        <v>55</v>
      </c>
      <c r="T122" t="s">
        <v>44</v>
      </c>
      <c r="U122" t="s">
        <v>45</v>
      </c>
      <c r="V122" t="s">
        <v>85</v>
      </c>
      <c r="W122" s="9">
        <v>42845</v>
      </c>
      <c r="X122" s="9"/>
      <c r="Y122" t="s">
        <v>47</v>
      </c>
      <c r="Z122" t="s">
        <v>48</v>
      </c>
      <c r="AA122" t="s">
        <v>499</v>
      </c>
      <c r="AB122" t="s">
        <v>201</v>
      </c>
      <c r="AC122" t="s">
        <v>60</v>
      </c>
      <c r="AD122" t="s">
        <v>61</v>
      </c>
      <c r="AE122">
        <v>4.2</v>
      </c>
      <c r="AF122">
        <v>5</v>
      </c>
      <c r="AG122">
        <v>5</v>
      </c>
      <c r="AH122" s="9">
        <v>43493</v>
      </c>
      <c r="AI122">
        <v>8</v>
      </c>
      <c r="AJ122">
        <v>43</v>
      </c>
      <c r="AK122">
        <v>3</v>
      </c>
      <c r="AL122">
        <v>13</v>
      </c>
      <c r="AM122" t="str">
        <f>IF(Cleaned_Data[[#This Row],[DateofTermination]]="","",YEAR(Cleaned_Data[[#This Row],[DateofTermination]]))</f>
        <v/>
      </c>
      <c r="AN122">
        <v>1</v>
      </c>
    </row>
    <row r="123" spans="1:40" x14ac:dyDescent="0.35">
      <c r="A123" t="s">
        <v>267</v>
      </c>
      <c r="B123">
        <v>10109</v>
      </c>
      <c r="C123">
        <v>0</v>
      </c>
      <c r="D123">
        <v>0</v>
      </c>
      <c r="E123">
        <v>1</v>
      </c>
      <c r="F123">
        <v>5</v>
      </c>
      <c r="G123">
        <v>6</v>
      </c>
      <c r="H123">
        <v>3</v>
      </c>
      <c r="I123">
        <v>0</v>
      </c>
      <c r="J123">
        <v>71707</v>
      </c>
      <c r="K123">
        <v>1</v>
      </c>
      <c r="L123">
        <v>3</v>
      </c>
      <c r="M123" t="s">
        <v>143</v>
      </c>
      <c r="N123" t="s">
        <v>268</v>
      </c>
      <c r="O123">
        <v>37129</v>
      </c>
      <c r="P123" s="9">
        <v>33266</v>
      </c>
      <c r="Q123" t="s">
        <v>41</v>
      </c>
      <c r="R123" t="s">
        <v>617</v>
      </c>
      <c r="S123" t="s">
        <v>43</v>
      </c>
      <c r="T123" t="s">
        <v>44</v>
      </c>
      <c r="U123" t="s">
        <v>45</v>
      </c>
      <c r="V123" t="s">
        <v>102</v>
      </c>
      <c r="W123" s="9">
        <v>41093</v>
      </c>
      <c r="X123" s="9">
        <v>41943</v>
      </c>
      <c r="Y123" t="s">
        <v>166</v>
      </c>
      <c r="Z123" t="s">
        <v>57</v>
      </c>
      <c r="AA123" t="s">
        <v>145</v>
      </c>
      <c r="AB123" t="s">
        <v>146</v>
      </c>
      <c r="AC123" t="s">
        <v>496</v>
      </c>
      <c r="AD123" t="s">
        <v>61</v>
      </c>
      <c r="AE123">
        <v>4.5</v>
      </c>
      <c r="AF123">
        <v>5</v>
      </c>
      <c r="AG123">
        <v>0</v>
      </c>
      <c r="AH123" s="9">
        <v>41276</v>
      </c>
      <c r="AI123">
        <v>20</v>
      </c>
      <c r="AJ123">
        <v>24</v>
      </c>
      <c r="AK123">
        <v>2</v>
      </c>
      <c r="AL123">
        <v>17</v>
      </c>
      <c r="AM123">
        <f>IF(Cleaned_Data[[#This Row],[DateofTermination]]="","",YEAR(Cleaned_Data[[#This Row],[DateofTermination]]))</f>
        <v>2014</v>
      </c>
      <c r="AN123">
        <v>1</v>
      </c>
    </row>
    <row r="124" spans="1:40" x14ac:dyDescent="0.35">
      <c r="A124" t="s">
        <v>269</v>
      </c>
      <c r="B124">
        <v>10125</v>
      </c>
      <c r="C124">
        <v>1</v>
      </c>
      <c r="D124">
        <v>1</v>
      </c>
      <c r="E124">
        <v>0</v>
      </c>
      <c r="F124">
        <v>1</v>
      </c>
      <c r="G124">
        <v>5</v>
      </c>
      <c r="H124">
        <v>3</v>
      </c>
      <c r="I124">
        <v>0</v>
      </c>
      <c r="J124">
        <v>54828</v>
      </c>
      <c r="K124">
        <v>0</v>
      </c>
      <c r="L124">
        <v>19</v>
      </c>
      <c r="M124" t="s">
        <v>39</v>
      </c>
      <c r="N124" t="s">
        <v>40</v>
      </c>
      <c r="O124">
        <v>2127</v>
      </c>
      <c r="P124" s="9">
        <v>24188</v>
      </c>
      <c r="Q124" t="s">
        <v>41</v>
      </c>
      <c r="R124" t="s">
        <v>618</v>
      </c>
      <c r="S124" t="s">
        <v>55</v>
      </c>
      <c r="T124" t="s">
        <v>44</v>
      </c>
      <c r="U124" t="s">
        <v>45</v>
      </c>
      <c r="V124" t="s">
        <v>46</v>
      </c>
      <c r="W124" s="9">
        <v>40875</v>
      </c>
      <c r="X124" s="9"/>
      <c r="Y124" t="s">
        <v>47</v>
      </c>
      <c r="Z124" t="s">
        <v>48</v>
      </c>
      <c r="AA124" t="s">
        <v>495</v>
      </c>
      <c r="AB124" t="s">
        <v>50</v>
      </c>
      <c r="AC124" t="s">
        <v>73</v>
      </c>
      <c r="AD124" t="s">
        <v>61</v>
      </c>
      <c r="AE124">
        <v>4.2</v>
      </c>
      <c r="AF124">
        <v>4</v>
      </c>
      <c r="AG124">
        <v>0</v>
      </c>
      <c r="AH124" s="9">
        <v>43518</v>
      </c>
      <c r="AI124">
        <v>13</v>
      </c>
      <c r="AJ124">
        <v>54</v>
      </c>
      <c r="AK124">
        <v>8</v>
      </c>
      <c r="AL124">
        <v>22</v>
      </c>
      <c r="AM124" t="str">
        <f>IF(Cleaned_Data[[#This Row],[DateofTermination]]="","",YEAR(Cleaned_Data[[#This Row],[DateofTermination]]))</f>
        <v/>
      </c>
      <c r="AN124">
        <v>1</v>
      </c>
    </row>
    <row r="125" spans="1:40" x14ac:dyDescent="0.35">
      <c r="A125" t="s">
        <v>270</v>
      </c>
      <c r="B125">
        <v>10074</v>
      </c>
      <c r="C125">
        <v>0</v>
      </c>
      <c r="D125">
        <v>0</v>
      </c>
      <c r="E125">
        <v>1</v>
      </c>
      <c r="F125">
        <v>1</v>
      </c>
      <c r="G125">
        <v>5</v>
      </c>
      <c r="H125">
        <v>3</v>
      </c>
      <c r="I125">
        <v>0</v>
      </c>
      <c r="J125">
        <v>64246</v>
      </c>
      <c r="K125">
        <v>0</v>
      </c>
      <c r="L125">
        <v>20</v>
      </c>
      <c r="M125" t="s">
        <v>500</v>
      </c>
      <c r="N125" t="s">
        <v>40</v>
      </c>
      <c r="O125">
        <v>2155</v>
      </c>
      <c r="P125" s="9">
        <v>23480</v>
      </c>
      <c r="Q125" t="s">
        <v>96</v>
      </c>
      <c r="R125" t="s">
        <v>617</v>
      </c>
      <c r="S125" t="s">
        <v>43</v>
      </c>
      <c r="T125" t="s">
        <v>44</v>
      </c>
      <c r="U125" t="s">
        <v>92</v>
      </c>
      <c r="V125" t="s">
        <v>46</v>
      </c>
      <c r="W125" s="9">
        <v>41589</v>
      </c>
      <c r="X125" s="9"/>
      <c r="Y125" t="s">
        <v>47</v>
      </c>
      <c r="Z125" t="s">
        <v>48</v>
      </c>
      <c r="AA125" t="s">
        <v>495</v>
      </c>
      <c r="AB125" t="s">
        <v>103</v>
      </c>
      <c r="AC125" t="s">
        <v>496</v>
      </c>
      <c r="AD125" t="s">
        <v>61</v>
      </c>
      <c r="AE125">
        <v>5</v>
      </c>
      <c r="AF125">
        <v>3</v>
      </c>
      <c r="AG125">
        <v>0</v>
      </c>
      <c r="AH125" s="9">
        <v>43678</v>
      </c>
      <c r="AI125">
        <v>20</v>
      </c>
      <c r="AJ125">
        <v>56</v>
      </c>
      <c r="AK125">
        <v>6</v>
      </c>
      <c r="AL125">
        <v>18</v>
      </c>
      <c r="AM125" t="str">
        <f>IF(Cleaned_Data[[#This Row],[DateofTermination]]="","",YEAR(Cleaned_Data[[#This Row],[DateofTermination]]))</f>
        <v/>
      </c>
      <c r="AN125">
        <v>1</v>
      </c>
    </row>
    <row r="126" spans="1:40" x14ac:dyDescent="0.35">
      <c r="A126" t="s">
        <v>539</v>
      </c>
      <c r="B126">
        <v>10097</v>
      </c>
      <c r="C126">
        <v>0</v>
      </c>
      <c r="D126">
        <v>0</v>
      </c>
      <c r="E126">
        <v>0</v>
      </c>
      <c r="F126">
        <v>5</v>
      </c>
      <c r="G126">
        <v>5</v>
      </c>
      <c r="H126">
        <v>3</v>
      </c>
      <c r="I126">
        <v>0</v>
      </c>
      <c r="J126">
        <v>52177</v>
      </c>
      <c r="K126">
        <v>1</v>
      </c>
      <c r="L126">
        <v>19</v>
      </c>
      <c r="M126" t="s">
        <v>39</v>
      </c>
      <c r="N126" t="s">
        <v>40</v>
      </c>
      <c r="O126">
        <v>2324</v>
      </c>
      <c r="P126" s="9">
        <v>21781</v>
      </c>
      <c r="Q126" t="s">
        <v>96</v>
      </c>
      <c r="R126" t="s">
        <v>618</v>
      </c>
      <c r="S126" t="s">
        <v>43</v>
      </c>
      <c r="T126" t="s">
        <v>44</v>
      </c>
      <c r="U126" t="s">
        <v>45</v>
      </c>
      <c r="V126" t="s">
        <v>46</v>
      </c>
      <c r="W126" s="9">
        <v>41153</v>
      </c>
      <c r="X126" s="9">
        <v>42353</v>
      </c>
      <c r="Y126" t="s">
        <v>134</v>
      </c>
      <c r="Z126" t="s">
        <v>57</v>
      </c>
      <c r="AA126" t="s">
        <v>495</v>
      </c>
      <c r="AB126" t="s">
        <v>72</v>
      </c>
      <c r="AC126" t="s">
        <v>508</v>
      </c>
      <c r="AD126" t="s">
        <v>61</v>
      </c>
      <c r="AE126">
        <v>4.6399999999999997</v>
      </c>
      <c r="AF126">
        <v>4</v>
      </c>
      <c r="AG126">
        <v>0</v>
      </c>
      <c r="AH126" s="9">
        <v>42040</v>
      </c>
      <c r="AI126">
        <v>8</v>
      </c>
      <c r="AJ126">
        <v>56</v>
      </c>
      <c r="AK126">
        <v>3</v>
      </c>
      <c r="AL126">
        <v>39</v>
      </c>
      <c r="AM126">
        <f>IF(Cleaned_Data[[#This Row],[DateofTermination]]="","",YEAR(Cleaned_Data[[#This Row],[DateofTermination]]))</f>
        <v>2015</v>
      </c>
      <c r="AN126">
        <v>1</v>
      </c>
    </row>
    <row r="127" spans="1:40" x14ac:dyDescent="0.35">
      <c r="A127" t="s">
        <v>272</v>
      </c>
      <c r="B127">
        <v>10007</v>
      </c>
      <c r="C127">
        <v>1</v>
      </c>
      <c r="D127">
        <v>1</v>
      </c>
      <c r="E127">
        <v>0</v>
      </c>
      <c r="F127">
        <v>1</v>
      </c>
      <c r="G127">
        <v>5</v>
      </c>
      <c r="H127">
        <v>4</v>
      </c>
      <c r="I127">
        <v>0</v>
      </c>
      <c r="J127">
        <v>62065</v>
      </c>
      <c r="K127">
        <v>0</v>
      </c>
      <c r="L127">
        <v>19</v>
      </c>
      <c r="M127" t="s">
        <v>39</v>
      </c>
      <c r="N127" t="s">
        <v>40</v>
      </c>
      <c r="O127">
        <v>1886</v>
      </c>
      <c r="P127" s="9">
        <v>31519</v>
      </c>
      <c r="Q127" t="s">
        <v>41</v>
      </c>
      <c r="R127" t="s">
        <v>618</v>
      </c>
      <c r="S127" t="s">
        <v>55</v>
      </c>
      <c r="T127" t="s">
        <v>44</v>
      </c>
      <c r="U127" t="s">
        <v>45</v>
      </c>
      <c r="V127" t="s">
        <v>46</v>
      </c>
      <c r="W127" s="9">
        <v>41978</v>
      </c>
      <c r="X127" s="9"/>
      <c r="Y127" t="s">
        <v>47</v>
      </c>
      <c r="Z127" t="s">
        <v>48</v>
      </c>
      <c r="AA127" t="s">
        <v>495</v>
      </c>
      <c r="AB127" t="s">
        <v>75</v>
      </c>
      <c r="AC127" t="s">
        <v>508</v>
      </c>
      <c r="AD127" t="s">
        <v>52</v>
      </c>
      <c r="AE127">
        <v>4.76</v>
      </c>
      <c r="AF127">
        <v>4</v>
      </c>
      <c r="AG127">
        <v>0</v>
      </c>
      <c r="AH127" s="9">
        <v>43511</v>
      </c>
      <c r="AI127">
        <v>5</v>
      </c>
      <c r="AJ127">
        <v>34</v>
      </c>
      <c r="AK127">
        <v>5</v>
      </c>
      <c r="AL127">
        <v>11</v>
      </c>
      <c r="AM127" t="str">
        <f>IF(Cleaned_Data[[#This Row],[DateofTermination]]="","",YEAR(Cleaned_Data[[#This Row],[DateofTermination]]))</f>
        <v/>
      </c>
      <c r="AN127">
        <v>1</v>
      </c>
    </row>
    <row r="128" spans="1:40" x14ac:dyDescent="0.35">
      <c r="A128" t="s">
        <v>273</v>
      </c>
      <c r="B128">
        <v>10129</v>
      </c>
      <c r="C128">
        <v>0</v>
      </c>
      <c r="D128">
        <v>0</v>
      </c>
      <c r="E128">
        <v>1</v>
      </c>
      <c r="F128">
        <v>1</v>
      </c>
      <c r="G128">
        <v>5</v>
      </c>
      <c r="H128">
        <v>3</v>
      </c>
      <c r="I128">
        <v>0</v>
      </c>
      <c r="J128">
        <v>46998</v>
      </c>
      <c r="K128">
        <v>0</v>
      </c>
      <c r="L128">
        <v>19</v>
      </c>
      <c r="M128" t="s">
        <v>39</v>
      </c>
      <c r="N128" t="s">
        <v>40</v>
      </c>
      <c r="O128">
        <v>2149</v>
      </c>
      <c r="P128" s="9">
        <v>27778</v>
      </c>
      <c r="Q128" t="s">
        <v>41</v>
      </c>
      <c r="R128" t="s">
        <v>617</v>
      </c>
      <c r="S128" t="s">
        <v>43</v>
      </c>
      <c r="T128" t="s">
        <v>44</v>
      </c>
      <c r="U128" t="s">
        <v>45</v>
      </c>
      <c r="V128" t="s">
        <v>46</v>
      </c>
      <c r="W128" s="9">
        <v>41134</v>
      </c>
      <c r="X128" s="9"/>
      <c r="Y128" t="s">
        <v>47</v>
      </c>
      <c r="Z128" t="s">
        <v>48</v>
      </c>
      <c r="AA128" t="s">
        <v>495</v>
      </c>
      <c r="AB128" t="s">
        <v>82</v>
      </c>
      <c r="AC128" t="s">
        <v>73</v>
      </c>
      <c r="AD128" t="s">
        <v>61</v>
      </c>
      <c r="AE128">
        <v>4.17</v>
      </c>
      <c r="AF128">
        <v>4</v>
      </c>
      <c r="AG128">
        <v>0</v>
      </c>
      <c r="AH128" s="9">
        <v>43771</v>
      </c>
      <c r="AI128">
        <v>1</v>
      </c>
      <c r="AJ128">
        <v>44</v>
      </c>
      <c r="AK128">
        <v>7</v>
      </c>
      <c r="AL128">
        <v>19</v>
      </c>
      <c r="AM128" t="str">
        <f>IF(Cleaned_Data[[#This Row],[DateofTermination]]="","",YEAR(Cleaned_Data[[#This Row],[DateofTermination]]))</f>
        <v/>
      </c>
      <c r="AN128">
        <v>1</v>
      </c>
    </row>
    <row r="129" spans="1:40" x14ac:dyDescent="0.35">
      <c r="A129" t="s">
        <v>274</v>
      </c>
      <c r="B129">
        <v>10075</v>
      </c>
      <c r="C129">
        <v>0</v>
      </c>
      <c r="D129">
        <v>0</v>
      </c>
      <c r="E129">
        <v>0</v>
      </c>
      <c r="F129">
        <v>5</v>
      </c>
      <c r="G129">
        <v>5</v>
      </c>
      <c r="H129">
        <v>3</v>
      </c>
      <c r="I129">
        <v>0</v>
      </c>
      <c r="J129">
        <v>68099</v>
      </c>
      <c r="K129">
        <v>1</v>
      </c>
      <c r="L129">
        <v>20</v>
      </c>
      <c r="M129" t="s">
        <v>500</v>
      </c>
      <c r="N129" t="s">
        <v>40</v>
      </c>
      <c r="O129">
        <v>2021</v>
      </c>
      <c r="P129" s="9">
        <v>29186</v>
      </c>
      <c r="Q129" t="s">
        <v>41</v>
      </c>
      <c r="R129" t="s">
        <v>618</v>
      </c>
      <c r="S129" t="s">
        <v>43</v>
      </c>
      <c r="T129" t="s">
        <v>44</v>
      </c>
      <c r="U129" t="s">
        <v>45</v>
      </c>
      <c r="V129" t="s">
        <v>46</v>
      </c>
      <c r="W129" s="9">
        <v>40817</v>
      </c>
      <c r="X129" s="9">
        <v>41502</v>
      </c>
      <c r="Y129" t="s">
        <v>65</v>
      </c>
      <c r="Z129" t="s">
        <v>57</v>
      </c>
      <c r="AA129" t="s">
        <v>495</v>
      </c>
      <c r="AB129" t="s">
        <v>103</v>
      </c>
      <c r="AC129" t="s">
        <v>508</v>
      </c>
      <c r="AD129" t="s">
        <v>61</v>
      </c>
      <c r="AE129">
        <v>5</v>
      </c>
      <c r="AF129">
        <v>3</v>
      </c>
      <c r="AG129">
        <v>0</v>
      </c>
      <c r="AH129" s="9">
        <v>41304</v>
      </c>
      <c r="AI129">
        <v>15</v>
      </c>
      <c r="AJ129">
        <v>34</v>
      </c>
      <c r="AK129">
        <v>2</v>
      </c>
      <c r="AL129">
        <v>18</v>
      </c>
      <c r="AM129">
        <f>IF(Cleaned_Data[[#This Row],[DateofTermination]]="","",YEAR(Cleaned_Data[[#This Row],[DateofTermination]]))</f>
        <v>2013</v>
      </c>
      <c r="AN129">
        <v>1</v>
      </c>
    </row>
    <row r="130" spans="1:40" x14ac:dyDescent="0.35">
      <c r="A130" t="s">
        <v>275</v>
      </c>
      <c r="B130">
        <v>10167</v>
      </c>
      <c r="C130">
        <v>1</v>
      </c>
      <c r="D130">
        <v>1</v>
      </c>
      <c r="E130">
        <v>1</v>
      </c>
      <c r="F130">
        <v>1</v>
      </c>
      <c r="G130">
        <v>6</v>
      </c>
      <c r="H130">
        <v>3</v>
      </c>
      <c r="I130">
        <v>0</v>
      </c>
      <c r="J130">
        <v>70545</v>
      </c>
      <c r="K130">
        <v>0</v>
      </c>
      <c r="L130">
        <v>3</v>
      </c>
      <c r="M130" t="s">
        <v>143</v>
      </c>
      <c r="N130" t="s">
        <v>276</v>
      </c>
      <c r="O130">
        <v>3062</v>
      </c>
      <c r="P130" s="9">
        <v>19988</v>
      </c>
      <c r="Q130" t="s">
        <v>96</v>
      </c>
      <c r="R130" t="s">
        <v>617</v>
      </c>
      <c r="S130" t="s">
        <v>55</v>
      </c>
      <c r="T130" t="s">
        <v>44</v>
      </c>
      <c r="U130" t="s">
        <v>45</v>
      </c>
      <c r="V130" t="s">
        <v>262</v>
      </c>
      <c r="W130" s="9">
        <v>41869</v>
      </c>
      <c r="X130" s="9"/>
      <c r="Y130" t="s">
        <v>47</v>
      </c>
      <c r="Z130" t="s">
        <v>48</v>
      </c>
      <c r="AA130" t="s">
        <v>145</v>
      </c>
      <c r="AB130" t="s">
        <v>146</v>
      </c>
      <c r="AC130" t="s">
        <v>60</v>
      </c>
      <c r="AD130" t="s">
        <v>61</v>
      </c>
      <c r="AE130">
        <v>3.6</v>
      </c>
      <c r="AF130">
        <v>5</v>
      </c>
      <c r="AG130">
        <v>0</v>
      </c>
      <c r="AH130" s="9">
        <v>43495</v>
      </c>
      <c r="AI130">
        <v>9</v>
      </c>
      <c r="AJ130">
        <v>65</v>
      </c>
      <c r="AK130">
        <v>5</v>
      </c>
      <c r="AL130">
        <v>17</v>
      </c>
      <c r="AM130" t="str">
        <f>IF(Cleaned_Data[[#This Row],[DateofTermination]]="","",YEAR(Cleaned_Data[[#This Row],[DateofTermination]]))</f>
        <v/>
      </c>
      <c r="AN130">
        <v>1</v>
      </c>
    </row>
    <row r="131" spans="1:40" x14ac:dyDescent="0.35">
      <c r="A131" t="s">
        <v>277</v>
      </c>
      <c r="B131">
        <v>10195</v>
      </c>
      <c r="C131">
        <v>1</v>
      </c>
      <c r="D131">
        <v>1</v>
      </c>
      <c r="E131">
        <v>0</v>
      </c>
      <c r="F131">
        <v>5</v>
      </c>
      <c r="G131">
        <v>5</v>
      </c>
      <c r="H131">
        <v>3</v>
      </c>
      <c r="I131">
        <v>0</v>
      </c>
      <c r="J131">
        <v>63478</v>
      </c>
      <c r="K131">
        <v>1</v>
      </c>
      <c r="L131">
        <v>20</v>
      </c>
      <c r="M131" t="s">
        <v>500</v>
      </c>
      <c r="N131" t="s">
        <v>40</v>
      </c>
      <c r="O131">
        <v>2445</v>
      </c>
      <c r="P131" s="9">
        <v>25258</v>
      </c>
      <c r="Q131" t="s">
        <v>41</v>
      </c>
      <c r="R131" t="s">
        <v>618</v>
      </c>
      <c r="S131" t="s">
        <v>55</v>
      </c>
      <c r="T131" t="s">
        <v>168</v>
      </c>
      <c r="U131" t="s">
        <v>45</v>
      </c>
      <c r="V131" t="s">
        <v>46</v>
      </c>
      <c r="W131" s="9">
        <v>40770</v>
      </c>
      <c r="X131" s="9">
        <v>41094</v>
      </c>
      <c r="Y131" t="s">
        <v>166</v>
      </c>
      <c r="Z131" t="s">
        <v>57</v>
      </c>
      <c r="AA131" t="s">
        <v>495</v>
      </c>
      <c r="AB131" t="s">
        <v>50</v>
      </c>
      <c r="AC131" t="s">
        <v>60</v>
      </c>
      <c r="AD131" t="s">
        <v>61</v>
      </c>
      <c r="AE131">
        <v>3.03</v>
      </c>
      <c r="AF131">
        <v>5</v>
      </c>
      <c r="AG131">
        <v>0</v>
      </c>
      <c r="AH131" s="9">
        <v>41032</v>
      </c>
      <c r="AI131">
        <v>16</v>
      </c>
      <c r="AJ131">
        <v>43</v>
      </c>
      <c r="AK131">
        <v>1</v>
      </c>
      <c r="AL131">
        <v>30</v>
      </c>
      <c r="AM131">
        <f>IF(Cleaned_Data[[#This Row],[DateofTermination]]="","",YEAR(Cleaned_Data[[#This Row],[DateofTermination]]))</f>
        <v>2012</v>
      </c>
      <c r="AN131">
        <v>1</v>
      </c>
    </row>
    <row r="132" spans="1:40" x14ac:dyDescent="0.35">
      <c r="A132" t="s">
        <v>278</v>
      </c>
      <c r="B132">
        <v>10112</v>
      </c>
      <c r="C132">
        <v>0</v>
      </c>
      <c r="D132">
        <v>0</v>
      </c>
      <c r="E132">
        <v>0</v>
      </c>
      <c r="F132">
        <v>1</v>
      </c>
      <c r="G132">
        <v>3</v>
      </c>
      <c r="H132">
        <v>3</v>
      </c>
      <c r="I132">
        <v>0</v>
      </c>
      <c r="J132">
        <v>97999</v>
      </c>
      <c r="K132">
        <v>0</v>
      </c>
      <c r="L132">
        <v>8</v>
      </c>
      <c r="M132" t="s">
        <v>113</v>
      </c>
      <c r="N132" t="s">
        <v>40</v>
      </c>
      <c r="O132">
        <v>2493</v>
      </c>
      <c r="P132" s="9">
        <v>31525</v>
      </c>
      <c r="Q132" t="s">
        <v>41</v>
      </c>
      <c r="R132" t="s">
        <v>618</v>
      </c>
      <c r="S132" t="s">
        <v>43</v>
      </c>
      <c r="T132" t="s">
        <v>44</v>
      </c>
      <c r="U132" t="s">
        <v>45</v>
      </c>
      <c r="V132" t="s">
        <v>46</v>
      </c>
      <c r="W132" s="9">
        <v>42093</v>
      </c>
      <c r="X132" s="9"/>
      <c r="Y132" t="s">
        <v>47</v>
      </c>
      <c r="Z132" t="s">
        <v>48</v>
      </c>
      <c r="AA132" t="s">
        <v>499</v>
      </c>
      <c r="AB132" t="s">
        <v>59</v>
      </c>
      <c r="AC132" t="s">
        <v>60</v>
      </c>
      <c r="AD132" t="s">
        <v>61</v>
      </c>
      <c r="AE132">
        <v>4.4800000000000004</v>
      </c>
      <c r="AF132">
        <v>5</v>
      </c>
      <c r="AG132">
        <v>6</v>
      </c>
      <c r="AH132" s="9">
        <v>43525</v>
      </c>
      <c r="AI132">
        <v>4</v>
      </c>
      <c r="AJ132">
        <v>34</v>
      </c>
      <c r="AK132">
        <v>5</v>
      </c>
      <c r="AL132">
        <v>4</v>
      </c>
      <c r="AM132" t="str">
        <f>IF(Cleaned_Data[[#This Row],[DateofTermination]]="","",YEAR(Cleaned_Data[[#This Row],[DateofTermination]]))</f>
        <v/>
      </c>
      <c r="AN132">
        <v>1</v>
      </c>
    </row>
    <row r="133" spans="1:40" x14ac:dyDescent="0.35">
      <c r="A133" t="s">
        <v>279</v>
      </c>
      <c r="B133">
        <v>10272</v>
      </c>
      <c r="C133">
        <v>1</v>
      </c>
      <c r="D133">
        <v>1</v>
      </c>
      <c r="E133">
        <v>0</v>
      </c>
      <c r="F133">
        <v>1</v>
      </c>
      <c r="G133">
        <v>6</v>
      </c>
      <c r="H133">
        <v>3</v>
      </c>
      <c r="I133">
        <v>0</v>
      </c>
      <c r="J133">
        <v>180000</v>
      </c>
      <c r="K133">
        <v>0</v>
      </c>
      <c r="L133">
        <v>11</v>
      </c>
      <c r="M133" t="s">
        <v>540</v>
      </c>
      <c r="N133" t="s">
        <v>281</v>
      </c>
      <c r="O133">
        <v>2908</v>
      </c>
      <c r="P133" s="9">
        <v>29061</v>
      </c>
      <c r="Q133" t="s">
        <v>41</v>
      </c>
      <c r="R133" t="s">
        <v>618</v>
      </c>
      <c r="S133" t="s">
        <v>55</v>
      </c>
      <c r="T133" t="s">
        <v>44</v>
      </c>
      <c r="U133" t="s">
        <v>45</v>
      </c>
      <c r="V133" t="s">
        <v>46</v>
      </c>
      <c r="W133" s="9">
        <v>41764</v>
      </c>
      <c r="X133" s="9"/>
      <c r="Y133" t="s">
        <v>47</v>
      </c>
      <c r="Z133" t="s">
        <v>48</v>
      </c>
      <c r="AA133" t="s">
        <v>145</v>
      </c>
      <c r="AB133" t="s">
        <v>135</v>
      </c>
      <c r="AC133" t="s">
        <v>496</v>
      </c>
      <c r="AD133" t="s">
        <v>61</v>
      </c>
      <c r="AE133">
        <v>4.5</v>
      </c>
      <c r="AF133">
        <v>4</v>
      </c>
      <c r="AG133">
        <v>0</v>
      </c>
      <c r="AH133" s="9">
        <v>43486</v>
      </c>
      <c r="AI133">
        <v>19</v>
      </c>
      <c r="AJ133">
        <v>40</v>
      </c>
      <c r="AK133">
        <v>6</v>
      </c>
      <c r="AL133">
        <v>2</v>
      </c>
      <c r="AM133" t="str">
        <f>IF(Cleaned_Data[[#This Row],[DateofTermination]]="","",YEAR(Cleaned_Data[[#This Row],[DateofTermination]]))</f>
        <v/>
      </c>
      <c r="AN133">
        <v>1</v>
      </c>
    </row>
    <row r="134" spans="1:40" x14ac:dyDescent="0.35">
      <c r="A134" t="s">
        <v>282</v>
      </c>
      <c r="B134">
        <v>10182</v>
      </c>
      <c r="C134">
        <v>1</v>
      </c>
      <c r="D134">
        <v>1</v>
      </c>
      <c r="E134">
        <v>0</v>
      </c>
      <c r="F134">
        <v>1</v>
      </c>
      <c r="G134">
        <v>1</v>
      </c>
      <c r="H134">
        <v>3</v>
      </c>
      <c r="I134">
        <v>0</v>
      </c>
      <c r="J134">
        <v>49920</v>
      </c>
      <c r="K134">
        <v>1</v>
      </c>
      <c r="L134">
        <v>2</v>
      </c>
      <c r="M134" t="s">
        <v>283</v>
      </c>
      <c r="N134" t="s">
        <v>40</v>
      </c>
      <c r="O134">
        <v>2170</v>
      </c>
      <c r="P134" s="9">
        <v>30798</v>
      </c>
      <c r="Q134" t="s">
        <v>41</v>
      </c>
      <c r="R134" t="s">
        <v>618</v>
      </c>
      <c r="S134" t="s">
        <v>55</v>
      </c>
      <c r="T134" t="s">
        <v>44</v>
      </c>
      <c r="U134" t="s">
        <v>45</v>
      </c>
      <c r="V134" t="s">
        <v>85</v>
      </c>
      <c r="W134" s="9">
        <v>42051</v>
      </c>
      <c r="X134" s="9">
        <v>42109</v>
      </c>
      <c r="Y134" t="s">
        <v>222</v>
      </c>
      <c r="Z134" t="s">
        <v>108</v>
      </c>
      <c r="AA134" t="s">
        <v>130</v>
      </c>
      <c r="AB134" t="s">
        <v>492</v>
      </c>
      <c r="AC134" t="s">
        <v>60</v>
      </c>
      <c r="AD134" t="s">
        <v>61</v>
      </c>
      <c r="AE134">
        <v>3.24</v>
      </c>
      <c r="AF134">
        <v>3</v>
      </c>
      <c r="AG134">
        <v>4</v>
      </c>
      <c r="AH134" s="9">
        <v>42109</v>
      </c>
      <c r="AI134">
        <v>6</v>
      </c>
      <c r="AJ134">
        <v>31</v>
      </c>
      <c r="AK134">
        <v>0</v>
      </c>
      <c r="AL134">
        <v>1</v>
      </c>
      <c r="AM134">
        <f>IF(Cleaned_Data[[#This Row],[DateofTermination]]="","",YEAR(Cleaned_Data[[#This Row],[DateofTermination]]))</f>
        <v>2015</v>
      </c>
      <c r="AN134">
        <v>1</v>
      </c>
    </row>
    <row r="135" spans="1:40" x14ac:dyDescent="0.35">
      <c r="A135" t="s">
        <v>284</v>
      </c>
      <c r="B135">
        <v>10248</v>
      </c>
      <c r="C135">
        <v>0</v>
      </c>
      <c r="D135">
        <v>0</v>
      </c>
      <c r="E135">
        <v>0</v>
      </c>
      <c r="F135">
        <v>1</v>
      </c>
      <c r="G135">
        <v>5</v>
      </c>
      <c r="H135">
        <v>3</v>
      </c>
      <c r="I135">
        <v>0</v>
      </c>
      <c r="J135">
        <v>55425</v>
      </c>
      <c r="K135">
        <v>0</v>
      </c>
      <c r="L135">
        <v>19</v>
      </c>
      <c r="M135" t="s">
        <v>39</v>
      </c>
      <c r="N135" t="s">
        <v>40</v>
      </c>
      <c r="O135">
        <v>2176</v>
      </c>
      <c r="P135" s="9">
        <v>31942</v>
      </c>
      <c r="Q135" t="s">
        <v>41</v>
      </c>
      <c r="R135" t="s">
        <v>618</v>
      </c>
      <c r="S135" t="s">
        <v>43</v>
      </c>
      <c r="T135" t="s">
        <v>44</v>
      </c>
      <c r="U135" t="s">
        <v>45</v>
      </c>
      <c r="V135" t="s">
        <v>46</v>
      </c>
      <c r="W135" s="9">
        <v>40959</v>
      </c>
      <c r="X135" s="9"/>
      <c r="Y135" t="s">
        <v>47</v>
      </c>
      <c r="Z135" t="s">
        <v>48</v>
      </c>
      <c r="AA135" t="s">
        <v>495</v>
      </c>
      <c r="AB135" t="s">
        <v>82</v>
      </c>
      <c r="AC135" t="s">
        <v>496</v>
      </c>
      <c r="AD135" t="s">
        <v>61</v>
      </c>
      <c r="AE135">
        <v>4.8</v>
      </c>
      <c r="AF135">
        <v>4</v>
      </c>
      <c r="AG135">
        <v>0</v>
      </c>
      <c r="AH135" s="9">
        <v>43647</v>
      </c>
      <c r="AI135">
        <v>4</v>
      </c>
      <c r="AJ135">
        <v>33</v>
      </c>
      <c r="AK135">
        <v>8</v>
      </c>
      <c r="AL135">
        <v>19</v>
      </c>
      <c r="AM135" t="str">
        <f>IF(Cleaned_Data[[#This Row],[DateofTermination]]="","",YEAR(Cleaned_Data[[#This Row],[DateofTermination]]))</f>
        <v/>
      </c>
      <c r="AN135">
        <v>1</v>
      </c>
    </row>
    <row r="136" spans="1:40" x14ac:dyDescent="0.35">
      <c r="A136" t="s">
        <v>285</v>
      </c>
      <c r="B136">
        <v>10201</v>
      </c>
      <c r="C136">
        <v>0</v>
      </c>
      <c r="D136">
        <v>0</v>
      </c>
      <c r="E136">
        <v>0</v>
      </c>
      <c r="F136">
        <v>2</v>
      </c>
      <c r="G136">
        <v>5</v>
      </c>
      <c r="H136">
        <v>3</v>
      </c>
      <c r="I136">
        <v>0</v>
      </c>
      <c r="J136">
        <v>69340</v>
      </c>
      <c r="K136">
        <v>0</v>
      </c>
      <c r="L136">
        <v>20</v>
      </c>
      <c r="M136" t="s">
        <v>500</v>
      </c>
      <c r="N136" t="s">
        <v>40</v>
      </c>
      <c r="O136">
        <v>2021</v>
      </c>
      <c r="P136" s="9">
        <v>31064</v>
      </c>
      <c r="Q136" t="s">
        <v>41</v>
      </c>
      <c r="R136" t="s">
        <v>618</v>
      </c>
      <c r="S136" t="s">
        <v>43</v>
      </c>
      <c r="T136" t="s">
        <v>44</v>
      </c>
      <c r="U136" t="s">
        <v>45</v>
      </c>
      <c r="V136" t="s">
        <v>46</v>
      </c>
      <c r="W136" s="9">
        <v>42527</v>
      </c>
      <c r="X136" s="9"/>
      <c r="Y136" t="s">
        <v>47</v>
      </c>
      <c r="Z136" t="s">
        <v>48</v>
      </c>
      <c r="AA136" t="s">
        <v>495</v>
      </c>
      <c r="AB136" t="s">
        <v>68</v>
      </c>
      <c r="AC136" t="s">
        <v>496</v>
      </c>
      <c r="AD136" t="s">
        <v>61</v>
      </c>
      <c r="AE136">
        <v>3</v>
      </c>
      <c r="AF136">
        <v>5</v>
      </c>
      <c r="AG136">
        <v>0</v>
      </c>
      <c r="AH136" s="9">
        <v>43483</v>
      </c>
      <c r="AI136">
        <v>4</v>
      </c>
      <c r="AJ136">
        <v>35</v>
      </c>
      <c r="AK136">
        <v>4</v>
      </c>
      <c r="AL136">
        <v>16</v>
      </c>
      <c r="AM136" t="str">
        <f>IF(Cleaned_Data[[#This Row],[DateofTermination]]="","",YEAR(Cleaned_Data[[#This Row],[DateofTermination]]))</f>
        <v/>
      </c>
      <c r="AN136">
        <v>1</v>
      </c>
    </row>
    <row r="137" spans="1:40" x14ac:dyDescent="0.35">
      <c r="A137" t="s">
        <v>286</v>
      </c>
      <c r="B137">
        <v>10214</v>
      </c>
      <c r="C137">
        <v>0</v>
      </c>
      <c r="D137">
        <v>3</v>
      </c>
      <c r="E137">
        <v>0</v>
      </c>
      <c r="F137">
        <v>2</v>
      </c>
      <c r="G137">
        <v>5</v>
      </c>
      <c r="H137">
        <v>3</v>
      </c>
      <c r="I137">
        <v>0</v>
      </c>
      <c r="J137">
        <v>64995</v>
      </c>
      <c r="K137">
        <v>0</v>
      </c>
      <c r="L137">
        <v>20</v>
      </c>
      <c r="M137" t="s">
        <v>500</v>
      </c>
      <c r="N137" t="s">
        <v>40</v>
      </c>
      <c r="O137">
        <v>2351</v>
      </c>
      <c r="P137" s="9">
        <v>32504</v>
      </c>
      <c r="Q137" t="s">
        <v>41</v>
      </c>
      <c r="R137" t="s">
        <v>618</v>
      </c>
      <c r="S137" t="s">
        <v>141</v>
      </c>
      <c r="T137" t="s">
        <v>44</v>
      </c>
      <c r="U137" t="s">
        <v>45</v>
      </c>
      <c r="V137" t="s">
        <v>46</v>
      </c>
      <c r="W137" s="9">
        <v>42130</v>
      </c>
      <c r="X137" s="9"/>
      <c r="Y137" t="s">
        <v>47</v>
      </c>
      <c r="Z137" t="s">
        <v>48</v>
      </c>
      <c r="AA137" t="s">
        <v>495</v>
      </c>
      <c r="AB137" t="s">
        <v>72</v>
      </c>
      <c r="AC137" t="s">
        <v>60</v>
      </c>
      <c r="AD137" t="s">
        <v>61</v>
      </c>
      <c r="AE137">
        <v>4.5</v>
      </c>
      <c r="AF137">
        <v>3</v>
      </c>
      <c r="AG137">
        <v>0</v>
      </c>
      <c r="AH137" s="9">
        <v>43510</v>
      </c>
      <c r="AI137">
        <v>6</v>
      </c>
      <c r="AJ137">
        <v>31</v>
      </c>
      <c r="AK137">
        <v>5</v>
      </c>
      <c r="AL137">
        <v>39</v>
      </c>
      <c r="AM137" t="str">
        <f>IF(Cleaned_Data[[#This Row],[DateofTermination]]="","",YEAR(Cleaned_Data[[#This Row],[DateofTermination]]))</f>
        <v/>
      </c>
      <c r="AN137">
        <v>1</v>
      </c>
    </row>
    <row r="138" spans="1:40" x14ac:dyDescent="0.35">
      <c r="A138" t="s">
        <v>287</v>
      </c>
      <c r="B138">
        <v>10160</v>
      </c>
      <c r="C138">
        <v>0</v>
      </c>
      <c r="D138">
        <v>2</v>
      </c>
      <c r="E138">
        <v>0</v>
      </c>
      <c r="F138">
        <v>5</v>
      </c>
      <c r="G138">
        <v>5</v>
      </c>
      <c r="H138">
        <v>3</v>
      </c>
      <c r="I138">
        <v>0</v>
      </c>
      <c r="J138">
        <v>68182</v>
      </c>
      <c r="K138">
        <v>1</v>
      </c>
      <c r="L138">
        <v>20</v>
      </c>
      <c r="M138" t="s">
        <v>500</v>
      </c>
      <c r="N138" t="s">
        <v>40</v>
      </c>
      <c r="O138">
        <v>1742</v>
      </c>
      <c r="P138" s="9">
        <v>29885</v>
      </c>
      <c r="Q138" t="s">
        <v>41</v>
      </c>
      <c r="R138" t="s">
        <v>618</v>
      </c>
      <c r="S138" t="s">
        <v>70</v>
      </c>
      <c r="T138" t="s">
        <v>44</v>
      </c>
      <c r="U138" t="s">
        <v>45</v>
      </c>
      <c r="V138" t="s">
        <v>46</v>
      </c>
      <c r="W138" s="9">
        <v>40595</v>
      </c>
      <c r="X138" s="9">
        <v>41278</v>
      </c>
      <c r="Y138" t="s">
        <v>97</v>
      </c>
      <c r="Z138" t="s">
        <v>57</v>
      </c>
      <c r="AA138" t="s">
        <v>495</v>
      </c>
      <c r="AB138" t="s">
        <v>75</v>
      </c>
      <c r="AC138" t="s">
        <v>73</v>
      </c>
      <c r="AD138" t="s">
        <v>61</v>
      </c>
      <c r="AE138">
        <v>3.72</v>
      </c>
      <c r="AF138">
        <v>3</v>
      </c>
      <c r="AG138">
        <v>0</v>
      </c>
      <c r="AH138" s="9">
        <v>41276</v>
      </c>
      <c r="AI138">
        <v>18</v>
      </c>
      <c r="AJ138">
        <v>31</v>
      </c>
      <c r="AK138">
        <v>2</v>
      </c>
      <c r="AL138">
        <v>11</v>
      </c>
      <c r="AM138">
        <f>IF(Cleaned_Data[[#This Row],[DateofTermination]]="","",YEAR(Cleaned_Data[[#This Row],[DateofTermination]]))</f>
        <v>2013</v>
      </c>
      <c r="AN138">
        <v>1</v>
      </c>
    </row>
    <row r="139" spans="1:40" x14ac:dyDescent="0.35">
      <c r="A139" t="s">
        <v>288</v>
      </c>
      <c r="B139">
        <v>10289</v>
      </c>
      <c r="C139">
        <v>1</v>
      </c>
      <c r="D139">
        <v>1</v>
      </c>
      <c r="E139">
        <v>1</v>
      </c>
      <c r="F139">
        <v>5</v>
      </c>
      <c r="G139">
        <v>5</v>
      </c>
      <c r="H139">
        <v>2</v>
      </c>
      <c r="I139">
        <v>0</v>
      </c>
      <c r="J139">
        <v>83082</v>
      </c>
      <c r="K139">
        <v>1</v>
      </c>
      <c r="L139">
        <v>18</v>
      </c>
      <c r="M139" t="s">
        <v>133</v>
      </c>
      <c r="N139" t="s">
        <v>40</v>
      </c>
      <c r="O139">
        <v>2128</v>
      </c>
      <c r="P139" s="9">
        <v>29671</v>
      </c>
      <c r="Q139" t="s">
        <v>41</v>
      </c>
      <c r="R139" t="s">
        <v>617</v>
      </c>
      <c r="S139" t="s">
        <v>55</v>
      </c>
      <c r="T139" t="s">
        <v>44</v>
      </c>
      <c r="U139" t="s">
        <v>45</v>
      </c>
      <c r="V139" t="s">
        <v>116</v>
      </c>
      <c r="W139" s="9">
        <v>40595</v>
      </c>
      <c r="X139" s="9">
        <v>41176</v>
      </c>
      <c r="Y139" t="s">
        <v>97</v>
      </c>
      <c r="Z139" t="s">
        <v>57</v>
      </c>
      <c r="AA139" t="s">
        <v>495</v>
      </c>
      <c r="AB139" t="s">
        <v>135</v>
      </c>
      <c r="AC139" t="s">
        <v>60</v>
      </c>
      <c r="AD139" t="s">
        <v>122</v>
      </c>
      <c r="AE139">
        <v>2.34</v>
      </c>
      <c r="AF139">
        <v>2</v>
      </c>
      <c r="AG139">
        <v>0</v>
      </c>
      <c r="AH139" s="9">
        <v>41247</v>
      </c>
      <c r="AI139">
        <v>4</v>
      </c>
      <c r="AJ139">
        <v>31</v>
      </c>
      <c r="AK139">
        <v>2</v>
      </c>
      <c r="AL139">
        <v>2</v>
      </c>
      <c r="AM139">
        <f>IF(Cleaned_Data[[#This Row],[DateofTermination]]="","",YEAR(Cleaned_Data[[#This Row],[DateofTermination]]))</f>
        <v>2012</v>
      </c>
      <c r="AN139">
        <v>1</v>
      </c>
    </row>
    <row r="140" spans="1:40" x14ac:dyDescent="0.35">
      <c r="A140" t="s">
        <v>541</v>
      </c>
      <c r="B140">
        <v>10139</v>
      </c>
      <c r="C140">
        <v>0</v>
      </c>
      <c r="D140">
        <v>0</v>
      </c>
      <c r="E140">
        <v>0</v>
      </c>
      <c r="F140">
        <v>1</v>
      </c>
      <c r="G140">
        <v>5</v>
      </c>
      <c r="H140">
        <v>3</v>
      </c>
      <c r="I140">
        <v>0</v>
      </c>
      <c r="J140">
        <v>51908</v>
      </c>
      <c r="K140">
        <v>0</v>
      </c>
      <c r="L140">
        <v>19</v>
      </c>
      <c r="M140" t="s">
        <v>39</v>
      </c>
      <c r="N140" t="s">
        <v>40</v>
      </c>
      <c r="O140">
        <v>1775</v>
      </c>
      <c r="P140" s="9">
        <v>28933</v>
      </c>
      <c r="Q140" t="s">
        <v>41</v>
      </c>
      <c r="R140" t="s">
        <v>618</v>
      </c>
      <c r="S140" t="s">
        <v>43</v>
      </c>
      <c r="T140" t="s">
        <v>44</v>
      </c>
      <c r="U140" t="s">
        <v>45</v>
      </c>
      <c r="V140" t="s">
        <v>46</v>
      </c>
      <c r="W140" s="9">
        <v>41505</v>
      </c>
      <c r="X140" s="9"/>
      <c r="Y140" t="s">
        <v>47</v>
      </c>
      <c r="Z140" t="s">
        <v>48</v>
      </c>
      <c r="AA140" t="s">
        <v>495</v>
      </c>
      <c r="AB140" t="s">
        <v>86</v>
      </c>
      <c r="AC140" t="s">
        <v>60</v>
      </c>
      <c r="AD140" t="s">
        <v>61</v>
      </c>
      <c r="AE140">
        <v>3.99</v>
      </c>
      <c r="AF140">
        <v>3</v>
      </c>
      <c r="AG140">
        <v>0</v>
      </c>
      <c r="AH140" s="9">
        <v>43479</v>
      </c>
      <c r="AI140">
        <v>14</v>
      </c>
      <c r="AJ140">
        <v>41</v>
      </c>
      <c r="AK140">
        <v>6</v>
      </c>
      <c r="AL140">
        <v>12</v>
      </c>
      <c r="AM140" t="str">
        <f>IF(Cleaned_Data[[#This Row],[DateofTermination]]="","",YEAR(Cleaned_Data[[#This Row],[DateofTermination]]))</f>
        <v/>
      </c>
      <c r="AN140">
        <v>1</v>
      </c>
    </row>
    <row r="141" spans="1:40" x14ac:dyDescent="0.35">
      <c r="A141" t="s">
        <v>290</v>
      </c>
      <c r="B141">
        <v>10227</v>
      </c>
      <c r="C141">
        <v>0</v>
      </c>
      <c r="D141">
        <v>0</v>
      </c>
      <c r="E141">
        <v>0</v>
      </c>
      <c r="F141">
        <v>1</v>
      </c>
      <c r="G141">
        <v>5</v>
      </c>
      <c r="H141">
        <v>3</v>
      </c>
      <c r="I141">
        <v>0</v>
      </c>
      <c r="J141">
        <v>61242</v>
      </c>
      <c r="K141">
        <v>0</v>
      </c>
      <c r="L141">
        <v>19</v>
      </c>
      <c r="M141" t="s">
        <v>39</v>
      </c>
      <c r="N141" t="s">
        <v>40</v>
      </c>
      <c r="O141">
        <v>2081</v>
      </c>
      <c r="P141" s="9">
        <v>28120</v>
      </c>
      <c r="Q141" t="s">
        <v>41</v>
      </c>
      <c r="R141" t="s">
        <v>618</v>
      </c>
      <c r="S141" t="s">
        <v>43</v>
      </c>
      <c r="T141" t="s">
        <v>44</v>
      </c>
      <c r="U141" t="s">
        <v>45</v>
      </c>
      <c r="V141" t="s">
        <v>85</v>
      </c>
      <c r="W141" s="9">
        <v>41040</v>
      </c>
      <c r="X141" s="9"/>
      <c r="Y141" t="s">
        <v>47</v>
      </c>
      <c r="Z141" t="s">
        <v>48</v>
      </c>
      <c r="AA141" t="s">
        <v>495</v>
      </c>
      <c r="AB141" t="s">
        <v>94</v>
      </c>
      <c r="AC141" t="s">
        <v>496</v>
      </c>
      <c r="AD141" t="s">
        <v>61</v>
      </c>
      <c r="AE141">
        <v>4.0999999999999996</v>
      </c>
      <c r="AF141">
        <v>3</v>
      </c>
      <c r="AG141">
        <v>0</v>
      </c>
      <c r="AH141" s="9">
        <v>43482</v>
      </c>
      <c r="AI141">
        <v>7</v>
      </c>
      <c r="AJ141">
        <v>43</v>
      </c>
      <c r="AK141">
        <v>8</v>
      </c>
      <c r="AL141">
        <v>14</v>
      </c>
      <c r="AM141" t="str">
        <f>IF(Cleaned_Data[[#This Row],[DateofTermination]]="","",YEAR(Cleaned_Data[[#This Row],[DateofTermination]]))</f>
        <v/>
      </c>
      <c r="AN141">
        <v>1</v>
      </c>
    </row>
    <row r="142" spans="1:40" x14ac:dyDescent="0.35">
      <c r="A142" t="s">
        <v>542</v>
      </c>
      <c r="B142">
        <v>10236</v>
      </c>
      <c r="C142">
        <v>0</v>
      </c>
      <c r="D142">
        <v>2</v>
      </c>
      <c r="E142">
        <v>0</v>
      </c>
      <c r="F142">
        <v>1</v>
      </c>
      <c r="G142">
        <v>5</v>
      </c>
      <c r="H142">
        <v>3</v>
      </c>
      <c r="I142">
        <v>0</v>
      </c>
      <c r="J142">
        <v>45069</v>
      </c>
      <c r="K142">
        <v>0</v>
      </c>
      <c r="L142">
        <v>19</v>
      </c>
      <c r="M142" t="s">
        <v>39</v>
      </c>
      <c r="N142" t="s">
        <v>40</v>
      </c>
      <c r="O142">
        <v>1778</v>
      </c>
      <c r="P142" s="9">
        <v>30038</v>
      </c>
      <c r="Q142" t="s">
        <v>41</v>
      </c>
      <c r="R142" t="s">
        <v>618</v>
      </c>
      <c r="S142" t="s">
        <v>70</v>
      </c>
      <c r="T142" t="s">
        <v>44</v>
      </c>
      <c r="U142" t="s">
        <v>45</v>
      </c>
      <c r="V142" t="s">
        <v>46</v>
      </c>
      <c r="W142" s="9">
        <v>41547</v>
      </c>
      <c r="X142" s="9"/>
      <c r="Y142" t="s">
        <v>47</v>
      </c>
      <c r="Z142" t="s">
        <v>48</v>
      </c>
      <c r="AA142" t="s">
        <v>495</v>
      </c>
      <c r="AB142" t="s">
        <v>66</v>
      </c>
      <c r="AC142" t="s">
        <v>625</v>
      </c>
      <c r="AD142" t="s">
        <v>61</v>
      </c>
      <c r="AE142">
        <v>4.3</v>
      </c>
      <c r="AF142">
        <v>5</v>
      </c>
      <c r="AG142">
        <v>0</v>
      </c>
      <c r="AH142" s="9">
        <v>43518</v>
      </c>
      <c r="AI142">
        <v>7</v>
      </c>
      <c r="AJ142">
        <v>38</v>
      </c>
      <c r="AK142">
        <v>6</v>
      </c>
      <c r="AL142">
        <v>20</v>
      </c>
      <c r="AM142" t="str">
        <f>IF(Cleaned_Data[[#This Row],[DateofTermination]]="","",YEAR(Cleaned_Data[[#This Row],[DateofTermination]]))</f>
        <v/>
      </c>
      <c r="AN142">
        <v>1</v>
      </c>
    </row>
    <row r="143" spans="1:40" x14ac:dyDescent="0.35">
      <c r="A143" t="s">
        <v>292</v>
      </c>
      <c r="B143">
        <v>10009</v>
      </c>
      <c r="C143">
        <v>0</v>
      </c>
      <c r="D143">
        <v>2</v>
      </c>
      <c r="E143">
        <v>0</v>
      </c>
      <c r="F143">
        <v>1</v>
      </c>
      <c r="G143">
        <v>5</v>
      </c>
      <c r="H143">
        <v>4</v>
      </c>
      <c r="I143">
        <v>0</v>
      </c>
      <c r="J143">
        <v>60724</v>
      </c>
      <c r="K143">
        <v>0</v>
      </c>
      <c r="L143">
        <v>20</v>
      </c>
      <c r="M143" t="s">
        <v>500</v>
      </c>
      <c r="N143" t="s">
        <v>40</v>
      </c>
      <c r="O143">
        <v>1821</v>
      </c>
      <c r="P143" s="9">
        <v>27689</v>
      </c>
      <c r="Q143" t="s">
        <v>41</v>
      </c>
      <c r="R143" t="s">
        <v>618</v>
      </c>
      <c r="S143" t="s">
        <v>70</v>
      </c>
      <c r="T143" t="s">
        <v>44</v>
      </c>
      <c r="U143" t="s">
        <v>45</v>
      </c>
      <c r="V143" t="s">
        <v>262</v>
      </c>
      <c r="W143" s="9">
        <v>40670</v>
      </c>
      <c r="X143" s="9"/>
      <c r="Y143" t="s">
        <v>47</v>
      </c>
      <c r="Z143" t="s">
        <v>48</v>
      </c>
      <c r="AA143" t="s">
        <v>495</v>
      </c>
      <c r="AB143" t="s">
        <v>82</v>
      </c>
      <c r="AC143" t="s">
        <v>496</v>
      </c>
      <c r="AD143" t="s">
        <v>52</v>
      </c>
      <c r="AE143">
        <v>4.5999999999999996</v>
      </c>
      <c r="AF143">
        <v>4</v>
      </c>
      <c r="AG143">
        <v>0</v>
      </c>
      <c r="AH143" s="9">
        <v>43521</v>
      </c>
      <c r="AI143">
        <v>11</v>
      </c>
      <c r="AJ143">
        <v>44</v>
      </c>
      <c r="AK143">
        <v>9</v>
      </c>
      <c r="AL143">
        <v>19</v>
      </c>
      <c r="AM143" t="str">
        <f>IF(Cleaned_Data[[#This Row],[DateofTermination]]="","",YEAR(Cleaned_Data[[#This Row],[DateofTermination]]))</f>
        <v/>
      </c>
      <c r="AN143">
        <v>1</v>
      </c>
    </row>
    <row r="144" spans="1:40" x14ac:dyDescent="0.35">
      <c r="A144" t="s">
        <v>543</v>
      </c>
      <c r="B144">
        <v>10060</v>
      </c>
      <c r="C144">
        <v>0</v>
      </c>
      <c r="D144">
        <v>3</v>
      </c>
      <c r="E144">
        <v>0</v>
      </c>
      <c r="F144">
        <v>1</v>
      </c>
      <c r="G144">
        <v>5</v>
      </c>
      <c r="H144">
        <v>3</v>
      </c>
      <c r="I144">
        <v>0</v>
      </c>
      <c r="J144">
        <v>60436</v>
      </c>
      <c r="K144">
        <v>0</v>
      </c>
      <c r="L144">
        <v>19</v>
      </c>
      <c r="M144" t="s">
        <v>39</v>
      </c>
      <c r="N144" t="s">
        <v>40</v>
      </c>
      <c r="O144">
        <v>2109</v>
      </c>
      <c r="P144" s="9">
        <v>26709</v>
      </c>
      <c r="Q144" t="s">
        <v>41</v>
      </c>
      <c r="R144" t="s">
        <v>618</v>
      </c>
      <c r="S144" t="s">
        <v>141</v>
      </c>
      <c r="T144" t="s">
        <v>44</v>
      </c>
      <c r="U144" t="s">
        <v>45</v>
      </c>
      <c r="V144" t="s">
        <v>46</v>
      </c>
      <c r="W144" s="9">
        <v>41791</v>
      </c>
      <c r="X144" s="9"/>
      <c r="Y144" t="s">
        <v>47</v>
      </c>
      <c r="Z144" t="s">
        <v>48</v>
      </c>
      <c r="AA144" t="s">
        <v>495</v>
      </c>
      <c r="AB144" t="s">
        <v>103</v>
      </c>
      <c r="AC144" t="s">
        <v>496</v>
      </c>
      <c r="AD144" t="s">
        <v>61</v>
      </c>
      <c r="AE144">
        <v>5</v>
      </c>
      <c r="AF144">
        <v>5</v>
      </c>
      <c r="AG144">
        <v>0</v>
      </c>
      <c r="AH144" s="9">
        <v>43486</v>
      </c>
      <c r="AI144">
        <v>9</v>
      </c>
      <c r="AJ144">
        <v>47</v>
      </c>
      <c r="AK144">
        <v>6</v>
      </c>
      <c r="AL144">
        <v>18</v>
      </c>
      <c r="AM144" t="str">
        <f>IF(Cleaned_Data[[#This Row],[DateofTermination]]="","",YEAR(Cleaned_Data[[#This Row],[DateofTermination]]))</f>
        <v/>
      </c>
      <c r="AN144">
        <v>1</v>
      </c>
    </row>
    <row r="145" spans="1:40" x14ac:dyDescent="0.35">
      <c r="A145" t="s">
        <v>294</v>
      </c>
      <c r="B145">
        <v>10034</v>
      </c>
      <c r="C145">
        <v>1</v>
      </c>
      <c r="D145">
        <v>1</v>
      </c>
      <c r="E145">
        <v>1</v>
      </c>
      <c r="F145">
        <v>5</v>
      </c>
      <c r="G145">
        <v>5</v>
      </c>
      <c r="H145">
        <v>4</v>
      </c>
      <c r="I145">
        <v>0</v>
      </c>
      <c r="J145">
        <v>46837</v>
      </c>
      <c r="K145">
        <v>1</v>
      </c>
      <c r="L145">
        <v>19</v>
      </c>
      <c r="M145" t="s">
        <v>39</v>
      </c>
      <c r="N145" t="s">
        <v>40</v>
      </c>
      <c r="O145">
        <v>2445</v>
      </c>
      <c r="P145" s="9">
        <v>27997</v>
      </c>
      <c r="Q145" t="s">
        <v>41</v>
      </c>
      <c r="R145" t="s">
        <v>617</v>
      </c>
      <c r="S145" t="s">
        <v>55</v>
      </c>
      <c r="T145" t="s">
        <v>44</v>
      </c>
      <c r="U145" t="s">
        <v>45</v>
      </c>
      <c r="V145" t="s">
        <v>46</v>
      </c>
      <c r="W145" s="9">
        <v>40735</v>
      </c>
      <c r="X145" s="9">
        <v>43219</v>
      </c>
      <c r="Y145" t="s">
        <v>197</v>
      </c>
      <c r="Z145" t="s">
        <v>57</v>
      </c>
      <c r="AA145" t="s">
        <v>495</v>
      </c>
      <c r="AB145" t="s">
        <v>50</v>
      </c>
      <c r="AC145" t="s">
        <v>508</v>
      </c>
      <c r="AD145" t="s">
        <v>52</v>
      </c>
      <c r="AE145">
        <v>4.7</v>
      </c>
      <c r="AF145">
        <v>4</v>
      </c>
      <c r="AG145">
        <v>0</v>
      </c>
      <c r="AH145" s="9">
        <v>43145</v>
      </c>
      <c r="AI145">
        <v>9</v>
      </c>
      <c r="AJ145">
        <v>42</v>
      </c>
      <c r="AK145">
        <v>7</v>
      </c>
      <c r="AL145">
        <v>22</v>
      </c>
      <c r="AM145">
        <f>IF(Cleaned_Data[[#This Row],[DateofTermination]]="","",YEAR(Cleaned_Data[[#This Row],[DateofTermination]]))</f>
        <v>2018</v>
      </c>
      <c r="AN145">
        <v>1</v>
      </c>
    </row>
    <row r="146" spans="1:40" x14ac:dyDescent="0.35">
      <c r="A146" t="s">
        <v>544</v>
      </c>
      <c r="B146">
        <v>10156</v>
      </c>
      <c r="C146">
        <v>1</v>
      </c>
      <c r="D146">
        <v>1</v>
      </c>
      <c r="E146">
        <v>0</v>
      </c>
      <c r="F146">
        <v>3</v>
      </c>
      <c r="G146">
        <v>3</v>
      </c>
      <c r="H146">
        <v>3</v>
      </c>
      <c r="I146">
        <v>0</v>
      </c>
      <c r="J146">
        <v>105700</v>
      </c>
      <c r="K146">
        <v>0</v>
      </c>
      <c r="L146">
        <v>8</v>
      </c>
      <c r="M146" t="s">
        <v>113</v>
      </c>
      <c r="N146" t="s">
        <v>40</v>
      </c>
      <c r="O146">
        <v>2301</v>
      </c>
      <c r="P146" s="9">
        <v>28451</v>
      </c>
      <c r="Q146" t="s">
        <v>41</v>
      </c>
      <c r="R146" t="s">
        <v>618</v>
      </c>
      <c r="S146" t="s">
        <v>55</v>
      </c>
      <c r="T146" t="s">
        <v>44</v>
      </c>
      <c r="U146" t="s">
        <v>45</v>
      </c>
      <c r="V146" t="s">
        <v>116</v>
      </c>
      <c r="W146" s="9">
        <v>42125</v>
      </c>
      <c r="X146" s="9"/>
      <c r="Y146" t="s">
        <v>47</v>
      </c>
      <c r="Z146" t="s">
        <v>48</v>
      </c>
      <c r="AA146" t="s">
        <v>499</v>
      </c>
      <c r="AB146" t="s">
        <v>59</v>
      </c>
      <c r="AC146" t="s">
        <v>60</v>
      </c>
      <c r="AD146" t="s">
        <v>61</v>
      </c>
      <c r="AE146">
        <v>3.75</v>
      </c>
      <c r="AF146">
        <v>3</v>
      </c>
      <c r="AG146">
        <v>5</v>
      </c>
      <c r="AH146" s="9">
        <v>43771</v>
      </c>
      <c r="AI146">
        <v>2</v>
      </c>
      <c r="AJ146">
        <v>42</v>
      </c>
      <c r="AK146">
        <v>5</v>
      </c>
      <c r="AL146">
        <v>4</v>
      </c>
      <c r="AM146" t="str">
        <f>IF(Cleaned_Data[[#This Row],[DateofTermination]]="","",YEAR(Cleaned_Data[[#This Row],[DateofTermination]]))</f>
        <v/>
      </c>
      <c r="AN146">
        <v>1</v>
      </c>
    </row>
    <row r="147" spans="1:40" x14ac:dyDescent="0.35">
      <c r="A147" t="s">
        <v>296</v>
      </c>
      <c r="B147">
        <v>10036</v>
      </c>
      <c r="C147">
        <v>0</v>
      </c>
      <c r="D147">
        <v>0</v>
      </c>
      <c r="E147">
        <v>0</v>
      </c>
      <c r="F147">
        <v>1</v>
      </c>
      <c r="G147">
        <v>5</v>
      </c>
      <c r="H147">
        <v>4</v>
      </c>
      <c r="I147">
        <v>0</v>
      </c>
      <c r="J147">
        <v>63322</v>
      </c>
      <c r="K147">
        <v>0</v>
      </c>
      <c r="L147">
        <v>20</v>
      </c>
      <c r="M147" t="s">
        <v>500</v>
      </c>
      <c r="N147" t="s">
        <v>40</v>
      </c>
      <c r="O147">
        <v>2128</v>
      </c>
      <c r="P147" s="9">
        <v>31918</v>
      </c>
      <c r="Q147" t="s">
        <v>41</v>
      </c>
      <c r="R147" t="s">
        <v>618</v>
      </c>
      <c r="S147" t="s">
        <v>43</v>
      </c>
      <c r="T147" t="s">
        <v>44</v>
      </c>
      <c r="U147" t="s">
        <v>45</v>
      </c>
      <c r="V147" t="s">
        <v>46</v>
      </c>
      <c r="W147" s="9">
        <v>41827</v>
      </c>
      <c r="X147" s="9"/>
      <c r="Y147" t="s">
        <v>47</v>
      </c>
      <c r="Z147" t="s">
        <v>48</v>
      </c>
      <c r="AA147" t="s">
        <v>495</v>
      </c>
      <c r="AB147" t="s">
        <v>86</v>
      </c>
      <c r="AC147" t="s">
        <v>496</v>
      </c>
      <c r="AD147" t="s">
        <v>52</v>
      </c>
      <c r="AE147">
        <v>4.3</v>
      </c>
      <c r="AF147">
        <v>3</v>
      </c>
      <c r="AG147">
        <v>0</v>
      </c>
      <c r="AH147" s="9">
        <v>43770</v>
      </c>
      <c r="AI147">
        <v>1</v>
      </c>
      <c r="AJ147">
        <v>33</v>
      </c>
      <c r="AK147">
        <v>5</v>
      </c>
      <c r="AL147">
        <v>12</v>
      </c>
      <c r="AM147" t="str">
        <f>IF(Cleaned_Data[[#This Row],[DateofTermination]]="","",YEAR(Cleaned_Data[[#This Row],[DateofTermination]]))</f>
        <v/>
      </c>
      <c r="AN147">
        <v>1</v>
      </c>
    </row>
    <row r="148" spans="1:40" x14ac:dyDescent="0.35">
      <c r="A148" t="s">
        <v>545</v>
      </c>
      <c r="B148">
        <v>10138</v>
      </c>
      <c r="C148">
        <v>1</v>
      </c>
      <c r="D148">
        <v>1</v>
      </c>
      <c r="E148">
        <v>0</v>
      </c>
      <c r="F148">
        <v>5</v>
      </c>
      <c r="G148">
        <v>5</v>
      </c>
      <c r="H148">
        <v>3</v>
      </c>
      <c r="I148">
        <v>0</v>
      </c>
      <c r="J148">
        <v>61154</v>
      </c>
      <c r="K148">
        <v>1</v>
      </c>
      <c r="L148">
        <v>19</v>
      </c>
      <c r="M148" t="s">
        <v>39</v>
      </c>
      <c r="N148" t="s">
        <v>40</v>
      </c>
      <c r="O148">
        <v>2446</v>
      </c>
      <c r="P148" s="9">
        <v>24988</v>
      </c>
      <c r="Q148" t="s">
        <v>41</v>
      </c>
      <c r="R148" t="s">
        <v>618</v>
      </c>
      <c r="S148" t="s">
        <v>55</v>
      </c>
      <c r="T148" t="s">
        <v>44</v>
      </c>
      <c r="U148" t="s">
        <v>45</v>
      </c>
      <c r="V148" t="s">
        <v>85</v>
      </c>
      <c r="W148" s="9">
        <v>40817</v>
      </c>
      <c r="X148" s="9">
        <v>42373</v>
      </c>
      <c r="Y148" t="s">
        <v>97</v>
      </c>
      <c r="Z148" t="s">
        <v>57</v>
      </c>
      <c r="AA148" t="s">
        <v>495</v>
      </c>
      <c r="AB148" t="s">
        <v>68</v>
      </c>
      <c r="AC148" t="s">
        <v>508</v>
      </c>
      <c r="AD148" t="s">
        <v>61</v>
      </c>
      <c r="AE148">
        <v>4</v>
      </c>
      <c r="AF148">
        <v>4</v>
      </c>
      <c r="AG148">
        <v>0</v>
      </c>
      <c r="AH148" s="9">
        <v>42431</v>
      </c>
      <c r="AI148">
        <v>4</v>
      </c>
      <c r="AJ148">
        <v>48</v>
      </c>
      <c r="AK148">
        <v>4</v>
      </c>
      <c r="AL148">
        <v>16</v>
      </c>
      <c r="AM148">
        <f>IF(Cleaned_Data[[#This Row],[DateofTermination]]="","",YEAR(Cleaned_Data[[#This Row],[DateofTermination]]))</f>
        <v>2016</v>
      </c>
      <c r="AN148">
        <v>1</v>
      </c>
    </row>
    <row r="149" spans="1:40" x14ac:dyDescent="0.35">
      <c r="A149" t="s">
        <v>298</v>
      </c>
      <c r="B149">
        <v>10244</v>
      </c>
      <c r="C149">
        <v>0</v>
      </c>
      <c r="D149">
        <v>0</v>
      </c>
      <c r="E149">
        <v>0</v>
      </c>
      <c r="F149">
        <v>5</v>
      </c>
      <c r="G149">
        <v>6</v>
      </c>
      <c r="H149">
        <v>3</v>
      </c>
      <c r="I149">
        <v>0</v>
      </c>
      <c r="J149">
        <v>68999</v>
      </c>
      <c r="K149">
        <v>1</v>
      </c>
      <c r="L149">
        <v>21</v>
      </c>
      <c r="M149" t="s">
        <v>185</v>
      </c>
      <c r="N149" t="s">
        <v>299</v>
      </c>
      <c r="O149">
        <v>19444</v>
      </c>
      <c r="P149" s="9">
        <v>28025</v>
      </c>
      <c r="Q149" t="s">
        <v>41</v>
      </c>
      <c r="R149" t="s">
        <v>618</v>
      </c>
      <c r="S149" t="s">
        <v>43</v>
      </c>
      <c r="T149" t="s">
        <v>44</v>
      </c>
      <c r="U149" t="s">
        <v>45</v>
      </c>
      <c r="V149" t="s">
        <v>46</v>
      </c>
      <c r="W149" s="9">
        <v>40735</v>
      </c>
      <c r="X149" s="9">
        <v>41753</v>
      </c>
      <c r="Y149" t="s">
        <v>300</v>
      </c>
      <c r="Z149" t="s">
        <v>57</v>
      </c>
      <c r="AA149" t="s">
        <v>145</v>
      </c>
      <c r="AB149" t="s">
        <v>186</v>
      </c>
      <c r="AC149" t="s">
        <v>73</v>
      </c>
      <c r="AD149" t="s">
        <v>61</v>
      </c>
      <c r="AE149">
        <v>4.5</v>
      </c>
      <c r="AF149">
        <v>5</v>
      </c>
      <c r="AG149">
        <v>0</v>
      </c>
      <c r="AH149" s="9">
        <v>41363</v>
      </c>
      <c r="AI149">
        <v>2</v>
      </c>
      <c r="AJ149">
        <v>38</v>
      </c>
      <c r="AK149">
        <v>3</v>
      </c>
      <c r="AL149">
        <v>15</v>
      </c>
      <c r="AM149">
        <f>IF(Cleaned_Data[[#This Row],[DateofTermination]]="","",YEAR(Cleaned_Data[[#This Row],[DateofTermination]]))</f>
        <v>2014</v>
      </c>
      <c r="AN149">
        <v>1</v>
      </c>
    </row>
    <row r="150" spans="1:40" x14ac:dyDescent="0.35">
      <c r="A150" t="s">
        <v>546</v>
      </c>
      <c r="B150">
        <v>10192</v>
      </c>
      <c r="C150">
        <v>0</v>
      </c>
      <c r="D150">
        <v>0</v>
      </c>
      <c r="E150">
        <v>1</v>
      </c>
      <c r="F150">
        <v>1</v>
      </c>
      <c r="G150">
        <v>5</v>
      </c>
      <c r="H150">
        <v>3</v>
      </c>
      <c r="I150">
        <v>0</v>
      </c>
      <c r="J150">
        <v>50482</v>
      </c>
      <c r="K150">
        <v>0</v>
      </c>
      <c r="L150">
        <v>19</v>
      </c>
      <c r="M150" t="s">
        <v>39</v>
      </c>
      <c r="N150" t="s">
        <v>40</v>
      </c>
      <c r="O150">
        <v>1887</v>
      </c>
      <c r="P150" s="9">
        <v>31227</v>
      </c>
      <c r="Q150" t="s">
        <v>41</v>
      </c>
      <c r="R150" t="s">
        <v>617</v>
      </c>
      <c r="S150" t="s">
        <v>43</v>
      </c>
      <c r="T150" t="s">
        <v>44</v>
      </c>
      <c r="U150" t="s">
        <v>45</v>
      </c>
      <c r="V150" t="s">
        <v>46</v>
      </c>
      <c r="W150" s="9">
        <v>41547</v>
      </c>
      <c r="X150" s="9"/>
      <c r="Y150" t="s">
        <v>47</v>
      </c>
      <c r="Z150" t="s">
        <v>48</v>
      </c>
      <c r="AA150" t="s">
        <v>495</v>
      </c>
      <c r="AB150" t="s">
        <v>50</v>
      </c>
      <c r="AC150" t="s">
        <v>60</v>
      </c>
      <c r="AD150" t="s">
        <v>61</v>
      </c>
      <c r="AE150">
        <v>3.07</v>
      </c>
      <c r="AF150">
        <v>4</v>
      </c>
      <c r="AG150">
        <v>0</v>
      </c>
      <c r="AH150" s="9">
        <v>43488</v>
      </c>
      <c r="AI150">
        <v>10</v>
      </c>
      <c r="AJ150">
        <v>35</v>
      </c>
      <c r="AK150">
        <v>6</v>
      </c>
      <c r="AL150">
        <v>22</v>
      </c>
      <c r="AM150" t="str">
        <f>IF(Cleaned_Data[[#This Row],[DateofTermination]]="","",YEAR(Cleaned_Data[[#This Row],[DateofTermination]]))</f>
        <v/>
      </c>
      <c r="AN150">
        <v>1</v>
      </c>
    </row>
    <row r="151" spans="1:40" x14ac:dyDescent="0.35">
      <c r="A151" t="s">
        <v>302</v>
      </c>
      <c r="B151">
        <v>10231</v>
      </c>
      <c r="C151">
        <v>0</v>
      </c>
      <c r="D151">
        <v>0</v>
      </c>
      <c r="E151">
        <v>1</v>
      </c>
      <c r="F151">
        <v>1</v>
      </c>
      <c r="G151">
        <v>6</v>
      </c>
      <c r="H151">
        <v>3</v>
      </c>
      <c r="I151">
        <v>0</v>
      </c>
      <c r="J151">
        <v>65310</v>
      </c>
      <c r="K151">
        <v>0</v>
      </c>
      <c r="L151">
        <v>3</v>
      </c>
      <c r="M151" t="s">
        <v>143</v>
      </c>
      <c r="N151" t="s">
        <v>303</v>
      </c>
      <c r="O151">
        <v>80820</v>
      </c>
      <c r="P151" s="9">
        <v>33833</v>
      </c>
      <c r="Q151" t="s">
        <v>41</v>
      </c>
      <c r="R151" t="s">
        <v>617</v>
      </c>
      <c r="S151" t="s">
        <v>43</v>
      </c>
      <c r="T151" t="s">
        <v>44</v>
      </c>
      <c r="U151" t="s">
        <v>45</v>
      </c>
      <c r="V151" t="s">
        <v>46</v>
      </c>
      <c r="W151" s="9">
        <v>41505</v>
      </c>
      <c r="X151" s="9"/>
      <c r="Y151" t="s">
        <v>47</v>
      </c>
      <c r="Z151" t="s">
        <v>48</v>
      </c>
      <c r="AA151" t="s">
        <v>145</v>
      </c>
      <c r="AB151" t="s">
        <v>164</v>
      </c>
      <c r="AC151" t="s">
        <v>60</v>
      </c>
      <c r="AD151" t="s">
        <v>61</v>
      </c>
      <c r="AE151">
        <v>4.3</v>
      </c>
      <c r="AF151">
        <v>5</v>
      </c>
      <c r="AG151">
        <v>0</v>
      </c>
      <c r="AH151" s="9">
        <v>43487</v>
      </c>
      <c r="AI151">
        <v>13</v>
      </c>
      <c r="AJ151">
        <v>27</v>
      </c>
      <c r="AK151">
        <v>6</v>
      </c>
      <c r="AL151">
        <v>21</v>
      </c>
      <c r="AM151" t="str">
        <f>IF(Cleaned_Data[[#This Row],[DateofTermination]]="","",YEAR(Cleaned_Data[[#This Row],[DateofTermination]]))</f>
        <v/>
      </c>
      <c r="AN151">
        <v>1</v>
      </c>
    </row>
    <row r="152" spans="1:40" x14ac:dyDescent="0.35">
      <c r="A152" t="s">
        <v>304</v>
      </c>
      <c r="B152">
        <v>10089</v>
      </c>
      <c r="C152">
        <v>1</v>
      </c>
      <c r="D152">
        <v>1</v>
      </c>
      <c r="E152">
        <v>0</v>
      </c>
      <c r="F152">
        <v>1</v>
      </c>
      <c r="G152">
        <v>2</v>
      </c>
      <c r="H152">
        <v>3</v>
      </c>
      <c r="I152">
        <v>0</v>
      </c>
      <c r="J152">
        <v>250000</v>
      </c>
      <c r="K152">
        <v>0</v>
      </c>
      <c r="L152">
        <v>16</v>
      </c>
      <c r="M152" t="s">
        <v>547</v>
      </c>
      <c r="N152" t="s">
        <v>40</v>
      </c>
      <c r="O152">
        <v>1902</v>
      </c>
      <c r="P152" s="9">
        <v>25682</v>
      </c>
      <c r="Q152" t="s">
        <v>41</v>
      </c>
      <c r="R152" t="s">
        <v>618</v>
      </c>
      <c r="S152" t="s">
        <v>55</v>
      </c>
      <c r="T152" t="s">
        <v>44</v>
      </c>
      <c r="U152" t="s">
        <v>92</v>
      </c>
      <c r="V152" t="s">
        <v>46</v>
      </c>
      <c r="W152" s="9">
        <v>40946</v>
      </c>
      <c r="X152" s="9"/>
      <c r="Y152" t="s">
        <v>47</v>
      </c>
      <c r="Z152" t="s">
        <v>48</v>
      </c>
      <c r="AA152" t="s">
        <v>306</v>
      </c>
      <c r="AB152" t="s">
        <v>493</v>
      </c>
      <c r="AC152" t="s">
        <v>60</v>
      </c>
      <c r="AD152" t="s">
        <v>61</v>
      </c>
      <c r="AE152">
        <v>4.83</v>
      </c>
      <c r="AF152">
        <v>3</v>
      </c>
      <c r="AG152">
        <v>0</v>
      </c>
      <c r="AH152" s="9">
        <v>43482</v>
      </c>
      <c r="AI152">
        <v>10</v>
      </c>
      <c r="AJ152">
        <v>50</v>
      </c>
      <c r="AK152">
        <v>8</v>
      </c>
      <c r="AL152">
        <v>9</v>
      </c>
      <c r="AM152" t="str">
        <f>IF(Cleaned_Data[[#This Row],[DateofTermination]]="","",YEAR(Cleaned_Data[[#This Row],[DateofTermination]]))</f>
        <v/>
      </c>
      <c r="AN152">
        <v>1</v>
      </c>
    </row>
    <row r="153" spans="1:40" x14ac:dyDescent="0.35">
      <c r="A153" t="s">
        <v>548</v>
      </c>
      <c r="B153">
        <v>10166</v>
      </c>
      <c r="C153">
        <v>1</v>
      </c>
      <c r="D153">
        <v>1</v>
      </c>
      <c r="E153">
        <v>0</v>
      </c>
      <c r="F153">
        <v>5</v>
      </c>
      <c r="G153">
        <v>5</v>
      </c>
      <c r="H153">
        <v>3</v>
      </c>
      <c r="I153">
        <v>0</v>
      </c>
      <c r="J153">
        <v>54005</v>
      </c>
      <c r="K153">
        <v>1</v>
      </c>
      <c r="L153">
        <v>19</v>
      </c>
      <c r="M153" t="s">
        <v>39</v>
      </c>
      <c r="N153" t="s">
        <v>40</v>
      </c>
      <c r="O153">
        <v>2170</v>
      </c>
      <c r="P153" s="9">
        <v>29329</v>
      </c>
      <c r="Q153" t="s">
        <v>41</v>
      </c>
      <c r="R153" t="s">
        <v>618</v>
      </c>
      <c r="S153" t="s">
        <v>55</v>
      </c>
      <c r="T153" t="s">
        <v>44</v>
      </c>
      <c r="U153" t="s">
        <v>45</v>
      </c>
      <c r="V153" t="s">
        <v>46</v>
      </c>
      <c r="W153" s="9">
        <v>40812</v>
      </c>
      <c r="X153" s="9">
        <v>42100</v>
      </c>
      <c r="Y153" t="s">
        <v>197</v>
      </c>
      <c r="Z153" t="s">
        <v>57</v>
      </c>
      <c r="AA153" t="s">
        <v>495</v>
      </c>
      <c r="AB153" t="s">
        <v>72</v>
      </c>
      <c r="AC153" t="s">
        <v>73</v>
      </c>
      <c r="AD153" t="s">
        <v>61</v>
      </c>
      <c r="AE153">
        <v>3.6</v>
      </c>
      <c r="AF153">
        <v>5</v>
      </c>
      <c r="AG153">
        <v>0</v>
      </c>
      <c r="AH153" s="9">
        <v>42007</v>
      </c>
      <c r="AI153">
        <v>16</v>
      </c>
      <c r="AJ153">
        <v>35</v>
      </c>
      <c r="AK153">
        <v>4</v>
      </c>
      <c r="AL153">
        <v>39</v>
      </c>
      <c r="AM153">
        <f>IF(Cleaned_Data[[#This Row],[DateofTermination]]="","",YEAR(Cleaned_Data[[#This Row],[DateofTermination]]))</f>
        <v>2015</v>
      </c>
      <c r="AN153">
        <v>1</v>
      </c>
    </row>
    <row r="154" spans="1:40" x14ac:dyDescent="0.35">
      <c r="A154" t="s">
        <v>549</v>
      </c>
      <c r="B154">
        <v>10170</v>
      </c>
      <c r="C154">
        <v>1</v>
      </c>
      <c r="D154">
        <v>1</v>
      </c>
      <c r="E154">
        <v>0</v>
      </c>
      <c r="F154">
        <v>5</v>
      </c>
      <c r="G154">
        <v>5</v>
      </c>
      <c r="H154">
        <v>3</v>
      </c>
      <c r="I154">
        <v>0</v>
      </c>
      <c r="J154">
        <v>45433</v>
      </c>
      <c r="K154">
        <v>1</v>
      </c>
      <c r="L154">
        <v>19</v>
      </c>
      <c r="M154" t="s">
        <v>39</v>
      </c>
      <c r="N154" t="s">
        <v>40</v>
      </c>
      <c r="O154">
        <v>2127</v>
      </c>
      <c r="P154" s="9">
        <v>25683</v>
      </c>
      <c r="Q154" t="s">
        <v>41</v>
      </c>
      <c r="R154" t="s">
        <v>618</v>
      </c>
      <c r="S154" t="s">
        <v>55</v>
      </c>
      <c r="T154" t="s">
        <v>44</v>
      </c>
      <c r="U154" t="s">
        <v>45</v>
      </c>
      <c r="V154" t="s">
        <v>46</v>
      </c>
      <c r="W154" s="9">
        <v>40812</v>
      </c>
      <c r="X154" s="9">
        <v>41883</v>
      </c>
      <c r="Y154" t="s">
        <v>197</v>
      </c>
      <c r="Z154" t="s">
        <v>57</v>
      </c>
      <c r="AA154" t="s">
        <v>495</v>
      </c>
      <c r="AB154" t="s">
        <v>75</v>
      </c>
      <c r="AC154" t="s">
        <v>73</v>
      </c>
      <c r="AD154" t="s">
        <v>61</v>
      </c>
      <c r="AE154">
        <v>3.49</v>
      </c>
      <c r="AF154">
        <v>4</v>
      </c>
      <c r="AG154">
        <v>0</v>
      </c>
      <c r="AH154" s="9">
        <v>41304</v>
      </c>
      <c r="AI154">
        <v>6</v>
      </c>
      <c r="AJ154">
        <v>44</v>
      </c>
      <c r="AK154">
        <v>3</v>
      </c>
      <c r="AL154">
        <v>11</v>
      </c>
      <c r="AM154">
        <f>IF(Cleaned_Data[[#This Row],[DateofTermination]]="","",YEAR(Cleaned_Data[[#This Row],[DateofTermination]]))</f>
        <v>2014</v>
      </c>
      <c r="AN154">
        <v>1</v>
      </c>
    </row>
    <row r="155" spans="1:40" x14ac:dyDescent="0.35">
      <c r="A155" t="s">
        <v>309</v>
      </c>
      <c r="B155">
        <v>10208</v>
      </c>
      <c r="C155">
        <v>0</v>
      </c>
      <c r="D155">
        <v>0</v>
      </c>
      <c r="E155">
        <v>1</v>
      </c>
      <c r="F155">
        <v>1</v>
      </c>
      <c r="G155">
        <v>5</v>
      </c>
      <c r="H155">
        <v>3</v>
      </c>
      <c r="I155">
        <v>0</v>
      </c>
      <c r="J155">
        <v>46654</v>
      </c>
      <c r="K155">
        <v>0</v>
      </c>
      <c r="L155">
        <v>19</v>
      </c>
      <c r="M155" t="s">
        <v>39</v>
      </c>
      <c r="N155" t="s">
        <v>40</v>
      </c>
      <c r="O155">
        <v>1721</v>
      </c>
      <c r="P155" s="9">
        <v>30403</v>
      </c>
      <c r="Q155" t="s">
        <v>41</v>
      </c>
      <c r="R155" t="s">
        <v>617</v>
      </c>
      <c r="S155" t="s">
        <v>43</v>
      </c>
      <c r="T155" t="s">
        <v>44</v>
      </c>
      <c r="U155" t="s">
        <v>45</v>
      </c>
      <c r="V155" t="s">
        <v>85</v>
      </c>
      <c r="W155" s="9">
        <v>41687</v>
      </c>
      <c r="X155" s="9"/>
      <c r="Y155" t="s">
        <v>47</v>
      </c>
      <c r="Z155" t="s">
        <v>48</v>
      </c>
      <c r="AA155" t="s">
        <v>495</v>
      </c>
      <c r="AB155" t="s">
        <v>82</v>
      </c>
      <c r="AC155" t="s">
        <v>496</v>
      </c>
      <c r="AD155" t="s">
        <v>61</v>
      </c>
      <c r="AE155">
        <v>3.1</v>
      </c>
      <c r="AF155">
        <v>3</v>
      </c>
      <c r="AG155">
        <v>0</v>
      </c>
      <c r="AH155" s="9">
        <v>43618</v>
      </c>
      <c r="AI155">
        <v>3</v>
      </c>
      <c r="AJ155">
        <v>37</v>
      </c>
      <c r="AK155">
        <v>6</v>
      </c>
      <c r="AL155">
        <v>19</v>
      </c>
      <c r="AM155" t="str">
        <f>IF(Cleaned_Data[[#This Row],[DateofTermination]]="","",YEAR(Cleaned_Data[[#This Row],[DateofTermination]]))</f>
        <v/>
      </c>
      <c r="AN155">
        <v>1</v>
      </c>
    </row>
    <row r="156" spans="1:40" x14ac:dyDescent="0.35">
      <c r="A156" t="s">
        <v>310</v>
      </c>
      <c r="B156">
        <v>10176</v>
      </c>
      <c r="C156">
        <v>1</v>
      </c>
      <c r="D156">
        <v>1</v>
      </c>
      <c r="E156">
        <v>1</v>
      </c>
      <c r="F156">
        <v>1</v>
      </c>
      <c r="G156">
        <v>5</v>
      </c>
      <c r="H156">
        <v>3</v>
      </c>
      <c r="I156">
        <v>0</v>
      </c>
      <c r="J156">
        <v>63973</v>
      </c>
      <c r="K156">
        <v>0</v>
      </c>
      <c r="L156">
        <v>19</v>
      </c>
      <c r="M156" t="s">
        <v>39</v>
      </c>
      <c r="N156" t="s">
        <v>40</v>
      </c>
      <c r="O156">
        <v>1801</v>
      </c>
      <c r="P156" s="9">
        <v>32598</v>
      </c>
      <c r="Q156" t="s">
        <v>41</v>
      </c>
      <c r="R156" t="s">
        <v>617</v>
      </c>
      <c r="S156" t="s">
        <v>55</v>
      </c>
      <c r="T156" t="s">
        <v>44</v>
      </c>
      <c r="U156" t="s">
        <v>45</v>
      </c>
      <c r="V156" t="s">
        <v>116</v>
      </c>
      <c r="W156" s="9">
        <v>40817</v>
      </c>
      <c r="X156" s="9"/>
      <c r="Y156" t="s">
        <v>47</v>
      </c>
      <c r="Z156" t="s">
        <v>48</v>
      </c>
      <c r="AA156" t="s">
        <v>495</v>
      </c>
      <c r="AB156" t="s">
        <v>86</v>
      </c>
      <c r="AC156" t="s">
        <v>60</v>
      </c>
      <c r="AD156" t="s">
        <v>61</v>
      </c>
      <c r="AE156">
        <v>3.38</v>
      </c>
      <c r="AF156">
        <v>3</v>
      </c>
      <c r="AG156">
        <v>0</v>
      </c>
      <c r="AH156" s="9">
        <v>43486</v>
      </c>
      <c r="AI156">
        <v>17</v>
      </c>
      <c r="AJ156">
        <v>31</v>
      </c>
      <c r="AK156">
        <v>8</v>
      </c>
      <c r="AL156">
        <v>12</v>
      </c>
      <c r="AM156" t="str">
        <f>IF(Cleaned_Data[[#This Row],[DateofTermination]]="","",YEAR(Cleaned_Data[[#This Row],[DateofTermination]]))</f>
        <v/>
      </c>
      <c r="AN156">
        <v>1</v>
      </c>
    </row>
    <row r="157" spans="1:40" x14ac:dyDescent="0.35">
      <c r="A157" t="s">
        <v>311</v>
      </c>
      <c r="B157">
        <v>10165</v>
      </c>
      <c r="C157">
        <v>0</v>
      </c>
      <c r="D157">
        <v>0</v>
      </c>
      <c r="E157">
        <v>1</v>
      </c>
      <c r="F157">
        <v>1</v>
      </c>
      <c r="G157">
        <v>6</v>
      </c>
      <c r="H157">
        <v>3</v>
      </c>
      <c r="I157">
        <v>1</v>
      </c>
      <c r="J157">
        <v>71339</v>
      </c>
      <c r="K157">
        <v>0</v>
      </c>
      <c r="L157">
        <v>3</v>
      </c>
      <c r="M157" t="s">
        <v>143</v>
      </c>
      <c r="N157" t="s">
        <v>312</v>
      </c>
      <c r="O157">
        <v>10171</v>
      </c>
      <c r="P157" s="9">
        <v>31374</v>
      </c>
      <c r="Q157" t="s">
        <v>41</v>
      </c>
      <c r="R157" t="s">
        <v>617</v>
      </c>
      <c r="S157" t="s">
        <v>43</v>
      </c>
      <c r="T157" t="s">
        <v>44</v>
      </c>
      <c r="U157" t="s">
        <v>92</v>
      </c>
      <c r="V157" t="s">
        <v>85</v>
      </c>
      <c r="W157" s="9">
        <v>40727</v>
      </c>
      <c r="X157" s="9"/>
      <c r="Y157" t="s">
        <v>47</v>
      </c>
      <c r="Z157" t="s">
        <v>48</v>
      </c>
      <c r="AA157" t="s">
        <v>145</v>
      </c>
      <c r="AB157" t="s">
        <v>146</v>
      </c>
      <c r="AC157" t="s">
        <v>624</v>
      </c>
      <c r="AD157" t="s">
        <v>61</v>
      </c>
      <c r="AE157">
        <v>3.65</v>
      </c>
      <c r="AF157">
        <v>5</v>
      </c>
      <c r="AG157">
        <v>0</v>
      </c>
      <c r="AH157" s="9">
        <v>43482</v>
      </c>
      <c r="AI157">
        <v>20</v>
      </c>
      <c r="AJ157">
        <v>34</v>
      </c>
      <c r="AK157">
        <v>8</v>
      </c>
      <c r="AL157">
        <v>17</v>
      </c>
      <c r="AM157" t="str">
        <f>IF(Cleaned_Data[[#This Row],[DateofTermination]]="","",YEAR(Cleaned_Data[[#This Row],[DateofTermination]]))</f>
        <v/>
      </c>
      <c r="AN157">
        <v>1</v>
      </c>
    </row>
    <row r="158" spans="1:40" x14ac:dyDescent="0.35">
      <c r="A158" t="s">
        <v>313</v>
      </c>
      <c r="B158">
        <v>10113</v>
      </c>
      <c r="C158">
        <v>1</v>
      </c>
      <c r="D158">
        <v>1</v>
      </c>
      <c r="E158">
        <v>1</v>
      </c>
      <c r="F158">
        <v>3</v>
      </c>
      <c r="G158">
        <v>3</v>
      </c>
      <c r="H158">
        <v>3</v>
      </c>
      <c r="I158">
        <v>0</v>
      </c>
      <c r="J158">
        <v>93206</v>
      </c>
      <c r="K158">
        <v>0</v>
      </c>
      <c r="L158">
        <v>28</v>
      </c>
      <c r="M158" t="s">
        <v>183</v>
      </c>
      <c r="N158" t="s">
        <v>40</v>
      </c>
      <c r="O158">
        <v>2169</v>
      </c>
      <c r="P158" s="9">
        <v>29494</v>
      </c>
      <c r="Q158" t="s">
        <v>41</v>
      </c>
      <c r="R158" t="s">
        <v>617</v>
      </c>
      <c r="S158" t="s">
        <v>55</v>
      </c>
      <c r="T158" t="s">
        <v>44</v>
      </c>
      <c r="U158" t="s">
        <v>45</v>
      </c>
      <c r="V158" t="s">
        <v>46</v>
      </c>
      <c r="W158" s="9">
        <v>41923</v>
      </c>
      <c r="X158" s="9"/>
      <c r="Y158" t="s">
        <v>47</v>
      </c>
      <c r="Z158" t="s">
        <v>48</v>
      </c>
      <c r="AA158" t="s">
        <v>499</v>
      </c>
      <c r="AB158" t="s">
        <v>90</v>
      </c>
      <c r="AC158" t="s">
        <v>625</v>
      </c>
      <c r="AD158" t="s">
        <v>61</v>
      </c>
      <c r="AE158">
        <v>4.46</v>
      </c>
      <c r="AF158">
        <v>5</v>
      </c>
      <c r="AG158">
        <v>6</v>
      </c>
      <c r="AH158" s="9">
        <v>43647</v>
      </c>
      <c r="AI158">
        <v>7</v>
      </c>
      <c r="AJ158">
        <v>39</v>
      </c>
      <c r="AK158">
        <v>5</v>
      </c>
      <c r="AL158">
        <v>7</v>
      </c>
      <c r="AM158" t="str">
        <f>IF(Cleaned_Data[[#This Row],[DateofTermination]]="","",YEAR(Cleaned_Data[[#This Row],[DateofTermination]]))</f>
        <v/>
      </c>
      <c r="AN158">
        <v>1</v>
      </c>
    </row>
    <row r="159" spans="1:40" x14ac:dyDescent="0.35">
      <c r="A159" t="s">
        <v>314</v>
      </c>
      <c r="B159">
        <v>10092</v>
      </c>
      <c r="C159">
        <v>1</v>
      </c>
      <c r="D159">
        <v>1</v>
      </c>
      <c r="E159">
        <v>1</v>
      </c>
      <c r="F159">
        <v>4</v>
      </c>
      <c r="G159">
        <v>5</v>
      </c>
      <c r="H159">
        <v>3</v>
      </c>
      <c r="I159">
        <v>0</v>
      </c>
      <c r="J159">
        <v>82758</v>
      </c>
      <c r="K159">
        <v>1</v>
      </c>
      <c r="L159">
        <v>18</v>
      </c>
      <c r="M159" t="s">
        <v>133</v>
      </c>
      <c r="N159" t="s">
        <v>40</v>
      </c>
      <c r="O159">
        <v>1890</v>
      </c>
      <c r="P159" s="9">
        <v>29183</v>
      </c>
      <c r="Q159" t="s">
        <v>41</v>
      </c>
      <c r="R159" t="s">
        <v>617</v>
      </c>
      <c r="S159" t="s">
        <v>55</v>
      </c>
      <c r="T159" t="s">
        <v>44</v>
      </c>
      <c r="U159" t="s">
        <v>45</v>
      </c>
      <c r="V159" t="s">
        <v>46</v>
      </c>
      <c r="W159" s="9">
        <v>40817</v>
      </c>
      <c r="X159" s="9">
        <v>42350</v>
      </c>
      <c r="Y159" t="s">
        <v>107</v>
      </c>
      <c r="Z159" t="s">
        <v>108</v>
      </c>
      <c r="AA159" t="s">
        <v>495</v>
      </c>
      <c r="AB159" t="s">
        <v>135</v>
      </c>
      <c r="AC159" t="s">
        <v>625</v>
      </c>
      <c r="AD159" t="s">
        <v>61</v>
      </c>
      <c r="AE159">
        <v>4.78</v>
      </c>
      <c r="AF159">
        <v>4</v>
      </c>
      <c r="AG159">
        <v>0</v>
      </c>
      <c r="AH159" s="9">
        <v>42050</v>
      </c>
      <c r="AI159">
        <v>9</v>
      </c>
      <c r="AJ159">
        <v>36</v>
      </c>
      <c r="AK159">
        <v>4</v>
      </c>
      <c r="AL159">
        <v>2</v>
      </c>
      <c r="AM159">
        <f>IF(Cleaned_Data[[#This Row],[DateofTermination]]="","",YEAR(Cleaned_Data[[#This Row],[DateofTermination]]))</f>
        <v>2015</v>
      </c>
      <c r="AN159">
        <v>1</v>
      </c>
    </row>
    <row r="160" spans="1:40" x14ac:dyDescent="0.35">
      <c r="A160" t="s">
        <v>315</v>
      </c>
      <c r="B160">
        <v>10106</v>
      </c>
      <c r="C160">
        <v>0</v>
      </c>
      <c r="D160">
        <v>2</v>
      </c>
      <c r="E160">
        <v>0</v>
      </c>
      <c r="F160">
        <v>5</v>
      </c>
      <c r="G160">
        <v>5</v>
      </c>
      <c r="H160">
        <v>3</v>
      </c>
      <c r="I160">
        <v>0</v>
      </c>
      <c r="J160">
        <v>66074</v>
      </c>
      <c r="K160">
        <v>1</v>
      </c>
      <c r="L160">
        <v>20</v>
      </c>
      <c r="M160" t="s">
        <v>500</v>
      </c>
      <c r="N160" t="s">
        <v>40</v>
      </c>
      <c r="O160">
        <v>2090</v>
      </c>
      <c r="P160" s="9">
        <v>30090</v>
      </c>
      <c r="Q160" t="s">
        <v>41</v>
      </c>
      <c r="R160" t="s">
        <v>618</v>
      </c>
      <c r="S160" t="s">
        <v>70</v>
      </c>
      <c r="T160" t="s">
        <v>44</v>
      </c>
      <c r="U160" t="s">
        <v>45</v>
      </c>
      <c r="V160" t="s">
        <v>116</v>
      </c>
      <c r="W160" s="9">
        <v>41456</v>
      </c>
      <c r="X160" s="9">
        <v>41729</v>
      </c>
      <c r="Y160" t="s">
        <v>93</v>
      </c>
      <c r="Z160" t="s">
        <v>57</v>
      </c>
      <c r="AA160" t="s">
        <v>495</v>
      </c>
      <c r="AB160" t="s">
        <v>94</v>
      </c>
      <c r="AC160" t="s">
        <v>60</v>
      </c>
      <c r="AD160" t="s">
        <v>61</v>
      </c>
      <c r="AE160">
        <v>4.5199999999999996</v>
      </c>
      <c r="AF160">
        <v>3</v>
      </c>
      <c r="AG160">
        <v>0</v>
      </c>
      <c r="AH160" s="9">
        <v>41690</v>
      </c>
      <c r="AI160">
        <v>20</v>
      </c>
      <c r="AJ160">
        <v>32</v>
      </c>
      <c r="AK160">
        <v>1</v>
      </c>
      <c r="AL160">
        <v>14</v>
      </c>
      <c r="AM160">
        <f>IF(Cleaned_Data[[#This Row],[DateofTermination]]="","",YEAR(Cleaned_Data[[#This Row],[DateofTermination]]))</f>
        <v>2014</v>
      </c>
      <c r="AN160">
        <v>1</v>
      </c>
    </row>
    <row r="161" spans="1:40" x14ac:dyDescent="0.35">
      <c r="A161" t="s">
        <v>316</v>
      </c>
      <c r="B161">
        <v>10052</v>
      </c>
      <c r="C161">
        <v>1</v>
      </c>
      <c r="D161">
        <v>1</v>
      </c>
      <c r="E161">
        <v>1</v>
      </c>
      <c r="F161">
        <v>1</v>
      </c>
      <c r="G161">
        <v>5</v>
      </c>
      <c r="H161">
        <v>3</v>
      </c>
      <c r="I161">
        <v>0</v>
      </c>
      <c r="J161">
        <v>46120</v>
      </c>
      <c r="K161">
        <v>0</v>
      </c>
      <c r="L161">
        <v>19</v>
      </c>
      <c r="M161" t="s">
        <v>39</v>
      </c>
      <c r="N161" t="s">
        <v>40</v>
      </c>
      <c r="O161">
        <v>2048</v>
      </c>
      <c r="P161" s="9">
        <v>28906</v>
      </c>
      <c r="Q161" t="s">
        <v>41</v>
      </c>
      <c r="R161" t="s">
        <v>617</v>
      </c>
      <c r="S161" t="s">
        <v>55</v>
      </c>
      <c r="T161" t="s">
        <v>44</v>
      </c>
      <c r="U161" t="s">
        <v>45</v>
      </c>
      <c r="V161" t="s">
        <v>46</v>
      </c>
      <c r="W161" s="9">
        <v>41159</v>
      </c>
      <c r="X161" s="9"/>
      <c r="Y161" t="s">
        <v>47</v>
      </c>
      <c r="Z161" t="s">
        <v>48</v>
      </c>
      <c r="AA161" t="s">
        <v>495</v>
      </c>
      <c r="AB161" t="s">
        <v>94</v>
      </c>
      <c r="AC161" t="s">
        <v>496</v>
      </c>
      <c r="AD161" t="s">
        <v>61</v>
      </c>
      <c r="AE161">
        <v>5</v>
      </c>
      <c r="AF161">
        <v>5</v>
      </c>
      <c r="AG161">
        <v>0</v>
      </c>
      <c r="AH161" s="9">
        <v>43557</v>
      </c>
      <c r="AI161">
        <v>13</v>
      </c>
      <c r="AJ161">
        <v>41</v>
      </c>
      <c r="AK161">
        <v>7</v>
      </c>
      <c r="AL161">
        <v>14</v>
      </c>
      <c r="AM161" t="str">
        <f>IF(Cleaned_Data[[#This Row],[DateofTermination]]="","",YEAR(Cleaned_Data[[#This Row],[DateofTermination]]))</f>
        <v/>
      </c>
      <c r="AN161">
        <v>1</v>
      </c>
    </row>
    <row r="162" spans="1:40" x14ac:dyDescent="0.35">
      <c r="A162" t="s">
        <v>550</v>
      </c>
      <c r="B162">
        <v>10038</v>
      </c>
      <c r="C162">
        <v>0</v>
      </c>
      <c r="D162">
        <v>2</v>
      </c>
      <c r="E162">
        <v>1</v>
      </c>
      <c r="F162">
        <v>1</v>
      </c>
      <c r="G162">
        <v>1</v>
      </c>
      <c r="H162">
        <v>3</v>
      </c>
      <c r="I162">
        <v>0</v>
      </c>
      <c r="J162">
        <v>64520</v>
      </c>
      <c r="K162">
        <v>0</v>
      </c>
      <c r="L162">
        <v>1</v>
      </c>
      <c r="M162" t="s">
        <v>138</v>
      </c>
      <c r="N162" t="s">
        <v>40</v>
      </c>
      <c r="O162">
        <v>1460</v>
      </c>
      <c r="P162" s="9">
        <v>32219</v>
      </c>
      <c r="Q162" t="s">
        <v>41</v>
      </c>
      <c r="R162" t="s">
        <v>617</v>
      </c>
      <c r="S162" t="s">
        <v>70</v>
      </c>
      <c r="T162" t="s">
        <v>44</v>
      </c>
      <c r="U162" t="s">
        <v>45</v>
      </c>
      <c r="V162" t="s">
        <v>85</v>
      </c>
      <c r="W162" s="9">
        <v>41791</v>
      </c>
      <c r="X162" s="9"/>
      <c r="Y162" t="s">
        <v>47</v>
      </c>
      <c r="Z162" t="s">
        <v>48</v>
      </c>
      <c r="AA162" t="s">
        <v>130</v>
      </c>
      <c r="AB162" t="s">
        <v>492</v>
      </c>
      <c r="AC162" t="s">
        <v>205</v>
      </c>
      <c r="AD162" t="s">
        <v>61</v>
      </c>
      <c r="AE162">
        <v>5</v>
      </c>
      <c r="AF162">
        <v>4</v>
      </c>
      <c r="AG162">
        <v>4</v>
      </c>
      <c r="AH162" s="9">
        <v>43482</v>
      </c>
      <c r="AI162">
        <v>3</v>
      </c>
      <c r="AJ162">
        <v>32</v>
      </c>
      <c r="AK162">
        <v>6</v>
      </c>
      <c r="AL162">
        <v>1</v>
      </c>
      <c r="AM162" t="str">
        <f>IF(Cleaned_Data[[#This Row],[DateofTermination]]="","",YEAR(Cleaned_Data[[#This Row],[DateofTermination]]))</f>
        <v/>
      </c>
      <c r="AN162">
        <v>1</v>
      </c>
    </row>
    <row r="163" spans="1:40" x14ac:dyDescent="0.35">
      <c r="A163" t="s">
        <v>318</v>
      </c>
      <c r="B163">
        <v>10249</v>
      </c>
      <c r="C163">
        <v>1</v>
      </c>
      <c r="D163">
        <v>1</v>
      </c>
      <c r="E163">
        <v>1</v>
      </c>
      <c r="F163">
        <v>5</v>
      </c>
      <c r="G163">
        <v>5</v>
      </c>
      <c r="H163">
        <v>3</v>
      </c>
      <c r="I163">
        <v>0</v>
      </c>
      <c r="J163">
        <v>61962</v>
      </c>
      <c r="K163">
        <v>1</v>
      </c>
      <c r="L163">
        <v>20</v>
      </c>
      <c r="M163" t="s">
        <v>500</v>
      </c>
      <c r="N163" t="s">
        <v>40</v>
      </c>
      <c r="O163">
        <v>2126</v>
      </c>
      <c r="P163" s="9">
        <v>32707</v>
      </c>
      <c r="Q163" t="s">
        <v>41</v>
      </c>
      <c r="R163" t="s">
        <v>617</v>
      </c>
      <c r="S163" t="s">
        <v>55</v>
      </c>
      <c r="T163" t="s">
        <v>44</v>
      </c>
      <c r="U163" t="s">
        <v>45</v>
      </c>
      <c r="V163" t="s">
        <v>46</v>
      </c>
      <c r="W163" s="9">
        <v>40943</v>
      </c>
      <c r="X163" s="9">
        <v>41379</v>
      </c>
      <c r="Y163" t="s">
        <v>197</v>
      </c>
      <c r="Z163" t="s">
        <v>57</v>
      </c>
      <c r="AA163" t="s">
        <v>495</v>
      </c>
      <c r="AB163" t="s">
        <v>66</v>
      </c>
      <c r="AC163" t="s">
        <v>73</v>
      </c>
      <c r="AD163" t="s">
        <v>61</v>
      </c>
      <c r="AE163">
        <v>4.9000000000000004</v>
      </c>
      <c r="AF163">
        <v>3</v>
      </c>
      <c r="AG163">
        <v>0</v>
      </c>
      <c r="AH163" s="9">
        <v>41325</v>
      </c>
      <c r="AI163">
        <v>20</v>
      </c>
      <c r="AJ163">
        <v>24</v>
      </c>
      <c r="AK163">
        <v>1</v>
      </c>
      <c r="AL163">
        <v>20</v>
      </c>
      <c r="AM163">
        <f>IF(Cleaned_Data[[#This Row],[DateofTermination]]="","",YEAR(Cleaned_Data[[#This Row],[DateofTermination]]))</f>
        <v>2013</v>
      </c>
      <c r="AN163">
        <v>1</v>
      </c>
    </row>
    <row r="164" spans="1:40" x14ac:dyDescent="0.35">
      <c r="A164" t="s">
        <v>319</v>
      </c>
      <c r="B164">
        <v>10232</v>
      </c>
      <c r="C164">
        <v>0</v>
      </c>
      <c r="D164">
        <v>0</v>
      </c>
      <c r="E164">
        <v>0</v>
      </c>
      <c r="F164">
        <v>1</v>
      </c>
      <c r="G164">
        <v>3</v>
      </c>
      <c r="H164">
        <v>3</v>
      </c>
      <c r="I164">
        <v>0</v>
      </c>
      <c r="J164">
        <v>81584</v>
      </c>
      <c r="K164">
        <v>0</v>
      </c>
      <c r="L164">
        <v>22</v>
      </c>
      <c r="M164" t="s">
        <v>551</v>
      </c>
      <c r="N164" t="s">
        <v>40</v>
      </c>
      <c r="O164">
        <v>1886</v>
      </c>
      <c r="P164" s="9">
        <v>31613</v>
      </c>
      <c r="Q164" t="s">
        <v>41</v>
      </c>
      <c r="R164" t="s">
        <v>618</v>
      </c>
      <c r="S164" t="s">
        <v>43</v>
      </c>
      <c r="T164" t="s">
        <v>44</v>
      </c>
      <c r="U164" t="s">
        <v>45</v>
      </c>
      <c r="V164" t="s">
        <v>116</v>
      </c>
      <c r="W164" s="9">
        <v>42410</v>
      </c>
      <c r="X164" s="9"/>
      <c r="Y164" t="s">
        <v>47</v>
      </c>
      <c r="Z164" t="s">
        <v>48</v>
      </c>
      <c r="AA164" t="s">
        <v>499</v>
      </c>
      <c r="AB164" t="s">
        <v>201</v>
      </c>
      <c r="AC164" t="s">
        <v>60</v>
      </c>
      <c r="AD164" t="s">
        <v>61</v>
      </c>
      <c r="AE164">
        <v>4.0999999999999996</v>
      </c>
      <c r="AF164">
        <v>5</v>
      </c>
      <c r="AG164">
        <v>7</v>
      </c>
      <c r="AH164" s="9">
        <v>43678</v>
      </c>
      <c r="AI164">
        <v>2</v>
      </c>
      <c r="AJ164">
        <v>33</v>
      </c>
      <c r="AK164">
        <v>4</v>
      </c>
      <c r="AL164">
        <v>13</v>
      </c>
      <c r="AM164" t="str">
        <f>IF(Cleaned_Data[[#This Row],[DateofTermination]]="","",YEAR(Cleaned_Data[[#This Row],[DateofTermination]]))</f>
        <v/>
      </c>
      <c r="AN164">
        <v>1</v>
      </c>
    </row>
    <row r="165" spans="1:40" x14ac:dyDescent="0.35">
      <c r="A165" t="s">
        <v>321</v>
      </c>
      <c r="B165">
        <v>10087</v>
      </c>
      <c r="C165">
        <v>0</v>
      </c>
      <c r="D165">
        <v>0</v>
      </c>
      <c r="E165">
        <v>0</v>
      </c>
      <c r="F165">
        <v>5</v>
      </c>
      <c r="G165">
        <v>5</v>
      </c>
      <c r="H165">
        <v>3</v>
      </c>
      <c r="I165">
        <v>0</v>
      </c>
      <c r="J165">
        <v>63676</v>
      </c>
      <c r="K165">
        <v>1</v>
      </c>
      <c r="L165">
        <v>19</v>
      </c>
      <c r="M165" t="s">
        <v>39</v>
      </c>
      <c r="N165" t="s">
        <v>40</v>
      </c>
      <c r="O165">
        <v>1810</v>
      </c>
      <c r="P165" s="9">
        <v>31641</v>
      </c>
      <c r="Q165" t="s">
        <v>41</v>
      </c>
      <c r="R165" t="s">
        <v>618</v>
      </c>
      <c r="S165" t="s">
        <v>43</v>
      </c>
      <c r="T165" t="s">
        <v>44</v>
      </c>
      <c r="U165" t="s">
        <v>45</v>
      </c>
      <c r="V165" t="s">
        <v>116</v>
      </c>
      <c r="W165" s="9">
        <v>40812</v>
      </c>
      <c r="X165" s="9">
        <v>43331</v>
      </c>
      <c r="Y165" t="s">
        <v>71</v>
      </c>
      <c r="Z165" t="s">
        <v>57</v>
      </c>
      <c r="AA165" t="s">
        <v>495</v>
      </c>
      <c r="AB165" t="s">
        <v>66</v>
      </c>
      <c r="AC165" t="s">
        <v>508</v>
      </c>
      <c r="AD165" t="s">
        <v>61</v>
      </c>
      <c r="AE165">
        <v>4.88</v>
      </c>
      <c r="AF165">
        <v>3</v>
      </c>
      <c r="AG165">
        <v>0</v>
      </c>
      <c r="AH165" s="9">
        <v>42773</v>
      </c>
      <c r="AI165">
        <v>17</v>
      </c>
      <c r="AJ165">
        <v>32</v>
      </c>
      <c r="AK165">
        <v>7</v>
      </c>
      <c r="AL165">
        <v>20</v>
      </c>
      <c r="AM165">
        <f>IF(Cleaned_Data[[#This Row],[DateofTermination]]="","",YEAR(Cleaned_Data[[#This Row],[DateofTermination]]))</f>
        <v>2018</v>
      </c>
      <c r="AN165">
        <v>1</v>
      </c>
    </row>
    <row r="166" spans="1:40" x14ac:dyDescent="0.35">
      <c r="A166" t="s">
        <v>552</v>
      </c>
      <c r="B166">
        <v>10134</v>
      </c>
      <c r="C166">
        <v>1</v>
      </c>
      <c r="D166">
        <v>1</v>
      </c>
      <c r="E166">
        <v>1</v>
      </c>
      <c r="F166">
        <v>1</v>
      </c>
      <c r="G166">
        <v>1</v>
      </c>
      <c r="H166">
        <v>3</v>
      </c>
      <c r="I166">
        <v>0</v>
      </c>
      <c r="J166">
        <v>93046</v>
      </c>
      <c r="K166">
        <v>0</v>
      </c>
      <c r="L166">
        <v>23</v>
      </c>
      <c r="M166" t="s">
        <v>323</v>
      </c>
      <c r="N166" t="s">
        <v>40</v>
      </c>
      <c r="O166">
        <v>1460</v>
      </c>
      <c r="P166" s="9">
        <v>30941</v>
      </c>
      <c r="Q166" t="s">
        <v>41</v>
      </c>
      <c r="R166" t="s">
        <v>617</v>
      </c>
      <c r="S166" t="s">
        <v>55</v>
      </c>
      <c r="T166" t="s">
        <v>44</v>
      </c>
      <c r="U166" t="s">
        <v>45</v>
      </c>
      <c r="V166" t="s">
        <v>46</v>
      </c>
      <c r="W166" s="9">
        <v>42491</v>
      </c>
      <c r="X166" s="9"/>
      <c r="Y166" t="s">
        <v>47</v>
      </c>
      <c r="Z166" t="s">
        <v>48</v>
      </c>
      <c r="AA166" t="s">
        <v>130</v>
      </c>
      <c r="AB166" t="s">
        <v>135</v>
      </c>
      <c r="AC166" t="s">
        <v>508</v>
      </c>
      <c r="AD166" t="s">
        <v>61</v>
      </c>
      <c r="AE166">
        <v>4.0999999999999996</v>
      </c>
      <c r="AF166">
        <v>4</v>
      </c>
      <c r="AG166">
        <v>0</v>
      </c>
      <c r="AH166" s="9">
        <v>43493</v>
      </c>
      <c r="AI166">
        <v>20</v>
      </c>
      <c r="AJ166">
        <v>35</v>
      </c>
      <c r="AK166">
        <v>4</v>
      </c>
      <c r="AL166">
        <v>2</v>
      </c>
      <c r="AM166" t="str">
        <f>IF(Cleaned_Data[[#This Row],[DateofTermination]]="","",YEAR(Cleaned_Data[[#This Row],[DateofTermination]]))</f>
        <v/>
      </c>
      <c r="AN166">
        <v>1</v>
      </c>
    </row>
    <row r="167" spans="1:40" x14ac:dyDescent="0.35">
      <c r="A167" t="s">
        <v>324</v>
      </c>
      <c r="B167">
        <v>10251</v>
      </c>
      <c r="C167">
        <v>1</v>
      </c>
      <c r="D167">
        <v>1</v>
      </c>
      <c r="E167">
        <v>1</v>
      </c>
      <c r="F167">
        <v>1</v>
      </c>
      <c r="G167">
        <v>5</v>
      </c>
      <c r="H167">
        <v>3</v>
      </c>
      <c r="I167">
        <v>0</v>
      </c>
      <c r="J167">
        <v>64738</v>
      </c>
      <c r="K167">
        <v>0</v>
      </c>
      <c r="L167">
        <v>19</v>
      </c>
      <c r="M167" t="s">
        <v>39</v>
      </c>
      <c r="N167" t="s">
        <v>40</v>
      </c>
      <c r="O167">
        <v>1776</v>
      </c>
      <c r="P167" s="9">
        <v>29913</v>
      </c>
      <c r="Q167" t="s">
        <v>41</v>
      </c>
      <c r="R167" t="s">
        <v>617</v>
      </c>
      <c r="S167" t="s">
        <v>55</v>
      </c>
      <c r="T167" t="s">
        <v>44</v>
      </c>
      <c r="U167" t="s">
        <v>45</v>
      </c>
      <c r="V167" t="s">
        <v>116</v>
      </c>
      <c r="W167" s="9">
        <v>41043</v>
      </c>
      <c r="X167" s="9"/>
      <c r="Y167" t="s">
        <v>47</v>
      </c>
      <c r="Z167" t="s">
        <v>48</v>
      </c>
      <c r="AA167" t="s">
        <v>495</v>
      </c>
      <c r="AB167" t="s">
        <v>68</v>
      </c>
      <c r="AC167" t="s">
        <v>73</v>
      </c>
      <c r="AD167" t="s">
        <v>61</v>
      </c>
      <c r="AE167">
        <v>4.0999999999999996</v>
      </c>
      <c r="AF167">
        <v>3</v>
      </c>
      <c r="AG167">
        <v>0</v>
      </c>
      <c r="AH167" s="9">
        <v>43518</v>
      </c>
      <c r="AI167">
        <v>10</v>
      </c>
      <c r="AJ167">
        <v>38</v>
      </c>
      <c r="AK167">
        <v>8</v>
      </c>
      <c r="AL167">
        <v>16</v>
      </c>
      <c r="AM167" t="str">
        <f>IF(Cleaned_Data[[#This Row],[DateofTermination]]="","",YEAR(Cleaned_Data[[#This Row],[DateofTermination]]))</f>
        <v/>
      </c>
      <c r="AN167">
        <v>1</v>
      </c>
    </row>
    <row r="168" spans="1:40" x14ac:dyDescent="0.35">
      <c r="A168" t="s">
        <v>325</v>
      </c>
      <c r="B168">
        <v>10103</v>
      </c>
      <c r="C168">
        <v>0</v>
      </c>
      <c r="D168">
        <v>3</v>
      </c>
      <c r="E168">
        <v>1</v>
      </c>
      <c r="F168">
        <v>1</v>
      </c>
      <c r="G168">
        <v>6</v>
      </c>
      <c r="H168">
        <v>3</v>
      </c>
      <c r="I168">
        <v>0</v>
      </c>
      <c r="J168">
        <v>70468</v>
      </c>
      <c r="K168">
        <v>0</v>
      </c>
      <c r="L168">
        <v>3</v>
      </c>
      <c r="M168" t="s">
        <v>143</v>
      </c>
      <c r="N168" t="s">
        <v>326</v>
      </c>
      <c r="O168">
        <v>84111</v>
      </c>
      <c r="P168" s="9">
        <v>32384</v>
      </c>
      <c r="Q168" t="s">
        <v>41</v>
      </c>
      <c r="R168" t="s">
        <v>617</v>
      </c>
      <c r="S168" t="s">
        <v>141</v>
      </c>
      <c r="T168" t="s">
        <v>44</v>
      </c>
      <c r="U168" t="s">
        <v>45</v>
      </c>
      <c r="V168" t="s">
        <v>85</v>
      </c>
      <c r="W168" s="9">
        <v>41029</v>
      </c>
      <c r="X168" s="9"/>
      <c r="Y168" t="s">
        <v>47</v>
      </c>
      <c r="Z168" t="s">
        <v>48</v>
      </c>
      <c r="AA168" t="s">
        <v>145</v>
      </c>
      <c r="AB168" t="s">
        <v>146</v>
      </c>
      <c r="AC168" t="s">
        <v>205</v>
      </c>
      <c r="AD168" t="s">
        <v>61</v>
      </c>
      <c r="AE168">
        <v>4.53</v>
      </c>
      <c r="AF168">
        <v>3</v>
      </c>
      <c r="AG168">
        <v>0</v>
      </c>
      <c r="AH168" s="9">
        <v>43494</v>
      </c>
      <c r="AI168">
        <v>16</v>
      </c>
      <c r="AJ168">
        <v>31</v>
      </c>
      <c r="AK168">
        <v>8</v>
      </c>
      <c r="AL168">
        <v>17</v>
      </c>
      <c r="AM168" t="str">
        <f>IF(Cleaned_Data[[#This Row],[DateofTermination]]="","",YEAR(Cleaned_Data[[#This Row],[DateofTermination]]))</f>
        <v/>
      </c>
      <c r="AN168">
        <v>1</v>
      </c>
    </row>
    <row r="169" spans="1:40" x14ac:dyDescent="0.35">
      <c r="A169" t="s">
        <v>327</v>
      </c>
      <c r="B169">
        <v>10017</v>
      </c>
      <c r="C169">
        <v>1</v>
      </c>
      <c r="D169">
        <v>1</v>
      </c>
      <c r="E169">
        <v>0</v>
      </c>
      <c r="F169">
        <v>1</v>
      </c>
      <c r="G169">
        <v>5</v>
      </c>
      <c r="H169">
        <v>4</v>
      </c>
      <c r="I169">
        <v>0</v>
      </c>
      <c r="J169">
        <v>77915</v>
      </c>
      <c r="K169">
        <v>0</v>
      </c>
      <c r="L169">
        <v>18</v>
      </c>
      <c r="M169" t="s">
        <v>133</v>
      </c>
      <c r="N169" t="s">
        <v>40</v>
      </c>
      <c r="O169">
        <v>2110</v>
      </c>
      <c r="P169" s="9">
        <v>30970</v>
      </c>
      <c r="Q169" t="s">
        <v>41</v>
      </c>
      <c r="R169" t="s">
        <v>618</v>
      </c>
      <c r="S169" t="s">
        <v>55</v>
      </c>
      <c r="T169" t="s">
        <v>44</v>
      </c>
      <c r="U169" t="s">
        <v>45</v>
      </c>
      <c r="V169" t="s">
        <v>46</v>
      </c>
      <c r="W169" s="9">
        <v>41547</v>
      </c>
      <c r="X169" s="9"/>
      <c r="Y169" t="s">
        <v>47</v>
      </c>
      <c r="Z169" t="s">
        <v>48</v>
      </c>
      <c r="AA169" t="s">
        <v>495</v>
      </c>
      <c r="AB169" t="s">
        <v>135</v>
      </c>
      <c r="AC169" t="s">
        <v>205</v>
      </c>
      <c r="AD169" t="s">
        <v>52</v>
      </c>
      <c r="AE169">
        <v>4.0999999999999996</v>
      </c>
      <c r="AF169">
        <v>3</v>
      </c>
      <c r="AG169">
        <v>0</v>
      </c>
      <c r="AH169" s="9">
        <v>43486</v>
      </c>
      <c r="AI169">
        <v>11</v>
      </c>
      <c r="AJ169">
        <v>35</v>
      </c>
      <c r="AK169">
        <v>6</v>
      </c>
      <c r="AL169">
        <v>2</v>
      </c>
      <c r="AM169" t="str">
        <f>IF(Cleaned_Data[[#This Row],[DateofTermination]]="","",YEAR(Cleaned_Data[[#This Row],[DateofTermination]]))</f>
        <v/>
      </c>
      <c r="AN169">
        <v>1</v>
      </c>
    </row>
    <row r="170" spans="1:40" x14ac:dyDescent="0.35">
      <c r="A170" t="s">
        <v>553</v>
      </c>
      <c r="B170">
        <v>10186</v>
      </c>
      <c r="C170">
        <v>1</v>
      </c>
      <c r="D170">
        <v>1</v>
      </c>
      <c r="E170">
        <v>0</v>
      </c>
      <c r="F170">
        <v>5</v>
      </c>
      <c r="G170">
        <v>5</v>
      </c>
      <c r="H170">
        <v>3</v>
      </c>
      <c r="I170">
        <v>0</v>
      </c>
      <c r="J170">
        <v>52624</v>
      </c>
      <c r="K170">
        <v>1</v>
      </c>
      <c r="L170">
        <v>19</v>
      </c>
      <c r="M170" t="s">
        <v>39</v>
      </c>
      <c r="N170" t="s">
        <v>40</v>
      </c>
      <c r="O170">
        <v>1886</v>
      </c>
      <c r="P170" s="9">
        <v>22451</v>
      </c>
      <c r="Q170" t="s">
        <v>96</v>
      </c>
      <c r="R170" t="s">
        <v>618</v>
      </c>
      <c r="S170" t="s">
        <v>55</v>
      </c>
      <c r="T170" t="s">
        <v>44</v>
      </c>
      <c r="U170" t="s">
        <v>45</v>
      </c>
      <c r="V170" t="s">
        <v>46</v>
      </c>
      <c r="W170" s="9">
        <v>40670</v>
      </c>
      <c r="X170" s="9">
        <v>43369</v>
      </c>
      <c r="Y170" t="s">
        <v>97</v>
      </c>
      <c r="Z170" t="s">
        <v>57</v>
      </c>
      <c r="AA170" t="s">
        <v>495</v>
      </c>
      <c r="AB170" t="s">
        <v>50</v>
      </c>
      <c r="AC170" t="s">
        <v>60</v>
      </c>
      <c r="AD170" t="s">
        <v>61</v>
      </c>
      <c r="AE170">
        <v>3.18</v>
      </c>
      <c r="AF170">
        <v>4</v>
      </c>
      <c r="AG170">
        <v>0</v>
      </c>
      <c r="AH170" s="9">
        <v>43134</v>
      </c>
      <c r="AI170">
        <v>16</v>
      </c>
      <c r="AJ170">
        <v>57</v>
      </c>
      <c r="AK170">
        <v>7</v>
      </c>
      <c r="AL170">
        <v>22</v>
      </c>
      <c r="AM170">
        <f>IF(Cleaned_Data[[#This Row],[DateofTermination]]="","",YEAR(Cleaned_Data[[#This Row],[DateofTermination]]))</f>
        <v>2018</v>
      </c>
      <c r="AN170">
        <v>1</v>
      </c>
    </row>
    <row r="171" spans="1:40" x14ac:dyDescent="0.35">
      <c r="A171" t="s">
        <v>329</v>
      </c>
      <c r="B171">
        <v>10137</v>
      </c>
      <c r="C171">
        <v>1</v>
      </c>
      <c r="D171">
        <v>1</v>
      </c>
      <c r="E171">
        <v>1</v>
      </c>
      <c r="F171">
        <v>3</v>
      </c>
      <c r="G171">
        <v>5</v>
      </c>
      <c r="H171">
        <v>3</v>
      </c>
      <c r="I171">
        <v>0</v>
      </c>
      <c r="J171">
        <v>63450</v>
      </c>
      <c r="K171">
        <v>0</v>
      </c>
      <c r="L171">
        <v>20</v>
      </c>
      <c r="M171" t="s">
        <v>500</v>
      </c>
      <c r="N171" t="s">
        <v>40</v>
      </c>
      <c r="O171">
        <v>1770</v>
      </c>
      <c r="P171" s="9">
        <v>25833</v>
      </c>
      <c r="Q171" t="s">
        <v>41</v>
      </c>
      <c r="R171" t="s">
        <v>617</v>
      </c>
      <c r="S171" t="s">
        <v>55</v>
      </c>
      <c r="T171" t="s">
        <v>44</v>
      </c>
      <c r="U171" t="s">
        <v>45</v>
      </c>
      <c r="V171" t="s">
        <v>46</v>
      </c>
      <c r="W171" s="9">
        <v>41493</v>
      </c>
      <c r="X171" s="9"/>
      <c r="Y171" t="s">
        <v>47</v>
      </c>
      <c r="Z171" t="s">
        <v>48</v>
      </c>
      <c r="AA171" t="s">
        <v>495</v>
      </c>
      <c r="AB171" t="s">
        <v>103</v>
      </c>
      <c r="AC171" t="s">
        <v>496</v>
      </c>
      <c r="AD171" t="s">
        <v>61</v>
      </c>
      <c r="AE171">
        <v>4</v>
      </c>
      <c r="AF171">
        <v>3</v>
      </c>
      <c r="AG171">
        <v>0</v>
      </c>
      <c r="AH171" s="9">
        <v>43514</v>
      </c>
      <c r="AI171">
        <v>7</v>
      </c>
      <c r="AJ171">
        <v>49</v>
      </c>
      <c r="AK171">
        <v>6</v>
      </c>
      <c r="AL171">
        <v>18</v>
      </c>
      <c r="AM171" t="str">
        <f>IF(Cleaned_Data[[#This Row],[DateofTermination]]="","",YEAR(Cleaned_Data[[#This Row],[DateofTermination]]))</f>
        <v/>
      </c>
      <c r="AN171">
        <v>1</v>
      </c>
    </row>
    <row r="172" spans="1:40" x14ac:dyDescent="0.35">
      <c r="A172" t="s">
        <v>554</v>
      </c>
      <c r="B172">
        <v>10008</v>
      </c>
      <c r="C172">
        <v>0</v>
      </c>
      <c r="D172">
        <v>0</v>
      </c>
      <c r="E172">
        <v>0</v>
      </c>
      <c r="F172">
        <v>1</v>
      </c>
      <c r="G172">
        <v>3</v>
      </c>
      <c r="H172">
        <v>4</v>
      </c>
      <c r="I172">
        <v>1</v>
      </c>
      <c r="J172">
        <v>51777</v>
      </c>
      <c r="K172">
        <v>0</v>
      </c>
      <c r="L172">
        <v>14</v>
      </c>
      <c r="M172" t="s">
        <v>505</v>
      </c>
      <c r="N172" t="s">
        <v>126</v>
      </c>
      <c r="O172">
        <v>6070</v>
      </c>
      <c r="P172" s="9">
        <v>31047</v>
      </c>
      <c r="Q172" t="s">
        <v>41</v>
      </c>
      <c r="R172" t="s">
        <v>618</v>
      </c>
      <c r="S172" t="s">
        <v>43</v>
      </c>
      <c r="T172" t="s">
        <v>44</v>
      </c>
      <c r="U172" t="s">
        <v>92</v>
      </c>
      <c r="V172" t="s">
        <v>85</v>
      </c>
      <c r="W172" s="9">
        <v>40564</v>
      </c>
      <c r="X172" s="9"/>
      <c r="Y172" t="s">
        <v>47</v>
      </c>
      <c r="Z172" t="s">
        <v>48</v>
      </c>
      <c r="AA172" t="s">
        <v>499</v>
      </c>
      <c r="AB172" t="s">
        <v>170</v>
      </c>
      <c r="AC172" t="s">
        <v>624</v>
      </c>
      <c r="AD172" t="s">
        <v>52</v>
      </c>
      <c r="AE172">
        <v>4.6399999999999997</v>
      </c>
      <c r="AF172">
        <v>4</v>
      </c>
      <c r="AG172">
        <v>5</v>
      </c>
      <c r="AH172" s="9">
        <v>43490</v>
      </c>
      <c r="AI172">
        <v>14</v>
      </c>
      <c r="AJ172">
        <v>35</v>
      </c>
      <c r="AK172">
        <v>9</v>
      </c>
      <c r="AL172">
        <v>6</v>
      </c>
      <c r="AM172" t="str">
        <f>IF(Cleaned_Data[[#This Row],[DateofTermination]]="","",YEAR(Cleaned_Data[[#This Row],[DateofTermination]]))</f>
        <v/>
      </c>
      <c r="AN172">
        <v>1</v>
      </c>
    </row>
    <row r="173" spans="1:40" x14ac:dyDescent="0.35">
      <c r="A173" t="s">
        <v>331</v>
      </c>
      <c r="B173">
        <v>10096</v>
      </c>
      <c r="C173">
        <v>0</v>
      </c>
      <c r="D173">
        <v>4</v>
      </c>
      <c r="E173">
        <v>0</v>
      </c>
      <c r="F173">
        <v>5</v>
      </c>
      <c r="G173">
        <v>5</v>
      </c>
      <c r="H173">
        <v>3</v>
      </c>
      <c r="I173">
        <v>0</v>
      </c>
      <c r="J173">
        <v>67237</v>
      </c>
      <c r="K173">
        <v>1</v>
      </c>
      <c r="L173">
        <v>20</v>
      </c>
      <c r="M173" t="s">
        <v>500</v>
      </c>
      <c r="N173" t="s">
        <v>40</v>
      </c>
      <c r="O173">
        <v>2122</v>
      </c>
      <c r="P173" s="9">
        <v>30154</v>
      </c>
      <c r="Q173" t="s">
        <v>41</v>
      </c>
      <c r="R173" t="s">
        <v>618</v>
      </c>
      <c r="S173" t="s">
        <v>81</v>
      </c>
      <c r="T173" t="s">
        <v>44</v>
      </c>
      <c r="U173" t="s">
        <v>45</v>
      </c>
      <c r="V173" t="s">
        <v>46</v>
      </c>
      <c r="W173" s="9">
        <v>41493</v>
      </c>
      <c r="X173" s="9">
        <v>42628</v>
      </c>
      <c r="Y173" t="s">
        <v>197</v>
      </c>
      <c r="Z173" t="s">
        <v>57</v>
      </c>
      <c r="AA173" t="s">
        <v>495</v>
      </c>
      <c r="AB173" t="s">
        <v>50</v>
      </c>
      <c r="AC173" t="s">
        <v>496</v>
      </c>
      <c r="AD173" t="s">
        <v>61</v>
      </c>
      <c r="AE173">
        <v>4.6500000000000004</v>
      </c>
      <c r="AF173">
        <v>4</v>
      </c>
      <c r="AG173">
        <v>0</v>
      </c>
      <c r="AH173" s="9">
        <v>42649</v>
      </c>
      <c r="AI173">
        <v>15</v>
      </c>
      <c r="AJ173">
        <v>34</v>
      </c>
      <c r="AK173">
        <v>3</v>
      </c>
      <c r="AL173">
        <v>22</v>
      </c>
      <c r="AM173">
        <f>IF(Cleaned_Data[[#This Row],[DateofTermination]]="","",YEAR(Cleaned_Data[[#This Row],[DateofTermination]]))</f>
        <v>2016</v>
      </c>
      <c r="AN173">
        <v>1</v>
      </c>
    </row>
    <row r="174" spans="1:40" x14ac:dyDescent="0.35">
      <c r="A174" t="s">
        <v>332</v>
      </c>
      <c r="B174">
        <v>10035</v>
      </c>
      <c r="C174">
        <v>0</v>
      </c>
      <c r="D174">
        <v>0</v>
      </c>
      <c r="E174">
        <v>0</v>
      </c>
      <c r="F174">
        <v>1</v>
      </c>
      <c r="G174">
        <v>5</v>
      </c>
      <c r="H174">
        <v>4</v>
      </c>
      <c r="I174">
        <v>0</v>
      </c>
      <c r="J174">
        <v>73330</v>
      </c>
      <c r="K174">
        <v>0</v>
      </c>
      <c r="L174">
        <v>20</v>
      </c>
      <c r="M174" t="s">
        <v>500</v>
      </c>
      <c r="N174" t="s">
        <v>40</v>
      </c>
      <c r="O174">
        <v>2324</v>
      </c>
      <c r="P174" s="9">
        <v>31075</v>
      </c>
      <c r="Q174" t="s">
        <v>41</v>
      </c>
      <c r="R174" t="s">
        <v>618</v>
      </c>
      <c r="S174" t="s">
        <v>43</v>
      </c>
      <c r="T174" t="s">
        <v>44</v>
      </c>
      <c r="U174" t="s">
        <v>45</v>
      </c>
      <c r="V174" t="s">
        <v>85</v>
      </c>
      <c r="W174" s="9">
        <v>41505</v>
      </c>
      <c r="X174" s="9"/>
      <c r="Y174" t="s">
        <v>47</v>
      </c>
      <c r="Z174" t="s">
        <v>48</v>
      </c>
      <c r="AA174" t="s">
        <v>495</v>
      </c>
      <c r="AB174" t="s">
        <v>68</v>
      </c>
      <c r="AC174" t="s">
        <v>60</v>
      </c>
      <c r="AD174" t="s">
        <v>52</v>
      </c>
      <c r="AE174">
        <v>4.2</v>
      </c>
      <c r="AF174">
        <v>4</v>
      </c>
      <c r="AG174">
        <v>0</v>
      </c>
      <c r="AH174" s="9">
        <v>43801</v>
      </c>
      <c r="AI174">
        <v>19</v>
      </c>
      <c r="AJ174">
        <v>35</v>
      </c>
      <c r="AK174">
        <v>6</v>
      </c>
      <c r="AL174">
        <v>16</v>
      </c>
      <c r="AM174" t="str">
        <f>IF(Cleaned_Data[[#This Row],[DateofTermination]]="","",YEAR(Cleaned_Data[[#This Row],[DateofTermination]]))</f>
        <v/>
      </c>
      <c r="AN174">
        <v>1</v>
      </c>
    </row>
    <row r="175" spans="1:40" x14ac:dyDescent="0.35">
      <c r="A175" t="s">
        <v>333</v>
      </c>
      <c r="B175">
        <v>10057</v>
      </c>
      <c r="C175">
        <v>1</v>
      </c>
      <c r="D175">
        <v>1</v>
      </c>
      <c r="E175">
        <v>0</v>
      </c>
      <c r="F175">
        <v>3</v>
      </c>
      <c r="G175">
        <v>5</v>
      </c>
      <c r="H175">
        <v>3</v>
      </c>
      <c r="I175">
        <v>0</v>
      </c>
      <c r="J175">
        <v>52057</v>
      </c>
      <c r="K175">
        <v>0</v>
      </c>
      <c r="L175">
        <v>19</v>
      </c>
      <c r="M175" t="s">
        <v>39</v>
      </c>
      <c r="N175" t="s">
        <v>40</v>
      </c>
      <c r="O175">
        <v>2122</v>
      </c>
      <c r="P175" s="9">
        <v>26811</v>
      </c>
      <c r="Q175" t="s">
        <v>41</v>
      </c>
      <c r="R175" t="s">
        <v>618</v>
      </c>
      <c r="S175" t="s">
        <v>55</v>
      </c>
      <c r="T175" t="s">
        <v>44</v>
      </c>
      <c r="U175" t="s">
        <v>45</v>
      </c>
      <c r="V175" t="s">
        <v>85</v>
      </c>
      <c r="W175" s="9">
        <v>42051</v>
      </c>
      <c r="X175" s="9"/>
      <c r="Y175" t="s">
        <v>47</v>
      </c>
      <c r="Z175" t="s">
        <v>48</v>
      </c>
      <c r="AA175" t="s">
        <v>495</v>
      </c>
      <c r="AB175" t="s">
        <v>68</v>
      </c>
      <c r="AC175" t="s">
        <v>205</v>
      </c>
      <c r="AD175" t="s">
        <v>61</v>
      </c>
      <c r="AE175">
        <v>5</v>
      </c>
      <c r="AF175">
        <v>3</v>
      </c>
      <c r="AG175">
        <v>0</v>
      </c>
      <c r="AH175" s="9">
        <v>43488</v>
      </c>
      <c r="AI175">
        <v>6</v>
      </c>
      <c r="AJ175">
        <v>47</v>
      </c>
      <c r="AK175">
        <v>5</v>
      </c>
      <c r="AL175">
        <v>16</v>
      </c>
      <c r="AM175" t="str">
        <f>IF(Cleaned_Data[[#This Row],[DateofTermination]]="","",YEAR(Cleaned_Data[[#This Row],[DateofTermination]]))</f>
        <v/>
      </c>
      <c r="AN175">
        <v>1</v>
      </c>
    </row>
    <row r="176" spans="1:40" x14ac:dyDescent="0.35">
      <c r="A176" t="s">
        <v>334</v>
      </c>
      <c r="B176">
        <v>10004</v>
      </c>
      <c r="C176">
        <v>0</v>
      </c>
      <c r="D176">
        <v>0</v>
      </c>
      <c r="E176">
        <v>0</v>
      </c>
      <c r="F176">
        <v>5</v>
      </c>
      <c r="G176">
        <v>5</v>
      </c>
      <c r="H176">
        <v>4</v>
      </c>
      <c r="I176">
        <v>1</v>
      </c>
      <c r="J176">
        <v>47434</v>
      </c>
      <c r="K176">
        <v>1</v>
      </c>
      <c r="L176">
        <v>19</v>
      </c>
      <c r="M176" t="s">
        <v>39</v>
      </c>
      <c r="N176" t="s">
        <v>40</v>
      </c>
      <c r="O176">
        <v>1844</v>
      </c>
      <c r="P176" s="9">
        <v>26624</v>
      </c>
      <c r="Q176" t="s">
        <v>41</v>
      </c>
      <c r="R176" t="s">
        <v>618</v>
      </c>
      <c r="S176" t="s">
        <v>43</v>
      </c>
      <c r="T176" t="s">
        <v>44</v>
      </c>
      <c r="U176" t="s">
        <v>92</v>
      </c>
      <c r="V176" t="s">
        <v>85</v>
      </c>
      <c r="W176" s="9">
        <v>40735</v>
      </c>
      <c r="X176" s="9">
        <v>42322</v>
      </c>
      <c r="Y176" t="s">
        <v>93</v>
      </c>
      <c r="Z176" t="s">
        <v>57</v>
      </c>
      <c r="AA176" t="s">
        <v>495</v>
      </c>
      <c r="AB176" t="s">
        <v>72</v>
      </c>
      <c r="AC176" t="s">
        <v>624</v>
      </c>
      <c r="AD176" t="s">
        <v>52</v>
      </c>
      <c r="AE176">
        <v>5</v>
      </c>
      <c r="AF176">
        <v>4</v>
      </c>
      <c r="AG176">
        <v>0</v>
      </c>
      <c r="AH176" s="9">
        <v>42037</v>
      </c>
      <c r="AI176">
        <v>17</v>
      </c>
      <c r="AJ176">
        <v>43</v>
      </c>
      <c r="AK176">
        <v>4</v>
      </c>
      <c r="AL176">
        <v>39</v>
      </c>
      <c r="AM176">
        <f>IF(Cleaned_Data[[#This Row],[DateofTermination]]="","",YEAR(Cleaned_Data[[#This Row],[DateofTermination]]))</f>
        <v>2015</v>
      </c>
      <c r="AN176">
        <v>1</v>
      </c>
    </row>
    <row r="177" spans="1:40" x14ac:dyDescent="0.35">
      <c r="A177" t="s">
        <v>555</v>
      </c>
      <c r="B177">
        <v>10191</v>
      </c>
      <c r="C177">
        <v>0</v>
      </c>
      <c r="D177">
        <v>4</v>
      </c>
      <c r="E177">
        <v>1</v>
      </c>
      <c r="F177">
        <v>5</v>
      </c>
      <c r="G177">
        <v>5</v>
      </c>
      <c r="H177">
        <v>3</v>
      </c>
      <c r="I177">
        <v>0</v>
      </c>
      <c r="J177">
        <v>52788</v>
      </c>
      <c r="K177">
        <v>1</v>
      </c>
      <c r="L177">
        <v>19</v>
      </c>
      <c r="M177" t="s">
        <v>39</v>
      </c>
      <c r="N177" t="s">
        <v>40</v>
      </c>
      <c r="O177">
        <v>1938</v>
      </c>
      <c r="P177" s="9">
        <v>31854</v>
      </c>
      <c r="Q177" t="s">
        <v>41</v>
      </c>
      <c r="R177" t="s">
        <v>617</v>
      </c>
      <c r="S177" t="s">
        <v>81</v>
      </c>
      <c r="T177" t="s">
        <v>44</v>
      </c>
      <c r="U177" t="s">
        <v>45</v>
      </c>
      <c r="V177" t="s">
        <v>46</v>
      </c>
      <c r="W177" s="9">
        <v>41176</v>
      </c>
      <c r="X177" s="9">
        <v>43004</v>
      </c>
      <c r="Y177" t="s">
        <v>65</v>
      </c>
      <c r="Z177" t="s">
        <v>57</v>
      </c>
      <c r="AA177" t="s">
        <v>495</v>
      </c>
      <c r="AB177" t="s">
        <v>75</v>
      </c>
      <c r="AC177" t="s">
        <v>60</v>
      </c>
      <c r="AD177" t="s">
        <v>61</v>
      </c>
      <c r="AE177">
        <v>3.08</v>
      </c>
      <c r="AF177">
        <v>4</v>
      </c>
      <c r="AG177">
        <v>0</v>
      </c>
      <c r="AH177" s="9">
        <v>42739</v>
      </c>
      <c r="AI177">
        <v>18</v>
      </c>
      <c r="AJ177">
        <v>31</v>
      </c>
      <c r="AK177">
        <v>5</v>
      </c>
      <c r="AL177">
        <v>11</v>
      </c>
      <c r="AM177">
        <f>IF(Cleaned_Data[[#This Row],[DateofTermination]]="","",YEAR(Cleaned_Data[[#This Row],[DateofTermination]]))</f>
        <v>2017</v>
      </c>
      <c r="AN177">
        <v>1</v>
      </c>
    </row>
    <row r="178" spans="1:40" x14ac:dyDescent="0.35">
      <c r="A178" t="s">
        <v>556</v>
      </c>
      <c r="B178">
        <v>10219</v>
      </c>
      <c r="C178">
        <v>0</v>
      </c>
      <c r="D178">
        <v>0</v>
      </c>
      <c r="E178">
        <v>0</v>
      </c>
      <c r="F178">
        <v>1</v>
      </c>
      <c r="G178">
        <v>5</v>
      </c>
      <c r="H178">
        <v>3</v>
      </c>
      <c r="I178">
        <v>0</v>
      </c>
      <c r="J178">
        <v>45395</v>
      </c>
      <c r="K178">
        <v>0</v>
      </c>
      <c r="L178">
        <v>19</v>
      </c>
      <c r="M178" t="s">
        <v>39</v>
      </c>
      <c r="N178" t="s">
        <v>40</v>
      </c>
      <c r="O178">
        <v>2189</v>
      </c>
      <c r="P178" s="9">
        <v>31620</v>
      </c>
      <c r="Q178" t="s">
        <v>41</v>
      </c>
      <c r="R178" t="s">
        <v>618</v>
      </c>
      <c r="S178" t="s">
        <v>43</v>
      </c>
      <c r="T178" t="s">
        <v>44</v>
      </c>
      <c r="U178" t="s">
        <v>45</v>
      </c>
      <c r="V178" t="s">
        <v>46</v>
      </c>
      <c r="W178" s="9">
        <v>41791</v>
      </c>
      <c r="X178" s="9"/>
      <c r="Y178" t="s">
        <v>47</v>
      </c>
      <c r="Z178" t="s">
        <v>48</v>
      </c>
      <c r="AA178" t="s">
        <v>495</v>
      </c>
      <c r="AB178" t="s">
        <v>82</v>
      </c>
      <c r="AC178" t="s">
        <v>496</v>
      </c>
      <c r="AD178" t="s">
        <v>61</v>
      </c>
      <c r="AE178">
        <v>4.5999999999999996</v>
      </c>
      <c r="AF178">
        <v>4</v>
      </c>
      <c r="AG178">
        <v>0</v>
      </c>
      <c r="AH178" s="9">
        <v>43522</v>
      </c>
      <c r="AI178">
        <v>14</v>
      </c>
      <c r="AJ178">
        <v>33</v>
      </c>
      <c r="AK178">
        <v>6</v>
      </c>
      <c r="AL178">
        <v>19</v>
      </c>
      <c r="AM178" t="str">
        <f>IF(Cleaned_Data[[#This Row],[DateofTermination]]="","",YEAR(Cleaned_Data[[#This Row],[DateofTermination]]))</f>
        <v/>
      </c>
      <c r="AN178">
        <v>1</v>
      </c>
    </row>
    <row r="179" spans="1:40" x14ac:dyDescent="0.35">
      <c r="A179" t="s">
        <v>337</v>
      </c>
      <c r="B179">
        <v>10077</v>
      </c>
      <c r="C179">
        <v>1</v>
      </c>
      <c r="D179">
        <v>1</v>
      </c>
      <c r="E179">
        <v>0</v>
      </c>
      <c r="F179">
        <v>2</v>
      </c>
      <c r="G179">
        <v>5</v>
      </c>
      <c r="H179">
        <v>3</v>
      </c>
      <c r="I179">
        <v>0</v>
      </c>
      <c r="J179">
        <v>62385</v>
      </c>
      <c r="K179">
        <v>0</v>
      </c>
      <c r="L179">
        <v>20</v>
      </c>
      <c r="M179" t="s">
        <v>500</v>
      </c>
      <c r="N179" t="s">
        <v>40</v>
      </c>
      <c r="O179">
        <v>2324</v>
      </c>
      <c r="P179" s="9">
        <v>27384</v>
      </c>
      <c r="Q179" t="s">
        <v>41</v>
      </c>
      <c r="R179" t="s">
        <v>618</v>
      </c>
      <c r="S179" t="s">
        <v>55</v>
      </c>
      <c r="T179" t="s">
        <v>44</v>
      </c>
      <c r="U179" t="s">
        <v>45</v>
      </c>
      <c r="V179" t="s">
        <v>46</v>
      </c>
      <c r="W179" s="9">
        <v>42679</v>
      </c>
      <c r="X179" s="9"/>
      <c r="Y179" t="s">
        <v>47</v>
      </c>
      <c r="Z179" t="s">
        <v>48</v>
      </c>
      <c r="AA179" t="s">
        <v>495</v>
      </c>
      <c r="AB179" t="s">
        <v>72</v>
      </c>
      <c r="AC179" t="s">
        <v>496</v>
      </c>
      <c r="AD179" t="s">
        <v>61</v>
      </c>
      <c r="AE179">
        <v>5</v>
      </c>
      <c r="AF179">
        <v>3</v>
      </c>
      <c r="AG179">
        <v>0</v>
      </c>
      <c r="AH179" s="9">
        <v>43486</v>
      </c>
      <c r="AI179">
        <v>4</v>
      </c>
      <c r="AJ179">
        <v>45</v>
      </c>
      <c r="AK179">
        <v>3</v>
      </c>
      <c r="AL179">
        <v>39</v>
      </c>
      <c r="AM179" t="str">
        <f>IF(Cleaned_Data[[#This Row],[DateofTermination]]="","",YEAR(Cleaned_Data[[#This Row],[DateofTermination]]))</f>
        <v/>
      </c>
      <c r="AN179">
        <v>1</v>
      </c>
    </row>
    <row r="180" spans="1:40" x14ac:dyDescent="0.35">
      <c r="A180" t="s">
        <v>338</v>
      </c>
      <c r="B180">
        <v>10073</v>
      </c>
      <c r="C180">
        <v>1</v>
      </c>
      <c r="D180">
        <v>1</v>
      </c>
      <c r="E180">
        <v>0</v>
      </c>
      <c r="F180">
        <v>5</v>
      </c>
      <c r="G180">
        <v>5</v>
      </c>
      <c r="H180">
        <v>3</v>
      </c>
      <c r="I180">
        <v>0</v>
      </c>
      <c r="J180">
        <v>68407</v>
      </c>
      <c r="K180">
        <v>1</v>
      </c>
      <c r="L180">
        <v>20</v>
      </c>
      <c r="M180" t="s">
        <v>500</v>
      </c>
      <c r="N180" t="s">
        <v>40</v>
      </c>
      <c r="O180">
        <v>2176</v>
      </c>
      <c r="P180" s="9">
        <v>31528</v>
      </c>
      <c r="Q180" t="s">
        <v>41</v>
      </c>
      <c r="R180" t="s">
        <v>618</v>
      </c>
      <c r="S180" t="s">
        <v>55</v>
      </c>
      <c r="T180" t="s">
        <v>44</v>
      </c>
      <c r="U180" t="s">
        <v>45</v>
      </c>
      <c r="V180" t="s">
        <v>102</v>
      </c>
      <c r="W180" s="9">
        <v>40670</v>
      </c>
      <c r="X180" s="9">
        <v>41140</v>
      </c>
      <c r="Y180" t="s">
        <v>93</v>
      </c>
      <c r="Z180" t="s">
        <v>57</v>
      </c>
      <c r="AA180" t="s">
        <v>495</v>
      </c>
      <c r="AB180" t="s">
        <v>75</v>
      </c>
      <c r="AC180" t="s">
        <v>496</v>
      </c>
      <c r="AD180" t="s">
        <v>61</v>
      </c>
      <c r="AE180">
        <v>5</v>
      </c>
      <c r="AF180">
        <v>4</v>
      </c>
      <c r="AG180">
        <v>0</v>
      </c>
      <c r="AH180" s="9">
        <v>40946</v>
      </c>
      <c r="AI180">
        <v>16</v>
      </c>
      <c r="AJ180">
        <v>26</v>
      </c>
      <c r="AK180">
        <v>1</v>
      </c>
      <c r="AL180">
        <v>11</v>
      </c>
      <c r="AM180">
        <f>IF(Cleaned_Data[[#This Row],[DateofTermination]]="","",YEAR(Cleaned_Data[[#This Row],[DateofTermination]]))</f>
        <v>2012</v>
      </c>
      <c r="AN180">
        <v>1</v>
      </c>
    </row>
    <row r="181" spans="1:40" x14ac:dyDescent="0.35">
      <c r="A181" t="s">
        <v>339</v>
      </c>
      <c r="B181">
        <v>10279</v>
      </c>
      <c r="C181">
        <v>1</v>
      </c>
      <c r="D181">
        <v>1</v>
      </c>
      <c r="E181">
        <v>0</v>
      </c>
      <c r="F181">
        <v>1</v>
      </c>
      <c r="G181">
        <v>5</v>
      </c>
      <c r="H181">
        <v>3</v>
      </c>
      <c r="I181">
        <v>0</v>
      </c>
      <c r="J181">
        <v>61349</v>
      </c>
      <c r="K181">
        <v>0</v>
      </c>
      <c r="L181">
        <v>19</v>
      </c>
      <c r="M181" t="s">
        <v>39</v>
      </c>
      <c r="N181" t="s">
        <v>40</v>
      </c>
      <c r="O181">
        <v>2451</v>
      </c>
      <c r="P181" s="9">
        <v>32128</v>
      </c>
      <c r="Q181" t="s">
        <v>41</v>
      </c>
      <c r="R181" t="s">
        <v>618</v>
      </c>
      <c r="S181" t="s">
        <v>55</v>
      </c>
      <c r="T181" t="s">
        <v>44</v>
      </c>
      <c r="U181" t="s">
        <v>45</v>
      </c>
      <c r="V181" t="s">
        <v>46</v>
      </c>
      <c r="W181" s="9">
        <v>41589</v>
      </c>
      <c r="X181" s="9"/>
      <c r="Y181" t="s">
        <v>47</v>
      </c>
      <c r="Z181" t="s">
        <v>48</v>
      </c>
      <c r="AA181" t="s">
        <v>495</v>
      </c>
      <c r="AB181" t="s">
        <v>86</v>
      </c>
      <c r="AC181" t="s">
        <v>496</v>
      </c>
      <c r="AD181" t="s">
        <v>61</v>
      </c>
      <c r="AE181">
        <v>4.0999999999999996</v>
      </c>
      <c r="AF181">
        <v>3</v>
      </c>
      <c r="AG181">
        <v>0</v>
      </c>
      <c r="AH181" s="9">
        <v>43487</v>
      </c>
      <c r="AI181">
        <v>11</v>
      </c>
      <c r="AJ181">
        <v>32</v>
      </c>
      <c r="AK181">
        <v>6</v>
      </c>
      <c r="AL181">
        <v>12</v>
      </c>
      <c r="AM181" t="str">
        <f>IF(Cleaned_Data[[#This Row],[DateofTermination]]="","",YEAR(Cleaned_Data[[#This Row],[DateofTermination]]))</f>
        <v/>
      </c>
      <c r="AN181">
        <v>1</v>
      </c>
    </row>
    <row r="182" spans="1:40" x14ac:dyDescent="0.35">
      <c r="A182" t="s">
        <v>340</v>
      </c>
      <c r="B182">
        <v>10110</v>
      </c>
      <c r="C182">
        <v>0</v>
      </c>
      <c r="D182">
        <v>0</v>
      </c>
      <c r="E182">
        <v>0</v>
      </c>
      <c r="F182">
        <v>1</v>
      </c>
      <c r="G182">
        <v>4</v>
      </c>
      <c r="H182">
        <v>3</v>
      </c>
      <c r="I182">
        <v>0</v>
      </c>
      <c r="J182">
        <v>105688</v>
      </c>
      <c r="K182">
        <v>0</v>
      </c>
      <c r="L182">
        <v>24</v>
      </c>
      <c r="M182" t="s">
        <v>77</v>
      </c>
      <c r="N182" t="s">
        <v>40</v>
      </c>
      <c r="O182">
        <v>2135</v>
      </c>
      <c r="P182" s="9">
        <v>29690</v>
      </c>
      <c r="Q182" t="s">
        <v>41</v>
      </c>
      <c r="R182" t="s">
        <v>618</v>
      </c>
      <c r="S182" t="s">
        <v>43</v>
      </c>
      <c r="T182" t="s">
        <v>44</v>
      </c>
      <c r="U182" t="s">
        <v>45</v>
      </c>
      <c r="V182" t="s">
        <v>116</v>
      </c>
      <c r="W182" s="9">
        <v>41589</v>
      </c>
      <c r="X182" s="9"/>
      <c r="Y182" t="s">
        <v>47</v>
      </c>
      <c r="Z182" t="s">
        <v>48</v>
      </c>
      <c r="AA182" t="s">
        <v>78</v>
      </c>
      <c r="AB182" t="s">
        <v>79</v>
      </c>
      <c r="AC182" t="s">
        <v>73</v>
      </c>
      <c r="AD182" t="s">
        <v>61</v>
      </c>
      <c r="AE182">
        <v>4.5</v>
      </c>
      <c r="AF182">
        <v>5</v>
      </c>
      <c r="AG182">
        <v>4</v>
      </c>
      <c r="AH182" s="9">
        <v>43479</v>
      </c>
      <c r="AI182">
        <v>14</v>
      </c>
      <c r="AJ182">
        <v>39</v>
      </c>
      <c r="AK182">
        <v>6</v>
      </c>
      <c r="AL182">
        <v>10</v>
      </c>
      <c r="AM182" t="str">
        <f>IF(Cleaned_Data[[#This Row],[DateofTermination]]="","",YEAR(Cleaned_Data[[#This Row],[DateofTermination]]))</f>
        <v/>
      </c>
      <c r="AN182">
        <v>1</v>
      </c>
    </row>
    <row r="183" spans="1:40" x14ac:dyDescent="0.35">
      <c r="A183" t="s">
        <v>341</v>
      </c>
      <c r="B183">
        <v>10053</v>
      </c>
      <c r="C183">
        <v>1</v>
      </c>
      <c r="D183">
        <v>1</v>
      </c>
      <c r="E183">
        <v>0</v>
      </c>
      <c r="F183">
        <v>1</v>
      </c>
      <c r="G183">
        <v>5</v>
      </c>
      <c r="H183">
        <v>3</v>
      </c>
      <c r="I183">
        <v>0</v>
      </c>
      <c r="J183">
        <v>54132</v>
      </c>
      <c r="K183">
        <v>0</v>
      </c>
      <c r="L183">
        <v>19</v>
      </c>
      <c r="M183" t="s">
        <v>39</v>
      </c>
      <c r="N183" t="s">
        <v>40</v>
      </c>
      <c r="O183">
        <v>2330</v>
      </c>
      <c r="P183" s="9">
        <v>31283</v>
      </c>
      <c r="Q183" t="s">
        <v>41</v>
      </c>
      <c r="R183" t="s">
        <v>618</v>
      </c>
      <c r="S183" t="s">
        <v>55</v>
      </c>
      <c r="T183" t="s">
        <v>44</v>
      </c>
      <c r="U183" t="s">
        <v>45</v>
      </c>
      <c r="V183" t="s">
        <v>46</v>
      </c>
      <c r="W183" s="9">
        <v>40694</v>
      </c>
      <c r="X183" s="9"/>
      <c r="Y183" t="s">
        <v>47</v>
      </c>
      <c r="Z183" t="s">
        <v>48</v>
      </c>
      <c r="AA183" t="s">
        <v>495</v>
      </c>
      <c r="AB183" t="s">
        <v>94</v>
      </c>
      <c r="AC183" t="s">
        <v>60</v>
      </c>
      <c r="AD183" t="s">
        <v>61</v>
      </c>
      <c r="AE183">
        <v>5</v>
      </c>
      <c r="AF183">
        <v>4</v>
      </c>
      <c r="AG183">
        <v>0</v>
      </c>
      <c r="AH183" s="9">
        <v>43739</v>
      </c>
      <c r="AI183">
        <v>8</v>
      </c>
      <c r="AJ183">
        <v>34</v>
      </c>
      <c r="AK183">
        <v>9</v>
      </c>
      <c r="AL183">
        <v>14</v>
      </c>
      <c r="AM183" t="str">
        <f>IF(Cleaned_Data[[#This Row],[DateofTermination]]="","",YEAR(Cleaned_Data[[#This Row],[DateofTermination]]))</f>
        <v/>
      </c>
      <c r="AN183">
        <v>1</v>
      </c>
    </row>
    <row r="184" spans="1:40" x14ac:dyDescent="0.35">
      <c r="A184" t="s">
        <v>557</v>
      </c>
      <c r="B184">
        <v>10076</v>
      </c>
      <c r="C184">
        <v>0</v>
      </c>
      <c r="D184">
        <v>0</v>
      </c>
      <c r="E184">
        <v>0</v>
      </c>
      <c r="F184">
        <v>1</v>
      </c>
      <c r="G184">
        <v>5</v>
      </c>
      <c r="H184">
        <v>3</v>
      </c>
      <c r="I184">
        <v>0</v>
      </c>
      <c r="J184">
        <v>55315</v>
      </c>
      <c r="K184">
        <v>0</v>
      </c>
      <c r="L184">
        <v>20</v>
      </c>
      <c r="M184" t="s">
        <v>500</v>
      </c>
      <c r="N184" t="s">
        <v>40</v>
      </c>
      <c r="O184">
        <v>2149</v>
      </c>
      <c r="P184" s="9">
        <v>32282</v>
      </c>
      <c r="Q184" t="s">
        <v>41</v>
      </c>
      <c r="R184" t="s">
        <v>618</v>
      </c>
      <c r="S184" t="s">
        <v>43</v>
      </c>
      <c r="T184" t="s">
        <v>44</v>
      </c>
      <c r="U184" t="s">
        <v>45</v>
      </c>
      <c r="V184" t="s">
        <v>85</v>
      </c>
      <c r="W184" s="9">
        <v>42093</v>
      </c>
      <c r="X184" s="9"/>
      <c r="Y184" t="s">
        <v>47</v>
      </c>
      <c r="Z184" t="s">
        <v>48</v>
      </c>
      <c r="AA184" t="s">
        <v>495</v>
      </c>
      <c r="AB184" t="s">
        <v>82</v>
      </c>
      <c r="AC184" t="s">
        <v>496</v>
      </c>
      <c r="AD184" t="s">
        <v>61</v>
      </c>
      <c r="AE184">
        <v>5</v>
      </c>
      <c r="AF184">
        <v>5</v>
      </c>
      <c r="AG184">
        <v>0</v>
      </c>
      <c r="AH184" s="9">
        <v>43648</v>
      </c>
      <c r="AI184">
        <v>16</v>
      </c>
      <c r="AJ184">
        <v>32</v>
      </c>
      <c r="AK184">
        <v>5</v>
      </c>
      <c r="AL184">
        <v>19</v>
      </c>
      <c r="AM184" t="str">
        <f>IF(Cleaned_Data[[#This Row],[DateofTermination]]="","",YEAR(Cleaned_Data[[#This Row],[DateofTermination]]))</f>
        <v/>
      </c>
      <c r="AN184">
        <v>1</v>
      </c>
    </row>
    <row r="185" spans="1:40" x14ac:dyDescent="0.35">
      <c r="A185" t="s">
        <v>343</v>
      </c>
      <c r="B185">
        <v>10145</v>
      </c>
      <c r="C185">
        <v>1</v>
      </c>
      <c r="D185">
        <v>1</v>
      </c>
      <c r="E185">
        <v>0</v>
      </c>
      <c r="F185">
        <v>1</v>
      </c>
      <c r="G185">
        <v>5</v>
      </c>
      <c r="H185">
        <v>3</v>
      </c>
      <c r="I185">
        <v>0</v>
      </c>
      <c r="J185">
        <v>62810</v>
      </c>
      <c r="K185">
        <v>0</v>
      </c>
      <c r="L185">
        <v>19</v>
      </c>
      <c r="M185" t="s">
        <v>39</v>
      </c>
      <c r="N185" t="s">
        <v>40</v>
      </c>
      <c r="O185">
        <v>2184</v>
      </c>
      <c r="P185" s="9">
        <v>32106</v>
      </c>
      <c r="Q185" t="s">
        <v>41</v>
      </c>
      <c r="R185" t="s">
        <v>618</v>
      </c>
      <c r="S185" t="s">
        <v>55</v>
      </c>
      <c r="T185" t="s">
        <v>44</v>
      </c>
      <c r="U185" t="s">
        <v>45</v>
      </c>
      <c r="V185" t="s">
        <v>85</v>
      </c>
      <c r="W185" s="9">
        <v>41456</v>
      </c>
      <c r="X185" s="9"/>
      <c r="Y185" t="s">
        <v>47</v>
      </c>
      <c r="Z185" t="s">
        <v>48</v>
      </c>
      <c r="AA185" t="s">
        <v>495</v>
      </c>
      <c r="AB185" t="s">
        <v>66</v>
      </c>
      <c r="AC185" t="s">
        <v>508</v>
      </c>
      <c r="AD185" t="s">
        <v>61</v>
      </c>
      <c r="AE185">
        <v>3.93</v>
      </c>
      <c r="AF185">
        <v>3</v>
      </c>
      <c r="AG185">
        <v>0</v>
      </c>
      <c r="AH185" s="9">
        <v>43495</v>
      </c>
      <c r="AI185">
        <v>20</v>
      </c>
      <c r="AJ185">
        <v>32</v>
      </c>
      <c r="AK185">
        <v>6</v>
      </c>
      <c r="AL185">
        <v>20</v>
      </c>
      <c r="AM185" t="str">
        <f>IF(Cleaned_Data[[#This Row],[DateofTermination]]="","",YEAR(Cleaned_Data[[#This Row],[DateofTermination]]))</f>
        <v/>
      </c>
      <c r="AN185">
        <v>1</v>
      </c>
    </row>
    <row r="186" spans="1:40" x14ac:dyDescent="0.35">
      <c r="A186" t="s">
        <v>558</v>
      </c>
      <c r="B186">
        <v>10202</v>
      </c>
      <c r="C186">
        <v>1</v>
      </c>
      <c r="D186">
        <v>1</v>
      </c>
      <c r="E186">
        <v>1</v>
      </c>
      <c r="F186">
        <v>2</v>
      </c>
      <c r="G186">
        <v>6</v>
      </c>
      <c r="H186">
        <v>3</v>
      </c>
      <c r="I186">
        <v>0</v>
      </c>
      <c r="J186">
        <v>63291</v>
      </c>
      <c r="K186">
        <v>0</v>
      </c>
      <c r="L186">
        <v>3</v>
      </c>
      <c r="M186" t="s">
        <v>143</v>
      </c>
      <c r="N186" t="s">
        <v>100</v>
      </c>
      <c r="O186">
        <v>78789</v>
      </c>
      <c r="P186" s="9">
        <v>23314</v>
      </c>
      <c r="Q186" t="s">
        <v>96</v>
      </c>
      <c r="R186" t="s">
        <v>617</v>
      </c>
      <c r="S186" t="s">
        <v>55</v>
      </c>
      <c r="T186" t="s">
        <v>44</v>
      </c>
      <c r="U186" t="s">
        <v>45</v>
      </c>
      <c r="V186" t="s">
        <v>102</v>
      </c>
      <c r="W186" s="9">
        <v>42528</v>
      </c>
      <c r="X186" s="9"/>
      <c r="Y186" t="s">
        <v>47</v>
      </c>
      <c r="Z186" t="s">
        <v>48</v>
      </c>
      <c r="AA186" t="s">
        <v>145</v>
      </c>
      <c r="AB186" t="s">
        <v>164</v>
      </c>
      <c r="AC186" t="s">
        <v>205</v>
      </c>
      <c r="AD186" t="s">
        <v>61</v>
      </c>
      <c r="AE186">
        <v>3.4</v>
      </c>
      <c r="AF186">
        <v>4</v>
      </c>
      <c r="AG186">
        <v>0</v>
      </c>
      <c r="AH186" s="9">
        <v>43494</v>
      </c>
      <c r="AI186">
        <v>7</v>
      </c>
      <c r="AJ186">
        <v>56</v>
      </c>
      <c r="AK186">
        <v>4</v>
      </c>
      <c r="AL186">
        <v>21</v>
      </c>
      <c r="AM186" t="str">
        <f>IF(Cleaned_Data[[#This Row],[DateofTermination]]="","",YEAR(Cleaned_Data[[#This Row],[DateofTermination]]))</f>
        <v/>
      </c>
      <c r="AN186">
        <v>1</v>
      </c>
    </row>
    <row r="187" spans="1:40" x14ac:dyDescent="0.35">
      <c r="A187" t="s">
        <v>345</v>
      </c>
      <c r="B187">
        <v>10128</v>
      </c>
      <c r="C187">
        <v>0</v>
      </c>
      <c r="D187">
        <v>0</v>
      </c>
      <c r="E187">
        <v>0</v>
      </c>
      <c r="F187">
        <v>5</v>
      </c>
      <c r="G187">
        <v>5</v>
      </c>
      <c r="H187">
        <v>3</v>
      </c>
      <c r="I187">
        <v>1</v>
      </c>
      <c r="J187">
        <v>62659</v>
      </c>
      <c r="K187">
        <v>1</v>
      </c>
      <c r="L187">
        <v>19</v>
      </c>
      <c r="M187" t="s">
        <v>39</v>
      </c>
      <c r="N187" t="s">
        <v>40</v>
      </c>
      <c r="O187">
        <v>1760</v>
      </c>
      <c r="P187" s="9">
        <v>30910</v>
      </c>
      <c r="Q187" t="s">
        <v>41</v>
      </c>
      <c r="R187" t="s">
        <v>618</v>
      </c>
      <c r="S187" t="s">
        <v>43</v>
      </c>
      <c r="T187" t="s">
        <v>44</v>
      </c>
      <c r="U187" t="s">
        <v>45</v>
      </c>
      <c r="V187" t="s">
        <v>85</v>
      </c>
      <c r="W187" s="9">
        <v>40943</v>
      </c>
      <c r="X187" s="9">
        <v>42685</v>
      </c>
      <c r="Y187" t="s">
        <v>93</v>
      </c>
      <c r="Z187" t="s">
        <v>57</v>
      </c>
      <c r="AA187" t="s">
        <v>495</v>
      </c>
      <c r="AB187" t="s">
        <v>103</v>
      </c>
      <c r="AC187" t="s">
        <v>624</v>
      </c>
      <c r="AD187" t="s">
        <v>61</v>
      </c>
      <c r="AE187">
        <v>4.18</v>
      </c>
      <c r="AF187">
        <v>4</v>
      </c>
      <c r="AG187">
        <v>0</v>
      </c>
      <c r="AH187" s="9">
        <v>42492</v>
      </c>
      <c r="AI187">
        <v>17</v>
      </c>
      <c r="AJ187">
        <v>32</v>
      </c>
      <c r="AK187">
        <v>5</v>
      </c>
      <c r="AL187">
        <v>18</v>
      </c>
      <c r="AM187">
        <f>IF(Cleaned_Data[[#This Row],[DateofTermination]]="","",YEAR(Cleaned_Data[[#This Row],[DateofTermination]]))</f>
        <v>2016</v>
      </c>
      <c r="AN187">
        <v>1</v>
      </c>
    </row>
    <row r="188" spans="1:40" x14ac:dyDescent="0.35">
      <c r="A188" t="s">
        <v>346</v>
      </c>
      <c r="B188">
        <v>10068</v>
      </c>
      <c r="C188">
        <v>0</v>
      </c>
      <c r="D188">
        <v>0</v>
      </c>
      <c r="E188">
        <v>0</v>
      </c>
      <c r="F188">
        <v>1</v>
      </c>
      <c r="G188">
        <v>5</v>
      </c>
      <c r="H188">
        <v>3</v>
      </c>
      <c r="I188">
        <v>0</v>
      </c>
      <c r="J188">
        <v>55688</v>
      </c>
      <c r="K188">
        <v>0</v>
      </c>
      <c r="L188">
        <v>19</v>
      </c>
      <c r="M188" t="s">
        <v>39</v>
      </c>
      <c r="N188" t="s">
        <v>40</v>
      </c>
      <c r="O188">
        <v>2346</v>
      </c>
      <c r="P188" s="9">
        <v>31942</v>
      </c>
      <c r="Q188" t="s">
        <v>41</v>
      </c>
      <c r="R188" t="s">
        <v>618</v>
      </c>
      <c r="S188" t="s">
        <v>43</v>
      </c>
      <c r="T188" t="s">
        <v>44</v>
      </c>
      <c r="U188" t="s">
        <v>45</v>
      </c>
      <c r="V188" t="s">
        <v>46</v>
      </c>
      <c r="W188" s="9">
        <v>42093</v>
      </c>
      <c r="X188" s="9"/>
      <c r="Y188" t="s">
        <v>47</v>
      </c>
      <c r="Z188" t="s">
        <v>48</v>
      </c>
      <c r="AA188" t="s">
        <v>495</v>
      </c>
      <c r="AB188" t="s">
        <v>50</v>
      </c>
      <c r="AC188" t="s">
        <v>508</v>
      </c>
      <c r="AD188" t="s">
        <v>61</v>
      </c>
      <c r="AE188">
        <v>5</v>
      </c>
      <c r="AF188">
        <v>4</v>
      </c>
      <c r="AG188">
        <v>0</v>
      </c>
      <c r="AH188" s="9">
        <v>43486</v>
      </c>
      <c r="AI188">
        <v>10</v>
      </c>
      <c r="AJ188">
        <v>33</v>
      </c>
      <c r="AK188">
        <v>5</v>
      </c>
      <c r="AL188">
        <v>22</v>
      </c>
      <c r="AM188" t="str">
        <f>IF(Cleaned_Data[[#This Row],[DateofTermination]]="","",YEAR(Cleaned_Data[[#This Row],[DateofTermination]]))</f>
        <v/>
      </c>
      <c r="AN188">
        <v>1</v>
      </c>
    </row>
    <row r="189" spans="1:40" x14ac:dyDescent="0.35">
      <c r="A189" t="s">
        <v>347</v>
      </c>
      <c r="B189">
        <v>10116</v>
      </c>
      <c r="C189">
        <v>0</v>
      </c>
      <c r="D189">
        <v>0</v>
      </c>
      <c r="E189">
        <v>1</v>
      </c>
      <c r="F189">
        <v>1</v>
      </c>
      <c r="G189">
        <v>5</v>
      </c>
      <c r="H189">
        <v>3</v>
      </c>
      <c r="I189">
        <v>0</v>
      </c>
      <c r="J189">
        <v>83667</v>
      </c>
      <c r="K189">
        <v>0</v>
      </c>
      <c r="L189">
        <v>18</v>
      </c>
      <c r="M189" t="s">
        <v>133</v>
      </c>
      <c r="N189" t="s">
        <v>40</v>
      </c>
      <c r="O189">
        <v>2045</v>
      </c>
      <c r="P189" s="9">
        <v>25039</v>
      </c>
      <c r="Q189" t="s">
        <v>41</v>
      </c>
      <c r="R189" t="s">
        <v>617</v>
      </c>
      <c r="S189" t="s">
        <v>43</v>
      </c>
      <c r="T189" t="s">
        <v>44</v>
      </c>
      <c r="U189" t="s">
        <v>348</v>
      </c>
      <c r="V189" t="s">
        <v>349</v>
      </c>
      <c r="W189" s="9">
        <v>41137</v>
      </c>
      <c r="X189" s="9"/>
      <c r="Y189" t="s">
        <v>47</v>
      </c>
      <c r="Z189" t="s">
        <v>48</v>
      </c>
      <c r="AA189" t="s">
        <v>495</v>
      </c>
      <c r="AB189" t="s">
        <v>135</v>
      </c>
      <c r="AC189" t="s">
        <v>60</v>
      </c>
      <c r="AD189" t="s">
        <v>61</v>
      </c>
      <c r="AE189">
        <v>4.37</v>
      </c>
      <c r="AF189">
        <v>3</v>
      </c>
      <c r="AG189">
        <v>0</v>
      </c>
      <c r="AH189" s="9">
        <v>43479</v>
      </c>
      <c r="AI189">
        <v>2</v>
      </c>
      <c r="AJ189">
        <v>51</v>
      </c>
      <c r="AK189">
        <v>7</v>
      </c>
      <c r="AL189">
        <v>2</v>
      </c>
      <c r="AM189" t="str">
        <f>IF(Cleaned_Data[[#This Row],[DateofTermination]]="","",YEAR(Cleaned_Data[[#This Row],[DateofTermination]]))</f>
        <v/>
      </c>
      <c r="AN189">
        <v>1</v>
      </c>
    </row>
    <row r="190" spans="1:40" x14ac:dyDescent="0.35">
      <c r="A190" t="s">
        <v>350</v>
      </c>
      <c r="B190">
        <v>10298</v>
      </c>
      <c r="C190">
        <v>0</v>
      </c>
      <c r="D190">
        <v>0</v>
      </c>
      <c r="E190">
        <v>1</v>
      </c>
      <c r="F190">
        <v>5</v>
      </c>
      <c r="G190">
        <v>5</v>
      </c>
      <c r="H190">
        <v>1</v>
      </c>
      <c r="I190">
        <v>0</v>
      </c>
      <c r="J190">
        <v>55800</v>
      </c>
      <c r="K190">
        <v>1</v>
      </c>
      <c r="L190">
        <v>20</v>
      </c>
      <c r="M190" t="s">
        <v>500</v>
      </c>
      <c r="N190" t="s">
        <v>40</v>
      </c>
      <c r="O190">
        <v>2472</v>
      </c>
      <c r="P190" s="9">
        <v>27667</v>
      </c>
      <c r="Q190" t="s">
        <v>41</v>
      </c>
      <c r="R190" t="s">
        <v>617</v>
      </c>
      <c r="S190" t="s">
        <v>43</v>
      </c>
      <c r="T190" t="s">
        <v>44</v>
      </c>
      <c r="U190" t="s">
        <v>45</v>
      </c>
      <c r="V190" t="s">
        <v>46</v>
      </c>
      <c r="W190" s="9">
        <v>40770</v>
      </c>
      <c r="X190" s="9">
        <v>41738</v>
      </c>
      <c r="Y190" t="s">
        <v>97</v>
      </c>
      <c r="Z190" t="s">
        <v>57</v>
      </c>
      <c r="AA190" t="s">
        <v>495</v>
      </c>
      <c r="AB190" t="s">
        <v>86</v>
      </c>
      <c r="AC190" t="s">
        <v>496</v>
      </c>
      <c r="AD190" t="s">
        <v>195</v>
      </c>
      <c r="AE190">
        <v>3</v>
      </c>
      <c r="AF190">
        <v>2</v>
      </c>
      <c r="AG190">
        <v>0</v>
      </c>
      <c r="AH190" s="9">
        <v>41288</v>
      </c>
      <c r="AI190">
        <v>6</v>
      </c>
      <c r="AJ190">
        <v>39</v>
      </c>
      <c r="AK190">
        <v>3</v>
      </c>
      <c r="AL190">
        <v>12</v>
      </c>
      <c r="AM190">
        <f>IF(Cleaned_Data[[#This Row],[DateofTermination]]="","",YEAR(Cleaned_Data[[#This Row],[DateofTermination]]))</f>
        <v>2014</v>
      </c>
      <c r="AN190">
        <v>1</v>
      </c>
    </row>
    <row r="191" spans="1:40" x14ac:dyDescent="0.35">
      <c r="A191" t="s">
        <v>351</v>
      </c>
      <c r="B191">
        <v>10213</v>
      </c>
      <c r="C191">
        <v>1</v>
      </c>
      <c r="D191">
        <v>1</v>
      </c>
      <c r="E191">
        <v>1</v>
      </c>
      <c r="F191">
        <v>1</v>
      </c>
      <c r="G191">
        <v>5</v>
      </c>
      <c r="H191">
        <v>3</v>
      </c>
      <c r="I191">
        <v>0</v>
      </c>
      <c r="J191">
        <v>58207</v>
      </c>
      <c r="K191">
        <v>0</v>
      </c>
      <c r="L191">
        <v>20</v>
      </c>
      <c r="M191" t="s">
        <v>500</v>
      </c>
      <c r="N191" t="s">
        <v>40</v>
      </c>
      <c r="O191">
        <v>1450</v>
      </c>
      <c r="P191" s="9">
        <v>26749</v>
      </c>
      <c r="Q191" t="s">
        <v>41</v>
      </c>
      <c r="R191" t="s">
        <v>617</v>
      </c>
      <c r="S191" t="s">
        <v>55</v>
      </c>
      <c r="T191" t="s">
        <v>44</v>
      </c>
      <c r="U191" t="s">
        <v>45</v>
      </c>
      <c r="V191" t="s">
        <v>46</v>
      </c>
      <c r="W191" s="9">
        <v>40735</v>
      </c>
      <c r="X191" s="9"/>
      <c r="Y191" t="s">
        <v>47</v>
      </c>
      <c r="Z191" t="s">
        <v>48</v>
      </c>
      <c r="AA191" t="s">
        <v>495</v>
      </c>
      <c r="AB191" t="s">
        <v>94</v>
      </c>
      <c r="AC191" t="s">
        <v>496</v>
      </c>
      <c r="AD191" t="s">
        <v>61</v>
      </c>
      <c r="AE191">
        <v>3.7</v>
      </c>
      <c r="AF191">
        <v>3</v>
      </c>
      <c r="AG191">
        <v>0</v>
      </c>
      <c r="AH191" s="9">
        <v>43678</v>
      </c>
      <c r="AI191">
        <v>14</v>
      </c>
      <c r="AJ191">
        <v>47</v>
      </c>
      <c r="AK191">
        <v>8</v>
      </c>
      <c r="AL191">
        <v>14</v>
      </c>
      <c r="AM191" t="str">
        <f>IF(Cleaned_Data[[#This Row],[DateofTermination]]="","",YEAR(Cleaned_Data[[#This Row],[DateofTermination]]))</f>
        <v/>
      </c>
      <c r="AN191">
        <v>1</v>
      </c>
    </row>
    <row r="192" spans="1:40" x14ac:dyDescent="0.35">
      <c r="A192" t="s">
        <v>352</v>
      </c>
      <c r="B192">
        <v>10288</v>
      </c>
      <c r="C192">
        <v>1</v>
      </c>
      <c r="D192">
        <v>1</v>
      </c>
      <c r="E192">
        <v>1</v>
      </c>
      <c r="F192">
        <v>1</v>
      </c>
      <c r="G192">
        <v>3</v>
      </c>
      <c r="H192">
        <v>2</v>
      </c>
      <c r="I192">
        <v>1</v>
      </c>
      <c r="J192">
        <v>157000</v>
      </c>
      <c r="K192">
        <v>0</v>
      </c>
      <c r="L192">
        <v>13</v>
      </c>
      <c r="M192" t="s">
        <v>559</v>
      </c>
      <c r="N192" t="s">
        <v>40</v>
      </c>
      <c r="O192">
        <v>2134</v>
      </c>
      <c r="P192" s="9">
        <v>30188</v>
      </c>
      <c r="Q192" t="s">
        <v>41</v>
      </c>
      <c r="R192" t="s">
        <v>617</v>
      </c>
      <c r="S192" t="s">
        <v>55</v>
      </c>
      <c r="T192" t="s">
        <v>111</v>
      </c>
      <c r="U192" t="s">
        <v>92</v>
      </c>
      <c r="V192" t="s">
        <v>85</v>
      </c>
      <c r="W192" s="9">
        <v>40954</v>
      </c>
      <c r="X192" s="9"/>
      <c r="Y192" t="s">
        <v>47</v>
      </c>
      <c r="Z192" t="s">
        <v>48</v>
      </c>
      <c r="AA192" t="s">
        <v>499</v>
      </c>
      <c r="AB192" t="s">
        <v>151</v>
      </c>
      <c r="AC192" t="s">
        <v>624</v>
      </c>
      <c r="AD192" t="s">
        <v>122</v>
      </c>
      <c r="AE192">
        <v>2.39</v>
      </c>
      <c r="AF192">
        <v>3</v>
      </c>
      <c r="AG192">
        <v>6</v>
      </c>
      <c r="AH192" s="9">
        <v>43518</v>
      </c>
      <c r="AI192">
        <v>13</v>
      </c>
      <c r="AJ192">
        <v>37</v>
      </c>
      <c r="AK192">
        <v>8</v>
      </c>
      <c r="AL192">
        <v>5</v>
      </c>
      <c r="AM192" t="str">
        <f>IF(Cleaned_Data[[#This Row],[DateofTermination]]="","",YEAR(Cleaned_Data[[#This Row],[DateofTermination]]))</f>
        <v/>
      </c>
      <c r="AN192">
        <v>1</v>
      </c>
    </row>
    <row r="193" spans="1:40" x14ac:dyDescent="0.35">
      <c r="A193" t="s">
        <v>354</v>
      </c>
      <c r="B193">
        <v>10025</v>
      </c>
      <c r="C193">
        <v>0</v>
      </c>
      <c r="D193">
        <v>0</v>
      </c>
      <c r="E193">
        <v>0</v>
      </c>
      <c r="F193">
        <v>1</v>
      </c>
      <c r="G193">
        <v>5</v>
      </c>
      <c r="H193">
        <v>4</v>
      </c>
      <c r="I193">
        <v>0</v>
      </c>
      <c r="J193">
        <v>72460</v>
      </c>
      <c r="K193">
        <v>0</v>
      </c>
      <c r="L193">
        <v>20</v>
      </c>
      <c r="M193" t="s">
        <v>500</v>
      </c>
      <c r="N193" t="s">
        <v>40</v>
      </c>
      <c r="O193">
        <v>2126</v>
      </c>
      <c r="P193" s="9">
        <v>31120</v>
      </c>
      <c r="Q193" t="s">
        <v>41</v>
      </c>
      <c r="R193" t="s">
        <v>618</v>
      </c>
      <c r="S193" t="s">
        <v>43</v>
      </c>
      <c r="T193" t="s">
        <v>44</v>
      </c>
      <c r="U193" t="s">
        <v>45</v>
      </c>
      <c r="V193" t="s">
        <v>85</v>
      </c>
      <c r="W193" s="9">
        <v>41407</v>
      </c>
      <c r="X193" s="9"/>
      <c r="Y193" t="s">
        <v>47</v>
      </c>
      <c r="Z193" t="s">
        <v>48</v>
      </c>
      <c r="AA193" t="s">
        <v>495</v>
      </c>
      <c r="AB193" t="s">
        <v>66</v>
      </c>
      <c r="AC193" t="s">
        <v>60</v>
      </c>
      <c r="AD193" t="s">
        <v>52</v>
      </c>
      <c r="AE193">
        <v>4.7</v>
      </c>
      <c r="AF193">
        <v>3</v>
      </c>
      <c r="AG193">
        <v>0</v>
      </c>
      <c r="AH193" s="9">
        <v>43479</v>
      </c>
      <c r="AI193">
        <v>1</v>
      </c>
      <c r="AJ193">
        <v>35</v>
      </c>
      <c r="AK193">
        <v>7</v>
      </c>
      <c r="AL193">
        <v>20</v>
      </c>
      <c r="AM193" t="str">
        <f>IF(Cleaned_Data[[#This Row],[DateofTermination]]="","",YEAR(Cleaned_Data[[#This Row],[DateofTermination]]))</f>
        <v/>
      </c>
      <c r="AN193">
        <v>1</v>
      </c>
    </row>
    <row r="194" spans="1:40" x14ac:dyDescent="0.35">
      <c r="A194" t="s">
        <v>355</v>
      </c>
      <c r="B194">
        <v>10223</v>
      </c>
      <c r="C194">
        <v>0</v>
      </c>
      <c r="D194">
        <v>0</v>
      </c>
      <c r="E194">
        <v>1</v>
      </c>
      <c r="F194">
        <v>3</v>
      </c>
      <c r="G194">
        <v>5</v>
      </c>
      <c r="H194">
        <v>3</v>
      </c>
      <c r="I194">
        <v>1</v>
      </c>
      <c r="J194">
        <v>72106</v>
      </c>
      <c r="K194">
        <v>0</v>
      </c>
      <c r="L194">
        <v>20</v>
      </c>
      <c r="M194" t="s">
        <v>500</v>
      </c>
      <c r="N194" t="s">
        <v>40</v>
      </c>
      <c r="O194">
        <v>2127</v>
      </c>
      <c r="P194" s="9">
        <v>28577</v>
      </c>
      <c r="Q194" t="s">
        <v>41</v>
      </c>
      <c r="R194" t="s">
        <v>617</v>
      </c>
      <c r="S194" t="s">
        <v>43</v>
      </c>
      <c r="T194" t="s">
        <v>44</v>
      </c>
      <c r="U194" t="s">
        <v>45</v>
      </c>
      <c r="V194" t="s">
        <v>85</v>
      </c>
      <c r="W194" s="9">
        <v>41153</v>
      </c>
      <c r="X194" s="9"/>
      <c r="Y194" t="s">
        <v>47</v>
      </c>
      <c r="Z194" t="s">
        <v>48</v>
      </c>
      <c r="AA194" t="s">
        <v>495</v>
      </c>
      <c r="AB194" t="s">
        <v>103</v>
      </c>
      <c r="AC194" t="s">
        <v>624</v>
      </c>
      <c r="AD194" t="s">
        <v>61</v>
      </c>
      <c r="AE194">
        <v>4.0999999999999996</v>
      </c>
      <c r="AF194">
        <v>4</v>
      </c>
      <c r="AG194">
        <v>0</v>
      </c>
      <c r="AH194" s="9">
        <v>43496</v>
      </c>
      <c r="AI194">
        <v>12</v>
      </c>
      <c r="AJ194">
        <v>42</v>
      </c>
      <c r="AK194">
        <v>7</v>
      </c>
      <c r="AL194">
        <v>18</v>
      </c>
      <c r="AM194" t="str">
        <f>IF(Cleaned_Data[[#This Row],[DateofTermination]]="","",YEAR(Cleaned_Data[[#This Row],[DateofTermination]]))</f>
        <v/>
      </c>
      <c r="AN194">
        <v>1</v>
      </c>
    </row>
    <row r="195" spans="1:40" x14ac:dyDescent="0.35">
      <c r="A195" t="s">
        <v>356</v>
      </c>
      <c r="B195">
        <v>10151</v>
      </c>
      <c r="C195">
        <v>1</v>
      </c>
      <c r="D195">
        <v>1</v>
      </c>
      <c r="E195">
        <v>0</v>
      </c>
      <c r="F195">
        <v>1</v>
      </c>
      <c r="G195">
        <v>3</v>
      </c>
      <c r="H195">
        <v>3</v>
      </c>
      <c r="I195">
        <v>0</v>
      </c>
      <c r="J195">
        <v>52599</v>
      </c>
      <c r="K195">
        <v>0</v>
      </c>
      <c r="L195">
        <v>15</v>
      </c>
      <c r="M195" t="s">
        <v>229</v>
      </c>
      <c r="N195" t="s">
        <v>40</v>
      </c>
      <c r="O195">
        <v>2048</v>
      </c>
      <c r="P195" s="9">
        <v>25065</v>
      </c>
      <c r="Q195" t="s">
        <v>41</v>
      </c>
      <c r="R195" t="s">
        <v>618</v>
      </c>
      <c r="S195" t="s">
        <v>55</v>
      </c>
      <c r="T195" t="s">
        <v>44</v>
      </c>
      <c r="U195" t="s">
        <v>45</v>
      </c>
      <c r="V195" t="s">
        <v>46</v>
      </c>
      <c r="W195" s="9">
        <v>42051</v>
      </c>
      <c r="X195" s="9"/>
      <c r="Y195" t="s">
        <v>47</v>
      </c>
      <c r="Z195" t="s">
        <v>48</v>
      </c>
      <c r="AA195" t="s">
        <v>499</v>
      </c>
      <c r="AB195" t="s">
        <v>90</v>
      </c>
      <c r="AC195" t="s">
        <v>508</v>
      </c>
      <c r="AD195" t="s">
        <v>61</v>
      </c>
      <c r="AE195">
        <v>3.81</v>
      </c>
      <c r="AF195">
        <v>3</v>
      </c>
      <c r="AG195">
        <v>6</v>
      </c>
      <c r="AH195" s="9">
        <v>43771</v>
      </c>
      <c r="AI195">
        <v>6</v>
      </c>
      <c r="AJ195">
        <v>51</v>
      </c>
      <c r="AK195">
        <v>5</v>
      </c>
      <c r="AL195">
        <v>7</v>
      </c>
      <c r="AM195" t="str">
        <f>IF(Cleaned_Data[[#This Row],[DateofTermination]]="","",YEAR(Cleaned_Data[[#This Row],[DateofTermination]]))</f>
        <v/>
      </c>
      <c r="AN195">
        <v>1</v>
      </c>
    </row>
    <row r="196" spans="1:40" x14ac:dyDescent="0.35">
      <c r="A196" t="s">
        <v>357</v>
      </c>
      <c r="B196">
        <v>10254</v>
      </c>
      <c r="C196">
        <v>0</v>
      </c>
      <c r="D196">
        <v>2</v>
      </c>
      <c r="E196">
        <v>0</v>
      </c>
      <c r="F196">
        <v>1</v>
      </c>
      <c r="G196">
        <v>5</v>
      </c>
      <c r="H196">
        <v>3</v>
      </c>
      <c r="I196">
        <v>0</v>
      </c>
      <c r="J196">
        <v>63430</v>
      </c>
      <c r="K196">
        <v>0</v>
      </c>
      <c r="L196">
        <v>19</v>
      </c>
      <c r="M196" t="s">
        <v>39</v>
      </c>
      <c r="N196" t="s">
        <v>40</v>
      </c>
      <c r="O196">
        <v>2453</v>
      </c>
      <c r="P196" s="9">
        <v>32074</v>
      </c>
      <c r="Q196" t="s">
        <v>41</v>
      </c>
      <c r="R196" t="s">
        <v>618</v>
      </c>
      <c r="S196" t="s">
        <v>70</v>
      </c>
      <c r="T196" t="s">
        <v>44</v>
      </c>
      <c r="U196" t="s">
        <v>45</v>
      </c>
      <c r="V196" t="s">
        <v>46</v>
      </c>
      <c r="W196" s="9">
        <v>41278</v>
      </c>
      <c r="X196" s="9"/>
      <c r="Y196" t="s">
        <v>47</v>
      </c>
      <c r="Z196" t="s">
        <v>48</v>
      </c>
      <c r="AA196" t="s">
        <v>495</v>
      </c>
      <c r="AB196" t="s">
        <v>68</v>
      </c>
      <c r="AC196" t="s">
        <v>496</v>
      </c>
      <c r="AD196" t="s">
        <v>61</v>
      </c>
      <c r="AE196">
        <v>4.4000000000000004</v>
      </c>
      <c r="AF196">
        <v>4</v>
      </c>
      <c r="AG196">
        <v>0</v>
      </c>
      <c r="AH196" s="9">
        <v>43482</v>
      </c>
      <c r="AI196">
        <v>18</v>
      </c>
      <c r="AJ196">
        <v>32</v>
      </c>
      <c r="AK196">
        <v>7</v>
      </c>
      <c r="AL196">
        <v>16</v>
      </c>
      <c r="AM196" t="str">
        <f>IF(Cleaned_Data[[#This Row],[DateofTermination]]="","",YEAR(Cleaned_Data[[#This Row],[DateofTermination]]))</f>
        <v/>
      </c>
      <c r="AN196">
        <v>1</v>
      </c>
    </row>
    <row r="197" spans="1:40" x14ac:dyDescent="0.35">
      <c r="A197" t="s">
        <v>560</v>
      </c>
      <c r="B197">
        <v>10120</v>
      </c>
      <c r="C197">
        <v>0</v>
      </c>
      <c r="D197">
        <v>3</v>
      </c>
      <c r="E197">
        <v>1</v>
      </c>
      <c r="F197">
        <v>1</v>
      </c>
      <c r="G197">
        <v>5</v>
      </c>
      <c r="H197">
        <v>3</v>
      </c>
      <c r="I197">
        <v>0</v>
      </c>
      <c r="J197">
        <v>74417</v>
      </c>
      <c r="K197">
        <v>0</v>
      </c>
      <c r="L197">
        <v>20</v>
      </c>
      <c r="M197" t="s">
        <v>500</v>
      </c>
      <c r="N197" t="s">
        <v>40</v>
      </c>
      <c r="O197">
        <v>1460</v>
      </c>
      <c r="P197" s="9">
        <v>19503</v>
      </c>
      <c r="Q197" t="s">
        <v>96</v>
      </c>
      <c r="R197" t="s">
        <v>617</v>
      </c>
      <c r="S197" t="s">
        <v>141</v>
      </c>
      <c r="T197" t="s">
        <v>44</v>
      </c>
      <c r="U197" t="s">
        <v>45</v>
      </c>
      <c r="V197" t="s">
        <v>85</v>
      </c>
      <c r="W197" s="9">
        <v>41407</v>
      </c>
      <c r="X197" s="9"/>
      <c r="Y197" t="s">
        <v>47</v>
      </c>
      <c r="Z197" t="s">
        <v>48</v>
      </c>
      <c r="AA197" t="s">
        <v>495</v>
      </c>
      <c r="AB197" t="s">
        <v>50</v>
      </c>
      <c r="AC197" t="s">
        <v>496</v>
      </c>
      <c r="AD197" t="s">
        <v>61</v>
      </c>
      <c r="AE197">
        <v>4.29</v>
      </c>
      <c r="AF197">
        <v>5</v>
      </c>
      <c r="AG197">
        <v>0</v>
      </c>
      <c r="AH197" s="9">
        <v>43493</v>
      </c>
      <c r="AI197">
        <v>11</v>
      </c>
      <c r="AJ197">
        <v>67</v>
      </c>
      <c r="AK197">
        <v>7</v>
      </c>
      <c r="AL197">
        <v>22</v>
      </c>
      <c r="AM197" t="str">
        <f>IF(Cleaned_Data[[#This Row],[DateofTermination]]="","",YEAR(Cleaned_Data[[#This Row],[DateofTermination]]))</f>
        <v/>
      </c>
      <c r="AN197">
        <v>1</v>
      </c>
    </row>
    <row r="198" spans="1:40" x14ac:dyDescent="0.35">
      <c r="A198" t="s">
        <v>359</v>
      </c>
      <c r="B198">
        <v>10216</v>
      </c>
      <c r="C198">
        <v>0</v>
      </c>
      <c r="D198">
        <v>0</v>
      </c>
      <c r="E198">
        <v>1</v>
      </c>
      <c r="F198">
        <v>1</v>
      </c>
      <c r="G198">
        <v>5</v>
      </c>
      <c r="H198">
        <v>3</v>
      </c>
      <c r="I198">
        <v>0</v>
      </c>
      <c r="J198">
        <v>57575</v>
      </c>
      <c r="K198">
        <v>0</v>
      </c>
      <c r="L198">
        <v>19</v>
      </c>
      <c r="M198" t="s">
        <v>39</v>
      </c>
      <c r="N198" t="s">
        <v>40</v>
      </c>
      <c r="O198">
        <v>1550</v>
      </c>
      <c r="P198" s="9">
        <v>27653</v>
      </c>
      <c r="Q198" t="s">
        <v>41</v>
      </c>
      <c r="R198" t="s">
        <v>617</v>
      </c>
      <c r="S198" t="s">
        <v>43</v>
      </c>
      <c r="T198" t="s">
        <v>44</v>
      </c>
      <c r="U198" t="s">
        <v>45</v>
      </c>
      <c r="V198" t="s">
        <v>116</v>
      </c>
      <c r="W198" s="9">
        <v>41493</v>
      </c>
      <c r="X198" s="9"/>
      <c r="Y198" t="s">
        <v>47</v>
      </c>
      <c r="Z198" t="s">
        <v>48</v>
      </c>
      <c r="AA198" t="s">
        <v>495</v>
      </c>
      <c r="AB198" t="s">
        <v>66</v>
      </c>
      <c r="AC198" t="s">
        <v>496</v>
      </c>
      <c r="AD198" t="s">
        <v>61</v>
      </c>
      <c r="AE198">
        <v>4.0999999999999996</v>
      </c>
      <c r="AF198">
        <v>4</v>
      </c>
      <c r="AG198">
        <v>0</v>
      </c>
      <c r="AH198" s="9">
        <v>43487</v>
      </c>
      <c r="AI198">
        <v>13</v>
      </c>
      <c r="AJ198">
        <v>44</v>
      </c>
      <c r="AK198">
        <v>6</v>
      </c>
      <c r="AL198">
        <v>20</v>
      </c>
      <c r="AM198" t="str">
        <f>IF(Cleaned_Data[[#This Row],[DateofTermination]]="","",YEAR(Cleaned_Data[[#This Row],[DateofTermination]]))</f>
        <v/>
      </c>
      <c r="AN198">
        <v>1</v>
      </c>
    </row>
    <row r="199" spans="1:40" x14ac:dyDescent="0.35">
      <c r="A199" t="s">
        <v>360</v>
      </c>
      <c r="B199">
        <v>10079</v>
      </c>
      <c r="C199">
        <v>0</v>
      </c>
      <c r="D199">
        <v>0</v>
      </c>
      <c r="E199">
        <v>1</v>
      </c>
      <c r="F199">
        <v>1</v>
      </c>
      <c r="G199">
        <v>3</v>
      </c>
      <c r="H199">
        <v>3</v>
      </c>
      <c r="I199">
        <v>0</v>
      </c>
      <c r="J199">
        <v>87921</v>
      </c>
      <c r="K199">
        <v>0</v>
      </c>
      <c r="L199">
        <v>22</v>
      </c>
      <c r="M199" t="s">
        <v>551</v>
      </c>
      <c r="N199" t="s">
        <v>40</v>
      </c>
      <c r="O199">
        <v>2056</v>
      </c>
      <c r="P199" s="9">
        <v>24852</v>
      </c>
      <c r="Q199" t="s">
        <v>41</v>
      </c>
      <c r="R199" t="s">
        <v>617</v>
      </c>
      <c r="S199" t="s">
        <v>43</v>
      </c>
      <c r="T199" t="s">
        <v>44</v>
      </c>
      <c r="U199" t="s">
        <v>45</v>
      </c>
      <c r="V199" t="s">
        <v>116</v>
      </c>
      <c r="W199" s="9">
        <v>43010</v>
      </c>
      <c r="X199" s="9"/>
      <c r="Y199" t="s">
        <v>47</v>
      </c>
      <c r="Z199" t="s">
        <v>48</v>
      </c>
      <c r="AA199" t="s">
        <v>499</v>
      </c>
      <c r="AB199" t="s">
        <v>201</v>
      </c>
      <c r="AC199" t="s">
        <v>60</v>
      </c>
      <c r="AD199" t="s">
        <v>61</v>
      </c>
      <c r="AE199">
        <v>5</v>
      </c>
      <c r="AF199">
        <v>3</v>
      </c>
      <c r="AG199">
        <v>6</v>
      </c>
      <c r="AH199" s="9">
        <v>43521</v>
      </c>
      <c r="AI199">
        <v>17</v>
      </c>
      <c r="AJ199">
        <v>52</v>
      </c>
      <c r="AK199">
        <v>2</v>
      </c>
      <c r="AL199">
        <v>13</v>
      </c>
      <c r="AM199" t="str">
        <f>IF(Cleaned_Data[[#This Row],[DateofTermination]]="","",YEAR(Cleaned_Data[[#This Row],[DateofTermination]]))</f>
        <v/>
      </c>
      <c r="AN199">
        <v>1</v>
      </c>
    </row>
    <row r="200" spans="1:40" x14ac:dyDescent="0.35">
      <c r="A200" t="s">
        <v>361</v>
      </c>
      <c r="B200">
        <v>10215</v>
      </c>
      <c r="C200">
        <v>0</v>
      </c>
      <c r="D200">
        <v>0</v>
      </c>
      <c r="E200">
        <v>1</v>
      </c>
      <c r="F200">
        <v>5</v>
      </c>
      <c r="G200">
        <v>5</v>
      </c>
      <c r="H200">
        <v>3</v>
      </c>
      <c r="I200">
        <v>1</v>
      </c>
      <c r="J200">
        <v>50470</v>
      </c>
      <c r="K200">
        <v>1</v>
      </c>
      <c r="L200">
        <v>19</v>
      </c>
      <c r="M200" t="s">
        <v>39</v>
      </c>
      <c r="N200" t="s">
        <v>40</v>
      </c>
      <c r="O200">
        <v>2110</v>
      </c>
      <c r="P200" s="9">
        <v>30452</v>
      </c>
      <c r="Q200" t="s">
        <v>41</v>
      </c>
      <c r="R200" t="s">
        <v>617</v>
      </c>
      <c r="S200" t="s">
        <v>43</v>
      </c>
      <c r="T200" t="s">
        <v>44</v>
      </c>
      <c r="U200" t="s">
        <v>45</v>
      </c>
      <c r="V200" t="s">
        <v>85</v>
      </c>
      <c r="W200" s="9">
        <v>40812</v>
      </c>
      <c r="X200" s="9">
        <v>41733</v>
      </c>
      <c r="Y200" t="s">
        <v>71</v>
      </c>
      <c r="Z200" t="s">
        <v>57</v>
      </c>
      <c r="AA200" t="s">
        <v>495</v>
      </c>
      <c r="AB200" t="s">
        <v>72</v>
      </c>
      <c r="AC200" t="s">
        <v>624</v>
      </c>
      <c r="AD200" t="s">
        <v>61</v>
      </c>
      <c r="AE200">
        <v>4.3</v>
      </c>
      <c r="AF200">
        <v>3</v>
      </c>
      <c r="AG200">
        <v>0</v>
      </c>
      <c r="AH200" s="9">
        <v>41308</v>
      </c>
      <c r="AI200">
        <v>19</v>
      </c>
      <c r="AJ200">
        <v>31</v>
      </c>
      <c r="AK200">
        <v>3</v>
      </c>
      <c r="AL200">
        <v>39</v>
      </c>
      <c r="AM200">
        <f>IF(Cleaned_Data[[#This Row],[DateofTermination]]="","",YEAR(Cleaned_Data[[#This Row],[DateofTermination]]))</f>
        <v>2014</v>
      </c>
      <c r="AN200">
        <v>1</v>
      </c>
    </row>
    <row r="201" spans="1:40" x14ac:dyDescent="0.35">
      <c r="A201" t="s">
        <v>362</v>
      </c>
      <c r="B201">
        <v>10185</v>
      </c>
      <c r="C201">
        <v>1</v>
      </c>
      <c r="D201">
        <v>1</v>
      </c>
      <c r="E201">
        <v>1</v>
      </c>
      <c r="F201">
        <v>5</v>
      </c>
      <c r="G201">
        <v>5</v>
      </c>
      <c r="H201">
        <v>3</v>
      </c>
      <c r="I201">
        <v>0</v>
      </c>
      <c r="J201">
        <v>46664</v>
      </c>
      <c r="K201">
        <v>1</v>
      </c>
      <c r="L201">
        <v>19</v>
      </c>
      <c r="M201" t="s">
        <v>39</v>
      </c>
      <c r="N201" t="s">
        <v>40</v>
      </c>
      <c r="O201">
        <v>2421</v>
      </c>
      <c r="P201" s="9">
        <v>30481</v>
      </c>
      <c r="Q201" t="s">
        <v>41</v>
      </c>
      <c r="R201" t="s">
        <v>617</v>
      </c>
      <c r="S201" t="s">
        <v>55</v>
      </c>
      <c r="T201" t="s">
        <v>44</v>
      </c>
      <c r="U201" t="s">
        <v>45</v>
      </c>
      <c r="V201" t="s">
        <v>46</v>
      </c>
      <c r="W201" s="9">
        <v>41278</v>
      </c>
      <c r="X201" s="9">
        <v>42515</v>
      </c>
      <c r="Y201" t="s">
        <v>197</v>
      </c>
      <c r="Z201" t="s">
        <v>57</v>
      </c>
      <c r="AA201" t="s">
        <v>495</v>
      </c>
      <c r="AB201" t="s">
        <v>75</v>
      </c>
      <c r="AC201" t="s">
        <v>625</v>
      </c>
      <c r="AD201" t="s">
        <v>61</v>
      </c>
      <c r="AE201">
        <v>3.18</v>
      </c>
      <c r="AF201">
        <v>3</v>
      </c>
      <c r="AG201">
        <v>0</v>
      </c>
      <c r="AH201" s="9">
        <v>42524</v>
      </c>
      <c r="AI201">
        <v>10</v>
      </c>
      <c r="AJ201">
        <v>33</v>
      </c>
      <c r="AK201">
        <v>3</v>
      </c>
      <c r="AL201">
        <v>11</v>
      </c>
      <c r="AM201">
        <f>IF(Cleaned_Data[[#This Row],[DateofTermination]]="","",YEAR(Cleaned_Data[[#This Row],[DateofTermination]]))</f>
        <v>2016</v>
      </c>
      <c r="AN201">
        <v>1</v>
      </c>
    </row>
    <row r="202" spans="1:40" x14ac:dyDescent="0.35">
      <c r="A202" t="s">
        <v>561</v>
      </c>
      <c r="B202">
        <v>10063</v>
      </c>
      <c r="C202">
        <v>1</v>
      </c>
      <c r="D202">
        <v>1</v>
      </c>
      <c r="E202">
        <v>1</v>
      </c>
      <c r="F202">
        <v>3</v>
      </c>
      <c r="G202">
        <v>5</v>
      </c>
      <c r="H202">
        <v>3</v>
      </c>
      <c r="I202">
        <v>0</v>
      </c>
      <c r="J202">
        <v>48495</v>
      </c>
      <c r="K202">
        <v>0</v>
      </c>
      <c r="L202">
        <v>19</v>
      </c>
      <c r="M202" t="s">
        <v>39</v>
      </c>
      <c r="N202" t="s">
        <v>40</v>
      </c>
      <c r="O202">
        <v>2136</v>
      </c>
      <c r="P202" s="9">
        <v>31121</v>
      </c>
      <c r="Q202" t="s">
        <v>41</v>
      </c>
      <c r="R202" t="s">
        <v>617</v>
      </c>
      <c r="S202" t="s">
        <v>55</v>
      </c>
      <c r="T202" t="s">
        <v>44</v>
      </c>
      <c r="U202" t="s">
        <v>45</v>
      </c>
      <c r="V202" t="s">
        <v>46</v>
      </c>
      <c r="W202" s="9">
        <v>41978</v>
      </c>
      <c r="X202" s="9"/>
      <c r="Y202" t="s">
        <v>47</v>
      </c>
      <c r="Z202" t="s">
        <v>48</v>
      </c>
      <c r="AA202" t="s">
        <v>495</v>
      </c>
      <c r="AB202" t="s">
        <v>82</v>
      </c>
      <c r="AC202" t="s">
        <v>496</v>
      </c>
      <c r="AD202" t="s">
        <v>61</v>
      </c>
      <c r="AE202">
        <v>5</v>
      </c>
      <c r="AF202">
        <v>5</v>
      </c>
      <c r="AG202">
        <v>0</v>
      </c>
      <c r="AH202" s="9">
        <v>43514</v>
      </c>
      <c r="AI202">
        <v>11</v>
      </c>
      <c r="AJ202">
        <v>35</v>
      </c>
      <c r="AK202">
        <v>5</v>
      </c>
      <c r="AL202">
        <v>19</v>
      </c>
      <c r="AM202" t="str">
        <f>IF(Cleaned_Data[[#This Row],[DateofTermination]]="","",YEAR(Cleaned_Data[[#This Row],[DateofTermination]]))</f>
        <v/>
      </c>
      <c r="AN202">
        <v>1</v>
      </c>
    </row>
    <row r="203" spans="1:40" x14ac:dyDescent="0.35">
      <c r="A203" t="s">
        <v>562</v>
      </c>
      <c r="B203">
        <v>10037</v>
      </c>
      <c r="C203">
        <v>0</v>
      </c>
      <c r="D203">
        <v>3</v>
      </c>
      <c r="E203">
        <v>0</v>
      </c>
      <c r="F203">
        <v>1</v>
      </c>
      <c r="G203">
        <v>5</v>
      </c>
      <c r="H203">
        <v>4</v>
      </c>
      <c r="I203">
        <v>1</v>
      </c>
      <c r="J203">
        <v>52984</v>
      </c>
      <c r="K203">
        <v>0</v>
      </c>
      <c r="L203">
        <v>19</v>
      </c>
      <c r="M203" t="s">
        <v>39</v>
      </c>
      <c r="N203" t="s">
        <v>40</v>
      </c>
      <c r="O203">
        <v>1810</v>
      </c>
      <c r="P203" s="9">
        <v>25293</v>
      </c>
      <c r="Q203" t="s">
        <v>41</v>
      </c>
      <c r="R203" t="s">
        <v>618</v>
      </c>
      <c r="S203" t="s">
        <v>141</v>
      </c>
      <c r="T203" t="s">
        <v>44</v>
      </c>
      <c r="U203" t="s">
        <v>45</v>
      </c>
      <c r="V203" t="s">
        <v>85</v>
      </c>
      <c r="W203" s="9">
        <v>41278</v>
      </c>
      <c r="X203" s="9"/>
      <c r="Y203" t="s">
        <v>47</v>
      </c>
      <c r="Z203" t="s">
        <v>48</v>
      </c>
      <c r="AA203" t="s">
        <v>495</v>
      </c>
      <c r="AB203" t="s">
        <v>86</v>
      </c>
      <c r="AC203" t="s">
        <v>624</v>
      </c>
      <c r="AD203" t="s">
        <v>52</v>
      </c>
      <c r="AE203">
        <v>4</v>
      </c>
      <c r="AF203">
        <v>3</v>
      </c>
      <c r="AG203">
        <v>0</v>
      </c>
      <c r="AH203" s="9">
        <v>43509</v>
      </c>
      <c r="AI203">
        <v>12</v>
      </c>
      <c r="AJ203">
        <v>51</v>
      </c>
      <c r="AK203">
        <v>7</v>
      </c>
      <c r="AL203">
        <v>12</v>
      </c>
      <c r="AM203" t="str">
        <f>IF(Cleaned_Data[[#This Row],[DateofTermination]]="","",YEAR(Cleaned_Data[[#This Row],[DateofTermination]]))</f>
        <v/>
      </c>
      <c r="AN203">
        <v>1</v>
      </c>
    </row>
    <row r="204" spans="1:40" x14ac:dyDescent="0.35">
      <c r="A204" t="s">
        <v>365</v>
      </c>
      <c r="B204">
        <v>10042</v>
      </c>
      <c r="C204">
        <v>0</v>
      </c>
      <c r="D204">
        <v>0</v>
      </c>
      <c r="E204">
        <v>0</v>
      </c>
      <c r="F204">
        <v>1</v>
      </c>
      <c r="G204">
        <v>6</v>
      </c>
      <c r="H204">
        <v>3</v>
      </c>
      <c r="I204">
        <v>0</v>
      </c>
      <c r="J204">
        <v>63695</v>
      </c>
      <c r="K204">
        <v>0</v>
      </c>
      <c r="L204">
        <v>3</v>
      </c>
      <c r="M204" t="s">
        <v>143</v>
      </c>
      <c r="N204" t="s">
        <v>366</v>
      </c>
      <c r="O204">
        <v>30428</v>
      </c>
      <c r="P204" s="9">
        <v>33381</v>
      </c>
      <c r="Q204" t="s">
        <v>41</v>
      </c>
      <c r="R204" t="s">
        <v>618</v>
      </c>
      <c r="S204" t="s">
        <v>43</v>
      </c>
      <c r="T204" t="s">
        <v>44</v>
      </c>
      <c r="U204" t="s">
        <v>45</v>
      </c>
      <c r="V204" t="s">
        <v>102</v>
      </c>
      <c r="W204" s="9">
        <v>41493</v>
      </c>
      <c r="X204" s="9"/>
      <c r="Y204" t="s">
        <v>47</v>
      </c>
      <c r="Z204" t="s">
        <v>48</v>
      </c>
      <c r="AA204" t="s">
        <v>145</v>
      </c>
      <c r="AB204" t="s">
        <v>164</v>
      </c>
      <c r="AC204" t="s">
        <v>60</v>
      </c>
      <c r="AD204" t="s">
        <v>61</v>
      </c>
      <c r="AE204">
        <v>5</v>
      </c>
      <c r="AF204">
        <v>5</v>
      </c>
      <c r="AG204">
        <v>0</v>
      </c>
      <c r="AH204" s="9">
        <v>43490</v>
      </c>
      <c r="AI204">
        <v>2</v>
      </c>
      <c r="AJ204">
        <v>29</v>
      </c>
      <c r="AK204">
        <v>6</v>
      </c>
      <c r="AL204">
        <v>21</v>
      </c>
      <c r="AM204" t="str">
        <f>IF(Cleaned_Data[[#This Row],[DateofTermination]]="","",YEAR(Cleaned_Data[[#This Row],[DateofTermination]]))</f>
        <v/>
      </c>
      <c r="AN204">
        <v>1</v>
      </c>
    </row>
    <row r="205" spans="1:40" x14ac:dyDescent="0.35">
      <c r="A205" t="s">
        <v>367</v>
      </c>
      <c r="B205">
        <v>10206</v>
      </c>
      <c r="C205">
        <v>0</v>
      </c>
      <c r="D205">
        <v>0</v>
      </c>
      <c r="E205">
        <v>0</v>
      </c>
      <c r="F205">
        <v>1</v>
      </c>
      <c r="G205">
        <v>5</v>
      </c>
      <c r="H205">
        <v>3</v>
      </c>
      <c r="I205">
        <v>0</v>
      </c>
      <c r="J205">
        <v>62061</v>
      </c>
      <c r="K205">
        <v>0</v>
      </c>
      <c r="L205">
        <v>19</v>
      </c>
      <c r="M205" t="s">
        <v>39</v>
      </c>
      <c r="N205" t="s">
        <v>40</v>
      </c>
      <c r="O205">
        <v>2132</v>
      </c>
      <c r="P205" s="9">
        <v>31808</v>
      </c>
      <c r="Q205" t="s">
        <v>41</v>
      </c>
      <c r="R205" t="s">
        <v>618</v>
      </c>
      <c r="S205" t="s">
        <v>43</v>
      </c>
      <c r="T205" t="s">
        <v>44</v>
      </c>
      <c r="U205" t="s">
        <v>45</v>
      </c>
      <c r="V205" t="s">
        <v>46</v>
      </c>
      <c r="W205" s="9">
        <v>41493</v>
      </c>
      <c r="X205" s="9"/>
      <c r="Y205" t="s">
        <v>47</v>
      </c>
      <c r="Z205" t="s">
        <v>48</v>
      </c>
      <c r="AA205" t="s">
        <v>495</v>
      </c>
      <c r="AB205" t="s">
        <v>94</v>
      </c>
      <c r="AC205" t="s">
        <v>496</v>
      </c>
      <c r="AD205" t="s">
        <v>61</v>
      </c>
      <c r="AE205">
        <v>3.6</v>
      </c>
      <c r="AF205">
        <v>5</v>
      </c>
      <c r="AG205">
        <v>0</v>
      </c>
      <c r="AH205" s="9">
        <v>43497</v>
      </c>
      <c r="AI205">
        <v>4</v>
      </c>
      <c r="AJ205">
        <v>33</v>
      </c>
      <c r="AK205">
        <v>6</v>
      </c>
      <c r="AL205">
        <v>14</v>
      </c>
      <c r="AM205" t="str">
        <f>IF(Cleaned_Data[[#This Row],[DateofTermination]]="","",YEAR(Cleaned_Data[[#This Row],[DateofTermination]]))</f>
        <v/>
      </c>
      <c r="AN205">
        <v>1</v>
      </c>
    </row>
    <row r="206" spans="1:40" x14ac:dyDescent="0.35">
      <c r="A206" t="s">
        <v>368</v>
      </c>
      <c r="B206">
        <v>10104</v>
      </c>
      <c r="C206">
        <v>0</v>
      </c>
      <c r="D206">
        <v>0</v>
      </c>
      <c r="E206">
        <v>0</v>
      </c>
      <c r="F206">
        <v>1</v>
      </c>
      <c r="G206">
        <v>5</v>
      </c>
      <c r="H206">
        <v>3</v>
      </c>
      <c r="I206">
        <v>0</v>
      </c>
      <c r="J206">
        <v>66738</v>
      </c>
      <c r="K206">
        <v>0</v>
      </c>
      <c r="L206">
        <v>20</v>
      </c>
      <c r="M206" t="s">
        <v>500</v>
      </c>
      <c r="N206" t="s">
        <v>40</v>
      </c>
      <c r="O206">
        <v>1040</v>
      </c>
      <c r="P206" s="9">
        <v>20407</v>
      </c>
      <c r="Q206" t="s">
        <v>96</v>
      </c>
      <c r="R206" t="s">
        <v>618</v>
      </c>
      <c r="S206" t="s">
        <v>43</v>
      </c>
      <c r="T206" t="s">
        <v>44</v>
      </c>
      <c r="U206" t="s">
        <v>45</v>
      </c>
      <c r="V206" t="s">
        <v>46</v>
      </c>
      <c r="W206" s="9">
        <v>41923</v>
      </c>
      <c r="X206" s="9"/>
      <c r="Y206" t="s">
        <v>47</v>
      </c>
      <c r="Z206" t="s">
        <v>48</v>
      </c>
      <c r="AA206" t="s">
        <v>495</v>
      </c>
      <c r="AB206" t="s">
        <v>68</v>
      </c>
      <c r="AC206" t="s">
        <v>60</v>
      </c>
      <c r="AD206" t="s">
        <v>61</v>
      </c>
      <c r="AE206">
        <v>4.53</v>
      </c>
      <c r="AF206">
        <v>5</v>
      </c>
      <c r="AG206">
        <v>0</v>
      </c>
      <c r="AH206" s="9">
        <v>43481</v>
      </c>
      <c r="AI206">
        <v>5</v>
      </c>
      <c r="AJ206">
        <v>64</v>
      </c>
      <c r="AK206">
        <v>5</v>
      </c>
      <c r="AL206">
        <v>16</v>
      </c>
      <c r="AM206" t="str">
        <f>IF(Cleaned_Data[[#This Row],[DateofTermination]]="","",YEAR(Cleaned_Data[[#This Row],[DateofTermination]]))</f>
        <v/>
      </c>
      <c r="AN206">
        <v>1</v>
      </c>
    </row>
    <row r="207" spans="1:40" x14ac:dyDescent="0.35">
      <c r="A207" t="s">
        <v>563</v>
      </c>
      <c r="B207">
        <v>10303</v>
      </c>
      <c r="C207">
        <v>0</v>
      </c>
      <c r="D207">
        <v>0</v>
      </c>
      <c r="E207">
        <v>0</v>
      </c>
      <c r="F207">
        <v>4</v>
      </c>
      <c r="G207">
        <v>5</v>
      </c>
      <c r="H207">
        <v>1</v>
      </c>
      <c r="I207">
        <v>0</v>
      </c>
      <c r="J207">
        <v>52674</v>
      </c>
      <c r="K207">
        <v>1</v>
      </c>
      <c r="L207">
        <v>19</v>
      </c>
      <c r="M207" t="s">
        <v>39</v>
      </c>
      <c r="N207" t="s">
        <v>40</v>
      </c>
      <c r="O207">
        <v>2152</v>
      </c>
      <c r="P207" s="9">
        <v>31921</v>
      </c>
      <c r="Q207" t="s">
        <v>41</v>
      </c>
      <c r="R207" t="s">
        <v>618</v>
      </c>
      <c r="S207" t="s">
        <v>43</v>
      </c>
      <c r="T207" t="s">
        <v>44</v>
      </c>
      <c r="U207" t="s">
        <v>45</v>
      </c>
      <c r="V207" t="s">
        <v>102</v>
      </c>
      <c r="W207" s="9">
        <v>41729</v>
      </c>
      <c r="X207" s="9">
        <v>43105</v>
      </c>
      <c r="Y207" t="s">
        <v>114</v>
      </c>
      <c r="Z207" t="s">
        <v>108</v>
      </c>
      <c r="AA207" t="s">
        <v>495</v>
      </c>
      <c r="AB207" t="s">
        <v>66</v>
      </c>
      <c r="AC207" t="s">
        <v>496</v>
      </c>
      <c r="AD207" t="s">
        <v>195</v>
      </c>
      <c r="AE207">
        <v>2.33</v>
      </c>
      <c r="AF207">
        <v>2</v>
      </c>
      <c r="AG207">
        <v>0</v>
      </c>
      <c r="AH207" s="9">
        <v>43346</v>
      </c>
      <c r="AI207">
        <v>3</v>
      </c>
      <c r="AJ207">
        <v>31</v>
      </c>
      <c r="AK207">
        <v>4</v>
      </c>
      <c r="AL207">
        <v>20</v>
      </c>
      <c r="AM207">
        <f>IF(Cleaned_Data[[#This Row],[DateofTermination]]="","",YEAR(Cleaned_Data[[#This Row],[DateofTermination]]))</f>
        <v>2018</v>
      </c>
      <c r="AN207">
        <v>1</v>
      </c>
    </row>
    <row r="208" spans="1:40" x14ac:dyDescent="0.35">
      <c r="A208" t="s">
        <v>564</v>
      </c>
      <c r="B208">
        <v>10078</v>
      </c>
      <c r="C208">
        <v>1</v>
      </c>
      <c r="D208">
        <v>1</v>
      </c>
      <c r="E208">
        <v>0</v>
      </c>
      <c r="F208">
        <v>5</v>
      </c>
      <c r="G208">
        <v>5</v>
      </c>
      <c r="H208">
        <v>3</v>
      </c>
      <c r="I208">
        <v>0</v>
      </c>
      <c r="J208">
        <v>71966</v>
      </c>
      <c r="K208">
        <v>1</v>
      </c>
      <c r="L208">
        <v>20</v>
      </c>
      <c r="M208" t="s">
        <v>500</v>
      </c>
      <c r="N208" t="s">
        <v>40</v>
      </c>
      <c r="O208">
        <v>2492</v>
      </c>
      <c r="P208" s="9">
        <v>30527</v>
      </c>
      <c r="Q208" t="s">
        <v>41</v>
      </c>
      <c r="R208" t="s">
        <v>618</v>
      </c>
      <c r="S208" t="s">
        <v>55</v>
      </c>
      <c r="T208" t="s">
        <v>44</v>
      </c>
      <c r="U208" t="s">
        <v>45</v>
      </c>
      <c r="V208" t="s">
        <v>116</v>
      </c>
      <c r="W208" s="9">
        <v>40677</v>
      </c>
      <c r="X208" s="9">
        <v>41505</v>
      </c>
      <c r="Y208" t="s">
        <v>97</v>
      </c>
      <c r="Z208" t="s">
        <v>57</v>
      </c>
      <c r="AA208" t="s">
        <v>495</v>
      </c>
      <c r="AB208" t="s">
        <v>72</v>
      </c>
      <c r="AC208" t="s">
        <v>496</v>
      </c>
      <c r="AD208" t="s">
        <v>61</v>
      </c>
      <c r="AE208">
        <v>5</v>
      </c>
      <c r="AF208">
        <v>3</v>
      </c>
      <c r="AG208">
        <v>0</v>
      </c>
      <c r="AH208" s="9">
        <v>41312</v>
      </c>
      <c r="AI208">
        <v>17</v>
      </c>
      <c r="AJ208">
        <v>30</v>
      </c>
      <c r="AK208">
        <v>2</v>
      </c>
      <c r="AL208">
        <v>39</v>
      </c>
      <c r="AM208">
        <f>IF(Cleaned_Data[[#This Row],[DateofTermination]]="","",YEAR(Cleaned_Data[[#This Row],[DateofTermination]]))</f>
        <v>2013</v>
      </c>
      <c r="AN208">
        <v>1</v>
      </c>
    </row>
    <row r="209" spans="1:40" x14ac:dyDescent="0.35">
      <c r="A209" t="s">
        <v>371</v>
      </c>
      <c r="B209">
        <v>10121</v>
      </c>
      <c r="C209">
        <v>0</v>
      </c>
      <c r="D209">
        <v>0</v>
      </c>
      <c r="E209">
        <v>0</v>
      </c>
      <c r="F209">
        <v>1</v>
      </c>
      <c r="G209">
        <v>6</v>
      </c>
      <c r="H209">
        <v>3</v>
      </c>
      <c r="I209">
        <v>0</v>
      </c>
      <c r="J209">
        <v>63051</v>
      </c>
      <c r="K209">
        <v>0</v>
      </c>
      <c r="L209">
        <v>3</v>
      </c>
      <c r="M209" t="s">
        <v>143</v>
      </c>
      <c r="N209" t="s">
        <v>372</v>
      </c>
      <c r="O209">
        <v>33174</v>
      </c>
      <c r="P209" s="9">
        <v>31157</v>
      </c>
      <c r="Q209" t="s">
        <v>41</v>
      </c>
      <c r="R209" t="s">
        <v>618</v>
      </c>
      <c r="S209" t="s">
        <v>43</v>
      </c>
      <c r="T209" t="s">
        <v>44</v>
      </c>
      <c r="U209" t="s">
        <v>92</v>
      </c>
      <c r="V209" t="s">
        <v>46</v>
      </c>
      <c r="W209" s="9">
        <v>41547</v>
      </c>
      <c r="X209" s="9"/>
      <c r="Y209" t="s">
        <v>47</v>
      </c>
      <c r="Z209" t="s">
        <v>48</v>
      </c>
      <c r="AA209" t="s">
        <v>145</v>
      </c>
      <c r="AB209" t="s">
        <v>164</v>
      </c>
      <c r="AC209" t="s">
        <v>60</v>
      </c>
      <c r="AD209" t="s">
        <v>61</v>
      </c>
      <c r="AE209">
        <v>4.28</v>
      </c>
      <c r="AF209">
        <v>3</v>
      </c>
      <c r="AG209">
        <v>0</v>
      </c>
      <c r="AH209" s="9">
        <v>43490</v>
      </c>
      <c r="AI209">
        <v>1</v>
      </c>
      <c r="AJ209">
        <v>35</v>
      </c>
      <c r="AK209">
        <v>6</v>
      </c>
      <c r="AL209">
        <v>21</v>
      </c>
      <c r="AM209" t="str">
        <f>IF(Cleaned_Data[[#This Row],[DateofTermination]]="","",YEAR(Cleaned_Data[[#This Row],[DateofTermination]]))</f>
        <v/>
      </c>
      <c r="AN209">
        <v>1</v>
      </c>
    </row>
    <row r="210" spans="1:40" x14ac:dyDescent="0.35">
      <c r="A210" t="s">
        <v>373</v>
      </c>
      <c r="B210">
        <v>10021</v>
      </c>
      <c r="C210">
        <v>1</v>
      </c>
      <c r="D210">
        <v>1</v>
      </c>
      <c r="E210">
        <v>1</v>
      </c>
      <c r="F210">
        <v>1</v>
      </c>
      <c r="G210">
        <v>5</v>
      </c>
      <c r="H210">
        <v>4</v>
      </c>
      <c r="I210">
        <v>0</v>
      </c>
      <c r="J210">
        <v>47414</v>
      </c>
      <c r="K210">
        <v>0</v>
      </c>
      <c r="L210">
        <v>19</v>
      </c>
      <c r="M210" t="s">
        <v>39</v>
      </c>
      <c r="N210" t="s">
        <v>40</v>
      </c>
      <c r="O210">
        <v>2478</v>
      </c>
      <c r="P210" s="9">
        <v>29097</v>
      </c>
      <c r="Q210" t="s">
        <v>41</v>
      </c>
      <c r="R210" t="s">
        <v>617</v>
      </c>
      <c r="S210" t="s">
        <v>55</v>
      </c>
      <c r="T210" t="s">
        <v>44</v>
      </c>
      <c r="U210" t="s">
        <v>45</v>
      </c>
      <c r="V210" t="s">
        <v>46</v>
      </c>
      <c r="W210" s="9">
        <v>41547</v>
      </c>
      <c r="X210" s="9"/>
      <c r="Y210" t="s">
        <v>47</v>
      </c>
      <c r="Z210" t="s">
        <v>48</v>
      </c>
      <c r="AA210" t="s">
        <v>495</v>
      </c>
      <c r="AB210" t="s">
        <v>103</v>
      </c>
      <c r="AC210" t="s">
        <v>496</v>
      </c>
      <c r="AD210" t="s">
        <v>52</v>
      </c>
      <c r="AE210">
        <v>5</v>
      </c>
      <c r="AF210">
        <v>3</v>
      </c>
      <c r="AG210">
        <v>0</v>
      </c>
      <c r="AH210" s="9">
        <v>43648</v>
      </c>
      <c r="AI210">
        <v>13</v>
      </c>
      <c r="AJ210">
        <v>40</v>
      </c>
      <c r="AK210">
        <v>6</v>
      </c>
      <c r="AL210">
        <v>18</v>
      </c>
      <c r="AM210" t="str">
        <f>IF(Cleaned_Data[[#This Row],[DateofTermination]]="","",YEAR(Cleaned_Data[[#This Row],[DateofTermination]]))</f>
        <v/>
      </c>
      <c r="AN210">
        <v>1</v>
      </c>
    </row>
    <row r="211" spans="1:40" x14ac:dyDescent="0.35">
      <c r="A211" t="s">
        <v>374</v>
      </c>
      <c r="B211">
        <v>10281</v>
      </c>
      <c r="C211">
        <v>0</v>
      </c>
      <c r="D211">
        <v>0</v>
      </c>
      <c r="E211">
        <v>1</v>
      </c>
      <c r="F211">
        <v>1</v>
      </c>
      <c r="G211">
        <v>5</v>
      </c>
      <c r="H211">
        <v>2</v>
      </c>
      <c r="I211">
        <v>0</v>
      </c>
      <c r="J211">
        <v>53060</v>
      </c>
      <c r="K211">
        <v>0</v>
      </c>
      <c r="L211">
        <v>19</v>
      </c>
      <c r="M211" t="s">
        <v>39</v>
      </c>
      <c r="N211" t="s">
        <v>40</v>
      </c>
      <c r="O211">
        <v>1760</v>
      </c>
      <c r="P211" s="9">
        <v>28910</v>
      </c>
      <c r="Q211" t="s">
        <v>41</v>
      </c>
      <c r="R211" t="s">
        <v>617</v>
      </c>
      <c r="S211" t="s">
        <v>43</v>
      </c>
      <c r="T211" t="s">
        <v>44</v>
      </c>
      <c r="U211" t="s">
        <v>45</v>
      </c>
      <c r="V211" t="s">
        <v>85</v>
      </c>
      <c r="W211" s="9">
        <v>41687</v>
      </c>
      <c r="X211" s="9"/>
      <c r="Y211" t="s">
        <v>47</v>
      </c>
      <c r="Z211" t="s">
        <v>48</v>
      </c>
      <c r="AA211" t="s">
        <v>495</v>
      </c>
      <c r="AB211" t="s">
        <v>50</v>
      </c>
      <c r="AC211" t="s">
        <v>496</v>
      </c>
      <c r="AD211" t="s">
        <v>122</v>
      </c>
      <c r="AE211">
        <v>4.25</v>
      </c>
      <c r="AF211">
        <v>3</v>
      </c>
      <c r="AG211">
        <v>0</v>
      </c>
      <c r="AH211" s="9">
        <v>43557</v>
      </c>
      <c r="AI211">
        <v>6</v>
      </c>
      <c r="AJ211">
        <v>41</v>
      </c>
      <c r="AK211">
        <v>6</v>
      </c>
      <c r="AL211">
        <v>22</v>
      </c>
      <c r="AM211" t="str">
        <f>IF(Cleaned_Data[[#This Row],[DateofTermination]]="","",YEAR(Cleaned_Data[[#This Row],[DateofTermination]]))</f>
        <v/>
      </c>
      <c r="AN211">
        <v>1</v>
      </c>
    </row>
    <row r="212" spans="1:40" x14ac:dyDescent="0.35">
      <c r="A212" t="s">
        <v>375</v>
      </c>
      <c r="B212">
        <v>10041</v>
      </c>
      <c r="C212">
        <v>0</v>
      </c>
      <c r="D212">
        <v>0</v>
      </c>
      <c r="E212">
        <v>1</v>
      </c>
      <c r="F212">
        <v>1</v>
      </c>
      <c r="G212">
        <v>6</v>
      </c>
      <c r="H212">
        <v>3</v>
      </c>
      <c r="I212">
        <v>0</v>
      </c>
      <c r="J212">
        <v>68829</v>
      </c>
      <c r="K212">
        <v>0</v>
      </c>
      <c r="L212">
        <v>3</v>
      </c>
      <c r="M212" t="s">
        <v>143</v>
      </c>
      <c r="N212" t="s">
        <v>376</v>
      </c>
      <c r="O212">
        <v>27229</v>
      </c>
      <c r="P212" s="9">
        <v>28719</v>
      </c>
      <c r="Q212" t="s">
        <v>41</v>
      </c>
      <c r="R212" t="s">
        <v>617</v>
      </c>
      <c r="S212" t="s">
        <v>43</v>
      </c>
      <c r="T212" t="s">
        <v>44</v>
      </c>
      <c r="U212" t="s">
        <v>45</v>
      </c>
      <c r="V212" t="s">
        <v>46</v>
      </c>
      <c r="W212" s="9">
        <v>42125</v>
      </c>
      <c r="X212" s="9"/>
      <c r="Y212" t="s">
        <v>47</v>
      </c>
      <c r="Z212" t="s">
        <v>48</v>
      </c>
      <c r="AA212" t="s">
        <v>145</v>
      </c>
      <c r="AB212" t="s">
        <v>146</v>
      </c>
      <c r="AC212" t="s">
        <v>205</v>
      </c>
      <c r="AD212" t="s">
        <v>61</v>
      </c>
      <c r="AE212">
        <v>5</v>
      </c>
      <c r="AF212">
        <v>5</v>
      </c>
      <c r="AG212">
        <v>0</v>
      </c>
      <c r="AH212" s="9">
        <v>43479</v>
      </c>
      <c r="AI212">
        <v>18</v>
      </c>
      <c r="AJ212">
        <v>41</v>
      </c>
      <c r="AK212">
        <v>5</v>
      </c>
      <c r="AL212">
        <v>17</v>
      </c>
      <c r="AM212" t="str">
        <f>IF(Cleaned_Data[[#This Row],[DateofTermination]]="","",YEAR(Cleaned_Data[[#This Row],[DateofTermination]]))</f>
        <v/>
      </c>
      <c r="AN212">
        <v>1</v>
      </c>
    </row>
    <row r="213" spans="1:40" x14ac:dyDescent="0.35">
      <c r="A213" t="s">
        <v>377</v>
      </c>
      <c r="B213">
        <v>10148</v>
      </c>
      <c r="C213">
        <v>1</v>
      </c>
      <c r="D213">
        <v>1</v>
      </c>
      <c r="E213">
        <v>0</v>
      </c>
      <c r="F213">
        <v>5</v>
      </c>
      <c r="G213">
        <v>5</v>
      </c>
      <c r="H213">
        <v>3</v>
      </c>
      <c r="I213">
        <v>0</v>
      </c>
      <c r="J213">
        <v>63515</v>
      </c>
      <c r="K213">
        <v>1</v>
      </c>
      <c r="L213">
        <v>19</v>
      </c>
      <c r="M213" t="s">
        <v>39</v>
      </c>
      <c r="N213" t="s">
        <v>40</v>
      </c>
      <c r="O213">
        <v>2351</v>
      </c>
      <c r="P213" s="9">
        <v>28860</v>
      </c>
      <c r="Q213" t="s">
        <v>41</v>
      </c>
      <c r="R213" t="s">
        <v>618</v>
      </c>
      <c r="S213" t="s">
        <v>55</v>
      </c>
      <c r="T213" t="s">
        <v>44</v>
      </c>
      <c r="U213" t="s">
        <v>45</v>
      </c>
      <c r="V213" t="s">
        <v>46</v>
      </c>
      <c r="W213" s="9">
        <v>40726</v>
      </c>
      <c r="X213" s="9">
        <v>41974</v>
      </c>
      <c r="Y213" t="s">
        <v>93</v>
      </c>
      <c r="Z213" t="s">
        <v>57</v>
      </c>
      <c r="AA213" t="s">
        <v>495</v>
      </c>
      <c r="AB213" t="s">
        <v>68</v>
      </c>
      <c r="AC213" t="s">
        <v>73</v>
      </c>
      <c r="AD213" t="s">
        <v>61</v>
      </c>
      <c r="AE213">
        <v>3.89</v>
      </c>
      <c r="AF213">
        <v>4</v>
      </c>
      <c r="AG213">
        <v>0</v>
      </c>
      <c r="AH213" s="9">
        <v>41367</v>
      </c>
      <c r="AI213">
        <v>7</v>
      </c>
      <c r="AJ213">
        <v>36</v>
      </c>
      <c r="AK213">
        <v>3</v>
      </c>
      <c r="AL213">
        <v>16</v>
      </c>
      <c r="AM213">
        <f>IF(Cleaned_Data[[#This Row],[DateofTermination]]="","",YEAR(Cleaned_Data[[#This Row],[DateofTermination]]))</f>
        <v>2014</v>
      </c>
      <c r="AN213">
        <v>1</v>
      </c>
    </row>
    <row r="214" spans="1:40" x14ac:dyDescent="0.35">
      <c r="A214" t="s">
        <v>378</v>
      </c>
      <c r="B214">
        <v>10005</v>
      </c>
      <c r="C214">
        <v>0</v>
      </c>
      <c r="D214">
        <v>0</v>
      </c>
      <c r="E214">
        <v>1</v>
      </c>
      <c r="F214">
        <v>5</v>
      </c>
      <c r="G214">
        <v>4</v>
      </c>
      <c r="H214">
        <v>4</v>
      </c>
      <c r="I214">
        <v>1</v>
      </c>
      <c r="J214">
        <v>108987</v>
      </c>
      <c r="K214">
        <v>1</v>
      </c>
      <c r="L214">
        <v>24</v>
      </c>
      <c r="M214" t="s">
        <v>77</v>
      </c>
      <c r="N214" t="s">
        <v>40</v>
      </c>
      <c r="O214">
        <v>1844</v>
      </c>
      <c r="P214" s="9">
        <v>28906</v>
      </c>
      <c r="Q214" t="s">
        <v>41</v>
      </c>
      <c r="R214" t="s">
        <v>617</v>
      </c>
      <c r="S214" t="s">
        <v>43</v>
      </c>
      <c r="T214" t="s">
        <v>44</v>
      </c>
      <c r="U214" t="s">
        <v>45</v>
      </c>
      <c r="V214" t="s">
        <v>85</v>
      </c>
      <c r="W214" s="9">
        <v>40735</v>
      </c>
      <c r="X214" s="9">
        <v>42194</v>
      </c>
      <c r="Y214" t="s">
        <v>93</v>
      </c>
      <c r="Z214" t="s">
        <v>57</v>
      </c>
      <c r="AA214" t="s">
        <v>78</v>
      </c>
      <c r="AB214" t="s">
        <v>79</v>
      </c>
      <c r="AC214" t="s">
        <v>624</v>
      </c>
      <c r="AD214" t="s">
        <v>52</v>
      </c>
      <c r="AE214">
        <v>5</v>
      </c>
      <c r="AF214">
        <v>5</v>
      </c>
      <c r="AG214">
        <v>3</v>
      </c>
      <c r="AH214" s="9">
        <v>42232</v>
      </c>
      <c r="AI214">
        <v>13</v>
      </c>
      <c r="AJ214">
        <v>36</v>
      </c>
      <c r="AK214">
        <v>4</v>
      </c>
      <c r="AL214">
        <v>10</v>
      </c>
      <c r="AM214">
        <f>IF(Cleaned_Data[[#This Row],[DateofTermination]]="","",YEAR(Cleaned_Data[[#This Row],[DateofTermination]]))</f>
        <v>2015</v>
      </c>
      <c r="AN214">
        <v>1</v>
      </c>
    </row>
    <row r="215" spans="1:40" x14ac:dyDescent="0.35">
      <c r="A215" t="s">
        <v>379</v>
      </c>
      <c r="B215">
        <v>10259</v>
      </c>
      <c r="C215">
        <v>1</v>
      </c>
      <c r="D215">
        <v>1</v>
      </c>
      <c r="E215">
        <v>1</v>
      </c>
      <c r="F215">
        <v>5</v>
      </c>
      <c r="G215">
        <v>3</v>
      </c>
      <c r="H215">
        <v>3</v>
      </c>
      <c r="I215">
        <v>0</v>
      </c>
      <c r="J215">
        <v>93093</v>
      </c>
      <c r="K215">
        <v>1</v>
      </c>
      <c r="L215">
        <v>9</v>
      </c>
      <c r="M215" t="s">
        <v>99</v>
      </c>
      <c r="N215" t="s">
        <v>40</v>
      </c>
      <c r="O215">
        <v>2747</v>
      </c>
      <c r="P215" s="9">
        <v>32219</v>
      </c>
      <c r="Q215" t="s">
        <v>41</v>
      </c>
      <c r="R215" t="s">
        <v>617</v>
      </c>
      <c r="S215" t="s">
        <v>55</v>
      </c>
      <c r="T215" t="s">
        <v>44</v>
      </c>
      <c r="U215" t="s">
        <v>45</v>
      </c>
      <c r="V215" t="s">
        <v>46</v>
      </c>
      <c r="W215" s="9">
        <v>41651</v>
      </c>
      <c r="X215" s="9">
        <v>42374</v>
      </c>
      <c r="Y215" t="s">
        <v>114</v>
      </c>
      <c r="Z215" t="s">
        <v>57</v>
      </c>
      <c r="AA215" t="s">
        <v>499</v>
      </c>
      <c r="AB215" t="s">
        <v>59</v>
      </c>
      <c r="AC215" t="s">
        <v>625</v>
      </c>
      <c r="AD215" t="s">
        <v>61</v>
      </c>
      <c r="AE215">
        <v>4.7</v>
      </c>
      <c r="AF215">
        <v>4</v>
      </c>
      <c r="AG215">
        <v>5</v>
      </c>
      <c r="AH215" s="9">
        <v>43481</v>
      </c>
      <c r="AI215">
        <v>19</v>
      </c>
      <c r="AJ215">
        <v>28</v>
      </c>
      <c r="AK215">
        <v>2</v>
      </c>
      <c r="AL215">
        <v>4</v>
      </c>
      <c r="AM215">
        <f>IF(Cleaned_Data[[#This Row],[DateofTermination]]="","",YEAR(Cleaned_Data[[#This Row],[DateofTermination]]))</f>
        <v>2016</v>
      </c>
      <c r="AN215">
        <v>1</v>
      </c>
    </row>
    <row r="216" spans="1:40" x14ac:dyDescent="0.35">
      <c r="A216" t="s">
        <v>380</v>
      </c>
      <c r="B216">
        <v>10286</v>
      </c>
      <c r="C216">
        <v>0</v>
      </c>
      <c r="D216">
        <v>0</v>
      </c>
      <c r="E216">
        <v>1</v>
      </c>
      <c r="F216">
        <v>5</v>
      </c>
      <c r="G216">
        <v>5</v>
      </c>
      <c r="H216">
        <v>2</v>
      </c>
      <c r="I216">
        <v>0</v>
      </c>
      <c r="J216">
        <v>53564</v>
      </c>
      <c r="K216">
        <v>1</v>
      </c>
      <c r="L216">
        <v>19</v>
      </c>
      <c r="M216" t="s">
        <v>39</v>
      </c>
      <c r="N216" t="s">
        <v>40</v>
      </c>
      <c r="O216">
        <v>2458</v>
      </c>
      <c r="P216" s="9">
        <v>32707</v>
      </c>
      <c r="Q216" t="s">
        <v>41</v>
      </c>
      <c r="R216" t="s">
        <v>617</v>
      </c>
      <c r="S216" t="s">
        <v>43</v>
      </c>
      <c r="T216" t="s">
        <v>44</v>
      </c>
      <c r="U216" t="s">
        <v>45</v>
      </c>
      <c r="V216" t="s">
        <v>85</v>
      </c>
      <c r="W216" s="9">
        <v>40817</v>
      </c>
      <c r="X216" s="9">
        <v>43097</v>
      </c>
      <c r="Y216" t="s">
        <v>56</v>
      </c>
      <c r="Z216" t="s">
        <v>57</v>
      </c>
      <c r="AA216" t="s">
        <v>495</v>
      </c>
      <c r="AB216" t="s">
        <v>72</v>
      </c>
      <c r="AC216" t="s">
        <v>73</v>
      </c>
      <c r="AD216" t="s">
        <v>122</v>
      </c>
      <c r="AE216">
        <v>3.54</v>
      </c>
      <c r="AF216">
        <v>5</v>
      </c>
      <c r="AG216">
        <v>0</v>
      </c>
      <c r="AH216" s="9">
        <v>42890</v>
      </c>
      <c r="AI216">
        <v>15</v>
      </c>
      <c r="AJ216">
        <v>28</v>
      </c>
      <c r="AK216">
        <v>6</v>
      </c>
      <c r="AL216">
        <v>39</v>
      </c>
      <c r="AM216">
        <f>IF(Cleaned_Data[[#This Row],[DateofTermination]]="","",YEAR(Cleaned_Data[[#This Row],[DateofTermination]]))</f>
        <v>2017</v>
      </c>
      <c r="AN216">
        <v>1</v>
      </c>
    </row>
    <row r="217" spans="1:40" x14ac:dyDescent="0.35">
      <c r="A217" t="s">
        <v>381</v>
      </c>
      <c r="B217">
        <v>10297</v>
      </c>
      <c r="C217">
        <v>1</v>
      </c>
      <c r="D217">
        <v>1</v>
      </c>
      <c r="E217">
        <v>0</v>
      </c>
      <c r="F217">
        <v>5</v>
      </c>
      <c r="G217">
        <v>5</v>
      </c>
      <c r="H217">
        <v>2</v>
      </c>
      <c r="I217">
        <v>0</v>
      </c>
      <c r="J217">
        <v>60270</v>
      </c>
      <c r="K217">
        <v>1</v>
      </c>
      <c r="L217">
        <v>20</v>
      </c>
      <c r="M217" t="s">
        <v>500</v>
      </c>
      <c r="N217" t="s">
        <v>40</v>
      </c>
      <c r="O217">
        <v>2472</v>
      </c>
      <c r="P217" s="9">
        <v>31613</v>
      </c>
      <c r="Q217" t="s">
        <v>41</v>
      </c>
      <c r="R217" t="s">
        <v>618</v>
      </c>
      <c r="S217" t="s">
        <v>55</v>
      </c>
      <c r="T217" t="s">
        <v>44</v>
      </c>
      <c r="U217" t="s">
        <v>45</v>
      </c>
      <c r="V217" t="s">
        <v>116</v>
      </c>
      <c r="W217" s="9">
        <v>40670</v>
      </c>
      <c r="X217" s="9">
        <v>42262</v>
      </c>
      <c r="Y217" t="s">
        <v>97</v>
      </c>
      <c r="Z217" t="s">
        <v>57</v>
      </c>
      <c r="AA217" t="s">
        <v>495</v>
      </c>
      <c r="AB217" t="s">
        <v>75</v>
      </c>
      <c r="AC217" t="s">
        <v>508</v>
      </c>
      <c r="AD217" t="s">
        <v>122</v>
      </c>
      <c r="AE217">
        <v>2.4</v>
      </c>
      <c r="AF217">
        <v>5</v>
      </c>
      <c r="AG217">
        <v>0</v>
      </c>
      <c r="AH217" s="9">
        <v>42157</v>
      </c>
      <c r="AI217">
        <v>2</v>
      </c>
      <c r="AJ217">
        <v>29</v>
      </c>
      <c r="AK217">
        <v>4</v>
      </c>
      <c r="AL217">
        <v>11</v>
      </c>
      <c r="AM217">
        <f>IF(Cleaned_Data[[#This Row],[DateofTermination]]="","",YEAR(Cleaned_Data[[#This Row],[DateofTermination]]))</f>
        <v>2015</v>
      </c>
      <c r="AN217">
        <v>1</v>
      </c>
    </row>
    <row r="218" spans="1:40" x14ac:dyDescent="0.35">
      <c r="A218" t="s">
        <v>382</v>
      </c>
      <c r="B218">
        <v>10171</v>
      </c>
      <c r="C218">
        <v>0</v>
      </c>
      <c r="D218">
        <v>0</v>
      </c>
      <c r="E218">
        <v>0</v>
      </c>
      <c r="F218">
        <v>5</v>
      </c>
      <c r="G218">
        <v>5</v>
      </c>
      <c r="H218">
        <v>3</v>
      </c>
      <c r="I218">
        <v>0</v>
      </c>
      <c r="J218">
        <v>45998</v>
      </c>
      <c r="K218">
        <v>1</v>
      </c>
      <c r="L218">
        <v>19</v>
      </c>
      <c r="M218" t="s">
        <v>39</v>
      </c>
      <c r="N218" t="s">
        <v>40</v>
      </c>
      <c r="O218">
        <v>2176</v>
      </c>
      <c r="P218" s="9">
        <v>31641</v>
      </c>
      <c r="Q218" t="s">
        <v>41</v>
      </c>
      <c r="R218" t="s">
        <v>618</v>
      </c>
      <c r="S218" t="s">
        <v>43</v>
      </c>
      <c r="T218" t="s">
        <v>44</v>
      </c>
      <c r="U218" t="s">
        <v>45</v>
      </c>
      <c r="V218" t="s">
        <v>46</v>
      </c>
      <c r="W218" s="9">
        <v>40679</v>
      </c>
      <c r="X218" s="9">
        <v>42302</v>
      </c>
      <c r="Y218" t="s">
        <v>383</v>
      </c>
      <c r="Z218" t="s">
        <v>57</v>
      </c>
      <c r="AA218" t="s">
        <v>495</v>
      </c>
      <c r="AB218" t="s">
        <v>75</v>
      </c>
      <c r="AC218" t="s">
        <v>496</v>
      </c>
      <c r="AD218" t="s">
        <v>61</v>
      </c>
      <c r="AE218">
        <v>3.45</v>
      </c>
      <c r="AF218">
        <v>4</v>
      </c>
      <c r="AG218">
        <v>0</v>
      </c>
      <c r="AH218" s="9">
        <v>41772</v>
      </c>
      <c r="AI218">
        <v>5</v>
      </c>
      <c r="AJ218">
        <v>29</v>
      </c>
      <c r="AK218">
        <v>4</v>
      </c>
      <c r="AL218">
        <v>11</v>
      </c>
      <c r="AM218">
        <f>IF(Cleaned_Data[[#This Row],[DateofTermination]]="","",YEAR(Cleaned_Data[[#This Row],[DateofTermination]]))</f>
        <v>2015</v>
      </c>
      <c r="AN218">
        <v>1</v>
      </c>
    </row>
    <row r="219" spans="1:40" x14ac:dyDescent="0.35">
      <c r="A219" t="s">
        <v>384</v>
      </c>
      <c r="B219">
        <v>10032</v>
      </c>
      <c r="C219">
        <v>1</v>
      </c>
      <c r="D219">
        <v>1</v>
      </c>
      <c r="E219">
        <v>0</v>
      </c>
      <c r="F219">
        <v>5</v>
      </c>
      <c r="G219">
        <v>5</v>
      </c>
      <c r="H219">
        <v>4</v>
      </c>
      <c r="I219">
        <v>0</v>
      </c>
      <c r="J219">
        <v>57954</v>
      </c>
      <c r="K219">
        <v>1</v>
      </c>
      <c r="L219">
        <v>20</v>
      </c>
      <c r="M219" t="s">
        <v>500</v>
      </c>
      <c r="N219" t="s">
        <v>40</v>
      </c>
      <c r="O219">
        <v>1886</v>
      </c>
      <c r="P219" s="9">
        <v>30941</v>
      </c>
      <c r="Q219" t="s">
        <v>41</v>
      </c>
      <c r="R219" t="s">
        <v>618</v>
      </c>
      <c r="S219" t="s">
        <v>55</v>
      </c>
      <c r="T219" t="s">
        <v>44</v>
      </c>
      <c r="U219" t="s">
        <v>45</v>
      </c>
      <c r="V219" t="s">
        <v>46</v>
      </c>
      <c r="W219" s="9">
        <v>40679</v>
      </c>
      <c r="X219" s="9">
        <v>41366</v>
      </c>
      <c r="Y219" t="s">
        <v>197</v>
      </c>
      <c r="Z219" t="s">
        <v>57</v>
      </c>
      <c r="AA219" t="s">
        <v>495</v>
      </c>
      <c r="AB219" t="s">
        <v>82</v>
      </c>
      <c r="AC219" t="s">
        <v>60</v>
      </c>
      <c r="AD219" t="s">
        <v>52</v>
      </c>
      <c r="AE219">
        <v>4.2</v>
      </c>
      <c r="AF219">
        <v>5</v>
      </c>
      <c r="AG219">
        <v>0</v>
      </c>
      <c r="AH219" s="9">
        <v>41548</v>
      </c>
      <c r="AI219">
        <v>12</v>
      </c>
      <c r="AJ219">
        <v>29</v>
      </c>
      <c r="AK219">
        <v>2</v>
      </c>
      <c r="AL219">
        <v>19</v>
      </c>
      <c r="AM219">
        <f>IF(Cleaned_Data[[#This Row],[DateofTermination]]="","",YEAR(Cleaned_Data[[#This Row],[DateofTermination]]))</f>
        <v>2013</v>
      </c>
      <c r="AN219">
        <v>1</v>
      </c>
    </row>
    <row r="220" spans="1:40" x14ac:dyDescent="0.35">
      <c r="A220" t="s">
        <v>565</v>
      </c>
      <c r="B220">
        <v>10130</v>
      </c>
      <c r="C220">
        <v>1</v>
      </c>
      <c r="D220">
        <v>1</v>
      </c>
      <c r="E220">
        <v>0</v>
      </c>
      <c r="F220">
        <v>5</v>
      </c>
      <c r="G220">
        <v>5</v>
      </c>
      <c r="H220">
        <v>3</v>
      </c>
      <c r="I220">
        <v>0</v>
      </c>
      <c r="J220">
        <v>74669</v>
      </c>
      <c r="K220">
        <v>1</v>
      </c>
      <c r="L220">
        <v>18</v>
      </c>
      <c r="M220" t="s">
        <v>133</v>
      </c>
      <c r="N220" t="s">
        <v>40</v>
      </c>
      <c r="O220">
        <v>2030</v>
      </c>
      <c r="P220" s="9">
        <v>29913</v>
      </c>
      <c r="Q220" t="s">
        <v>41</v>
      </c>
      <c r="R220" t="s">
        <v>618</v>
      </c>
      <c r="S220" t="s">
        <v>55</v>
      </c>
      <c r="T220" t="s">
        <v>44</v>
      </c>
      <c r="U220" t="s">
        <v>45</v>
      </c>
      <c r="V220" t="s">
        <v>46</v>
      </c>
      <c r="W220" s="9">
        <v>40476</v>
      </c>
      <c r="X220" s="9">
        <v>42597</v>
      </c>
      <c r="Y220" t="s">
        <v>93</v>
      </c>
      <c r="Z220" t="s">
        <v>57</v>
      </c>
      <c r="AA220" t="s">
        <v>495</v>
      </c>
      <c r="AB220" t="s">
        <v>135</v>
      </c>
      <c r="AC220" t="s">
        <v>60</v>
      </c>
      <c r="AD220" t="s">
        <v>61</v>
      </c>
      <c r="AE220">
        <v>4.16</v>
      </c>
      <c r="AF220">
        <v>5</v>
      </c>
      <c r="AG220">
        <v>0</v>
      </c>
      <c r="AH220" s="9">
        <v>42127</v>
      </c>
      <c r="AI220">
        <v>6</v>
      </c>
      <c r="AJ220">
        <v>35</v>
      </c>
      <c r="AK220">
        <v>6</v>
      </c>
      <c r="AL220">
        <v>2</v>
      </c>
      <c r="AM220">
        <f>IF(Cleaned_Data[[#This Row],[DateofTermination]]="","",YEAR(Cleaned_Data[[#This Row],[DateofTermination]]))</f>
        <v>2016</v>
      </c>
      <c r="AN220">
        <v>1</v>
      </c>
    </row>
    <row r="221" spans="1:40" x14ac:dyDescent="0.35">
      <c r="A221" t="s">
        <v>566</v>
      </c>
      <c r="B221">
        <v>10217</v>
      </c>
      <c r="C221">
        <v>1</v>
      </c>
      <c r="D221">
        <v>1</v>
      </c>
      <c r="E221">
        <v>0</v>
      </c>
      <c r="F221">
        <v>1</v>
      </c>
      <c r="G221">
        <v>5</v>
      </c>
      <c r="H221">
        <v>3</v>
      </c>
      <c r="I221">
        <v>0</v>
      </c>
      <c r="J221">
        <v>74226</v>
      </c>
      <c r="K221">
        <v>0</v>
      </c>
      <c r="L221">
        <v>20</v>
      </c>
      <c r="M221" t="s">
        <v>500</v>
      </c>
      <c r="N221" t="s">
        <v>40</v>
      </c>
      <c r="O221">
        <v>2050</v>
      </c>
      <c r="P221" s="9">
        <v>32384</v>
      </c>
      <c r="Q221" t="s">
        <v>41</v>
      </c>
      <c r="R221" t="s">
        <v>618</v>
      </c>
      <c r="S221" t="s">
        <v>55</v>
      </c>
      <c r="T221" t="s">
        <v>111</v>
      </c>
      <c r="U221" t="s">
        <v>45</v>
      </c>
      <c r="V221" t="s">
        <v>116</v>
      </c>
      <c r="W221" s="9">
        <v>40943</v>
      </c>
      <c r="X221" s="9"/>
      <c r="Y221" t="s">
        <v>47</v>
      </c>
      <c r="Z221" t="s">
        <v>48</v>
      </c>
      <c r="AA221" t="s">
        <v>495</v>
      </c>
      <c r="AB221" t="s">
        <v>86</v>
      </c>
      <c r="AC221" t="s">
        <v>496</v>
      </c>
      <c r="AD221" t="s">
        <v>61</v>
      </c>
      <c r="AE221">
        <v>4.3</v>
      </c>
      <c r="AF221">
        <v>3</v>
      </c>
      <c r="AG221">
        <v>0</v>
      </c>
      <c r="AH221" s="9">
        <v>43479</v>
      </c>
      <c r="AI221">
        <v>14</v>
      </c>
      <c r="AJ221">
        <v>31</v>
      </c>
      <c r="AK221">
        <v>8</v>
      </c>
      <c r="AL221">
        <v>12</v>
      </c>
      <c r="AM221" t="str">
        <f>IF(Cleaned_Data[[#This Row],[DateofTermination]]="","",YEAR(Cleaned_Data[[#This Row],[DateofTermination]]))</f>
        <v/>
      </c>
      <c r="AN221">
        <v>1</v>
      </c>
    </row>
    <row r="222" spans="1:40" x14ac:dyDescent="0.35">
      <c r="A222" t="s">
        <v>387</v>
      </c>
      <c r="B222">
        <v>10016</v>
      </c>
      <c r="C222">
        <v>1</v>
      </c>
      <c r="D222">
        <v>1</v>
      </c>
      <c r="E222">
        <v>0</v>
      </c>
      <c r="F222">
        <v>1</v>
      </c>
      <c r="G222">
        <v>3</v>
      </c>
      <c r="H222">
        <v>4</v>
      </c>
      <c r="I222">
        <v>0</v>
      </c>
      <c r="J222">
        <v>93554</v>
      </c>
      <c r="K222">
        <v>0</v>
      </c>
      <c r="L222">
        <v>9</v>
      </c>
      <c r="M222" t="s">
        <v>99</v>
      </c>
      <c r="N222" t="s">
        <v>40</v>
      </c>
      <c r="O222">
        <v>1886</v>
      </c>
      <c r="P222" s="9">
        <v>30970</v>
      </c>
      <c r="Q222" t="s">
        <v>41</v>
      </c>
      <c r="R222" t="s">
        <v>618</v>
      </c>
      <c r="S222" t="s">
        <v>55</v>
      </c>
      <c r="T222" t="s">
        <v>44</v>
      </c>
      <c r="U222" t="s">
        <v>45</v>
      </c>
      <c r="V222" t="s">
        <v>85</v>
      </c>
      <c r="W222" s="9">
        <v>41923</v>
      </c>
      <c r="X222" s="9"/>
      <c r="Y222" t="s">
        <v>47</v>
      </c>
      <c r="Z222" t="s">
        <v>48</v>
      </c>
      <c r="AA222" t="s">
        <v>499</v>
      </c>
      <c r="AB222" t="s">
        <v>59</v>
      </c>
      <c r="AC222" t="s">
        <v>625</v>
      </c>
      <c r="AD222" t="s">
        <v>52</v>
      </c>
      <c r="AE222">
        <v>4.5999999999999996</v>
      </c>
      <c r="AF222">
        <v>5</v>
      </c>
      <c r="AG222">
        <v>7</v>
      </c>
      <c r="AH222" s="9">
        <v>43556</v>
      </c>
      <c r="AI222">
        <v>16</v>
      </c>
      <c r="AJ222">
        <v>35</v>
      </c>
      <c r="AK222">
        <v>5</v>
      </c>
      <c r="AL222">
        <v>4</v>
      </c>
      <c r="AM222" t="str">
        <f>IF(Cleaned_Data[[#This Row],[DateofTermination]]="","",YEAR(Cleaned_Data[[#This Row],[DateofTermination]]))</f>
        <v/>
      </c>
      <c r="AN222">
        <v>1</v>
      </c>
    </row>
    <row r="223" spans="1:40" x14ac:dyDescent="0.35">
      <c r="A223" t="s">
        <v>388</v>
      </c>
      <c r="B223">
        <v>10050</v>
      </c>
      <c r="C223">
        <v>1</v>
      </c>
      <c r="D223">
        <v>1</v>
      </c>
      <c r="E223">
        <v>1</v>
      </c>
      <c r="F223">
        <v>5</v>
      </c>
      <c r="G223">
        <v>5</v>
      </c>
      <c r="H223">
        <v>3</v>
      </c>
      <c r="I223">
        <v>0</v>
      </c>
      <c r="J223">
        <v>64724</v>
      </c>
      <c r="K223">
        <v>1</v>
      </c>
      <c r="L223">
        <v>19</v>
      </c>
      <c r="M223" t="s">
        <v>39</v>
      </c>
      <c r="N223" t="s">
        <v>40</v>
      </c>
      <c r="O223">
        <v>2451</v>
      </c>
      <c r="P223" s="9">
        <v>22451</v>
      </c>
      <c r="Q223" t="s">
        <v>96</v>
      </c>
      <c r="R223" t="s">
        <v>617</v>
      </c>
      <c r="S223" t="s">
        <v>55</v>
      </c>
      <c r="T223" t="s">
        <v>44</v>
      </c>
      <c r="U223" t="s">
        <v>45</v>
      </c>
      <c r="V223" t="s">
        <v>116</v>
      </c>
      <c r="W223" s="9">
        <v>40670</v>
      </c>
      <c r="X223" s="9">
        <v>41243</v>
      </c>
      <c r="Y223" t="s">
        <v>197</v>
      </c>
      <c r="Z223" t="s">
        <v>57</v>
      </c>
      <c r="AA223" t="s">
        <v>495</v>
      </c>
      <c r="AB223" t="s">
        <v>86</v>
      </c>
      <c r="AC223" t="s">
        <v>73</v>
      </c>
      <c r="AD223" t="s">
        <v>61</v>
      </c>
      <c r="AE223">
        <v>5</v>
      </c>
      <c r="AF223">
        <v>3</v>
      </c>
      <c r="AG223">
        <v>0</v>
      </c>
      <c r="AH223" s="9">
        <v>40959</v>
      </c>
      <c r="AI223">
        <v>13</v>
      </c>
      <c r="AJ223">
        <v>51</v>
      </c>
      <c r="AK223">
        <v>2</v>
      </c>
      <c r="AL223">
        <v>12</v>
      </c>
      <c r="AM223">
        <f>IF(Cleaned_Data[[#This Row],[DateofTermination]]="","",YEAR(Cleaned_Data[[#This Row],[DateofTermination]]))</f>
        <v>2012</v>
      </c>
      <c r="AN223">
        <v>1</v>
      </c>
    </row>
    <row r="224" spans="1:40" x14ac:dyDescent="0.35">
      <c r="A224" t="s">
        <v>567</v>
      </c>
      <c r="B224">
        <v>10164</v>
      </c>
      <c r="C224">
        <v>0</v>
      </c>
      <c r="D224">
        <v>0</v>
      </c>
      <c r="E224">
        <v>1</v>
      </c>
      <c r="F224">
        <v>1</v>
      </c>
      <c r="G224">
        <v>5</v>
      </c>
      <c r="H224">
        <v>3</v>
      </c>
      <c r="I224">
        <v>0</v>
      </c>
      <c r="J224">
        <v>47001</v>
      </c>
      <c r="K224">
        <v>0</v>
      </c>
      <c r="L224">
        <v>19</v>
      </c>
      <c r="M224" t="s">
        <v>39</v>
      </c>
      <c r="N224" t="s">
        <v>40</v>
      </c>
      <c r="O224">
        <v>2451</v>
      </c>
      <c r="P224" s="9">
        <v>25833</v>
      </c>
      <c r="Q224" t="s">
        <v>41</v>
      </c>
      <c r="R224" t="s">
        <v>617</v>
      </c>
      <c r="S224" t="s">
        <v>43</v>
      </c>
      <c r="T224" t="s">
        <v>44</v>
      </c>
      <c r="U224" t="s">
        <v>45</v>
      </c>
      <c r="V224" t="s">
        <v>46</v>
      </c>
      <c r="W224" s="9">
        <v>39213</v>
      </c>
      <c r="X224" s="9"/>
      <c r="Y224" t="s">
        <v>47</v>
      </c>
      <c r="Z224" t="s">
        <v>48</v>
      </c>
      <c r="AA224" t="s">
        <v>495</v>
      </c>
      <c r="AB224" t="s">
        <v>94</v>
      </c>
      <c r="AC224" t="s">
        <v>73</v>
      </c>
      <c r="AD224" t="s">
        <v>61</v>
      </c>
      <c r="AE224">
        <v>3.66</v>
      </c>
      <c r="AF224">
        <v>3</v>
      </c>
      <c r="AG224">
        <v>0</v>
      </c>
      <c r="AH224" s="9">
        <v>43521</v>
      </c>
      <c r="AI224">
        <v>15</v>
      </c>
      <c r="AJ224">
        <v>49</v>
      </c>
      <c r="AK224">
        <v>13</v>
      </c>
      <c r="AL224">
        <v>14</v>
      </c>
      <c r="AM224" t="str">
        <f>IF(Cleaned_Data[[#This Row],[DateofTermination]]="","",YEAR(Cleaned_Data[[#This Row],[DateofTermination]]))</f>
        <v/>
      </c>
      <c r="AN224">
        <v>1</v>
      </c>
    </row>
    <row r="225" spans="1:40" x14ac:dyDescent="0.35">
      <c r="A225" t="s">
        <v>390</v>
      </c>
      <c r="B225">
        <v>10124</v>
      </c>
      <c r="C225">
        <v>1</v>
      </c>
      <c r="D225">
        <v>1</v>
      </c>
      <c r="E225">
        <v>0</v>
      </c>
      <c r="F225">
        <v>1</v>
      </c>
      <c r="G225">
        <v>6</v>
      </c>
      <c r="H225">
        <v>3</v>
      </c>
      <c r="I225">
        <v>0</v>
      </c>
      <c r="J225">
        <v>61844</v>
      </c>
      <c r="K225">
        <v>0</v>
      </c>
      <c r="L225">
        <v>3</v>
      </c>
      <c r="M225" t="s">
        <v>143</v>
      </c>
      <c r="N225" t="s">
        <v>391</v>
      </c>
      <c r="O225">
        <v>40220</v>
      </c>
      <c r="P225" s="9">
        <v>31047</v>
      </c>
      <c r="Q225" t="s">
        <v>41</v>
      </c>
      <c r="R225" t="s">
        <v>618</v>
      </c>
      <c r="S225" t="s">
        <v>55</v>
      </c>
      <c r="T225" t="s">
        <v>44</v>
      </c>
      <c r="U225" t="s">
        <v>45</v>
      </c>
      <c r="V225" t="s">
        <v>85</v>
      </c>
      <c r="W225" s="9">
        <v>41153</v>
      </c>
      <c r="X225" s="9"/>
      <c r="Y225" t="s">
        <v>47</v>
      </c>
      <c r="Z225" t="s">
        <v>48</v>
      </c>
      <c r="AA225" t="s">
        <v>145</v>
      </c>
      <c r="AB225" t="s">
        <v>164</v>
      </c>
      <c r="AC225" t="s">
        <v>205</v>
      </c>
      <c r="AD225" t="s">
        <v>61</v>
      </c>
      <c r="AE225">
        <v>4.2</v>
      </c>
      <c r="AF225">
        <v>5</v>
      </c>
      <c r="AG225">
        <v>0</v>
      </c>
      <c r="AH225" s="9">
        <v>43467</v>
      </c>
      <c r="AI225">
        <v>9</v>
      </c>
      <c r="AJ225">
        <v>35</v>
      </c>
      <c r="AK225">
        <v>7</v>
      </c>
      <c r="AL225">
        <v>21</v>
      </c>
      <c r="AM225" t="str">
        <f>IF(Cleaned_Data[[#This Row],[DateofTermination]]="","",YEAR(Cleaned_Data[[#This Row],[DateofTermination]]))</f>
        <v/>
      </c>
      <c r="AN225">
        <v>1</v>
      </c>
    </row>
    <row r="226" spans="1:40" x14ac:dyDescent="0.35">
      <c r="A226" t="s">
        <v>392</v>
      </c>
      <c r="B226">
        <v>10187</v>
      </c>
      <c r="C226">
        <v>0</v>
      </c>
      <c r="D226">
        <v>2</v>
      </c>
      <c r="E226">
        <v>0</v>
      </c>
      <c r="F226">
        <v>5</v>
      </c>
      <c r="G226">
        <v>5</v>
      </c>
      <c r="H226">
        <v>3</v>
      </c>
      <c r="I226">
        <v>0</v>
      </c>
      <c r="J226">
        <v>46799</v>
      </c>
      <c r="K226">
        <v>1</v>
      </c>
      <c r="L226">
        <v>19</v>
      </c>
      <c r="M226" t="s">
        <v>39</v>
      </c>
      <c r="N226" t="s">
        <v>40</v>
      </c>
      <c r="O226">
        <v>1742</v>
      </c>
      <c r="P226" s="9">
        <v>30154</v>
      </c>
      <c r="Q226" t="s">
        <v>41</v>
      </c>
      <c r="R226" t="s">
        <v>618</v>
      </c>
      <c r="S226" t="s">
        <v>70</v>
      </c>
      <c r="T226" t="s">
        <v>111</v>
      </c>
      <c r="U226" t="s">
        <v>45</v>
      </c>
      <c r="V226" t="s">
        <v>116</v>
      </c>
      <c r="W226" s="9">
        <v>40679</v>
      </c>
      <c r="X226" s="9">
        <v>43196</v>
      </c>
      <c r="Y226" t="s">
        <v>93</v>
      </c>
      <c r="Z226" t="s">
        <v>57</v>
      </c>
      <c r="AA226" t="s">
        <v>495</v>
      </c>
      <c r="AB226" t="s">
        <v>66</v>
      </c>
      <c r="AC226" t="s">
        <v>73</v>
      </c>
      <c r="AD226" t="s">
        <v>61</v>
      </c>
      <c r="AE226">
        <v>3.17</v>
      </c>
      <c r="AF226">
        <v>4</v>
      </c>
      <c r="AG226">
        <v>0</v>
      </c>
      <c r="AH226" s="9">
        <v>43135</v>
      </c>
      <c r="AI226">
        <v>14</v>
      </c>
      <c r="AJ226">
        <v>36</v>
      </c>
      <c r="AK226">
        <v>7</v>
      </c>
      <c r="AL226">
        <v>20</v>
      </c>
      <c r="AM226">
        <f>IF(Cleaned_Data[[#This Row],[DateofTermination]]="","",YEAR(Cleaned_Data[[#This Row],[DateofTermination]]))</f>
        <v>2018</v>
      </c>
      <c r="AN226">
        <v>1</v>
      </c>
    </row>
    <row r="227" spans="1:40" x14ac:dyDescent="0.35">
      <c r="A227" t="s">
        <v>568</v>
      </c>
      <c r="B227">
        <v>10225</v>
      </c>
      <c r="C227">
        <v>0</v>
      </c>
      <c r="D227">
        <v>0</v>
      </c>
      <c r="E227">
        <v>1</v>
      </c>
      <c r="F227">
        <v>1</v>
      </c>
      <c r="G227">
        <v>5</v>
      </c>
      <c r="H227">
        <v>3</v>
      </c>
      <c r="I227">
        <v>0</v>
      </c>
      <c r="J227">
        <v>59472</v>
      </c>
      <c r="K227">
        <v>0</v>
      </c>
      <c r="L227">
        <v>19</v>
      </c>
      <c r="M227" t="s">
        <v>39</v>
      </c>
      <c r="N227" t="s">
        <v>40</v>
      </c>
      <c r="O227">
        <v>2109</v>
      </c>
      <c r="P227" s="9">
        <v>31075</v>
      </c>
      <c r="Q227" t="s">
        <v>41</v>
      </c>
      <c r="R227" t="s">
        <v>617</v>
      </c>
      <c r="S227" t="s">
        <v>43</v>
      </c>
      <c r="T227" t="s">
        <v>44</v>
      </c>
      <c r="U227" t="s">
        <v>45</v>
      </c>
      <c r="V227" t="s">
        <v>46</v>
      </c>
      <c r="W227" s="9">
        <v>41791</v>
      </c>
      <c r="X227" s="9"/>
      <c r="Y227" t="s">
        <v>47</v>
      </c>
      <c r="Z227" t="s">
        <v>48</v>
      </c>
      <c r="AA227" t="s">
        <v>495</v>
      </c>
      <c r="AB227" t="s">
        <v>103</v>
      </c>
      <c r="AC227" t="s">
        <v>625</v>
      </c>
      <c r="AD227" t="s">
        <v>61</v>
      </c>
      <c r="AE227">
        <v>4.8</v>
      </c>
      <c r="AF227">
        <v>3</v>
      </c>
      <c r="AG227">
        <v>0</v>
      </c>
      <c r="AH227" s="9">
        <v>43647</v>
      </c>
      <c r="AI227">
        <v>14</v>
      </c>
      <c r="AJ227">
        <v>35</v>
      </c>
      <c r="AK227">
        <v>6</v>
      </c>
      <c r="AL227">
        <v>18</v>
      </c>
      <c r="AM227" t="str">
        <f>IF(Cleaned_Data[[#This Row],[DateofTermination]]="","",YEAR(Cleaned_Data[[#This Row],[DateofTermination]]))</f>
        <v/>
      </c>
      <c r="AN227">
        <v>1</v>
      </c>
    </row>
    <row r="228" spans="1:40" x14ac:dyDescent="0.35">
      <c r="A228" t="s">
        <v>394</v>
      </c>
      <c r="B228">
        <v>10262</v>
      </c>
      <c r="C228">
        <v>0</v>
      </c>
      <c r="D228">
        <v>2</v>
      </c>
      <c r="E228">
        <v>0</v>
      </c>
      <c r="F228">
        <v>5</v>
      </c>
      <c r="G228">
        <v>5</v>
      </c>
      <c r="H228">
        <v>3</v>
      </c>
      <c r="I228">
        <v>0</v>
      </c>
      <c r="J228">
        <v>46430</v>
      </c>
      <c r="K228">
        <v>1</v>
      </c>
      <c r="L228">
        <v>19</v>
      </c>
      <c r="M228" t="s">
        <v>39</v>
      </c>
      <c r="N228" t="s">
        <v>40</v>
      </c>
      <c r="O228">
        <v>2474</v>
      </c>
      <c r="P228" s="9">
        <v>26811</v>
      </c>
      <c r="Q228" t="s">
        <v>41</v>
      </c>
      <c r="R228" t="s">
        <v>618</v>
      </c>
      <c r="S228" t="s">
        <v>70</v>
      </c>
      <c r="T228" t="s">
        <v>44</v>
      </c>
      <c r="U228" t="s">
        <v>45</v>
      </c>
      <c r="V228" t="s">
        <v>46</v>
      </c>
      <c r="W228" s="9">
        <v>41176</v>
      </c>
      <c r="X228" s="9">
        <v>41443</v>
      </c>
      <c r="Y228" t="s">
        <v>97</v>
      </c>
      <c r="Z228" t="s">
        <v>57</v>
      </c>
      <c r="AA228" t="s">
        <v>495</v>
      </c>
      <c r="AB228" t="s">
        <v>66</v>
      </c>
      <c r="AC228" t="s">
        <v>60</v>
      </c>
      <c r="AD228" t="s">
        <v>61</v>
      </c>
      <c r="AE228">
        <v>4.5</v>
      </c>
      <c r="AF228">
        <v>5</v>
      </c>
      <c r="AG228">
        <v>0</v>
      </c>
      <c r="AH228" s="9">
        <v>41309</v>
      </c>
      <c r="AI228">
        <v>16</v>
      </c>
      <c r="AJ228">
        <v>40</v>
      </c>
      <c r="AK228">
        <v>1</v>
      </c>
      <c r="AL228">
        <v>20</v>
      </c>
      <c r="AM228">
        <f>IF(Cleaned_Data[[#This Row],[DateofTermination]]="","",YEAR(Cleaned_Data[[#This Row],[DateofTermination]]))</f>
        <v>2013</v>
      </c>
      <c r="AN228">
        <v>1</v>
      </c>
    </row>
    <row r="229" spans="1:40" x14ac:dyDescent="0.35">
      <c r="A229" t="s">
        <v>395</v>
      </c>
      <c r="B229">
        <v>10131</v>
      </c>
      <c r="C229">
        <v>1</v>
      </c>
      <c r="D229">
        <v>1</v>
      </c>
      <c r="E229">
        <v>1</v>
      </c>
      <c r="F229">
        <v>5</v>
      </c>
      <c r="G229">
        <v>1</v>
      </c>
      <c r="H229">
        <v>3</v>
      </c>
      <c r="I229">
        <v>1</v>
      </c>
      <c r="J229">
        <v>83363</v>
      </c>
      <c r="K229">
        <v>1</v>
      </c>
      <c r="L229">
        <v>23</v>
      </c>
      <c r="M229" t="s">
        <v>77</v>
      </c>
      <c r="N229" t="s">
        <v>40</v>
      </c>
      <c r="O229">
        <v>2045</v>
      </c>
      <c r="P229" s="9">
        <v>26624</v>
      </c>
      <c r="Q229" t="s">
        <v>41</v>
      </c>
      <c r="R229" t="s">
        <v>617</v>
      </c>
      <c r="S229" t="s">
        <v>55</v>
      </c>
      <c r="T229" t="s">
        <v>111</v>
      </c>
      <c r="U229" t="s">
        <v>45</v>
      </c>
      <c r="V229" t="s">
        <v>85</v>
      </c>
      <c r="W229" s="9">
        <v>40595</v>
      </c>
      <c r="X229" s="9">
        <v>42231</v>
      </c>
      <c r="Y229" t="s">
        <v>56</v>
      </c>
      <c r="Z229" t="s">
        <v>57</v>
      </c>
      <c r="AA229" t="s">
        <v>78</v>
      </c>
      <c r="AB229" t="s">
        <v>135</v>
      </c>
      <c r="AC229" t="s">
        <v>624</v>
      </c>
      <c r="AD229" t="s">
        <v>61</v>
      </c>
      <c r="AE229">
        <v>4.1500000000000004</v>
      </c>
      <c r="AF229">
        <v>4</v>
      </c>
      <c r="AG229">
        <v>0</v>
      </c>
      <c r="AH229" s="9">
        <v>41748</v>
      </c>
      <c r="AI229">
        <v>4</v>
      </c>
      <c r="AJ229">
        <v>43</v>
      </c>
      <c r="AK229">
        <v>4</v>
      </c>
      <c r="AL229">
        <v>2</v>
      </c>
      <c r="AM229">
        <f>IF(Cleaned_Data[[#This Row],[DateofTermination]]="","",YEAR(Cleaned_Data[[#This Row],[DateofTermination]]))</f>
        <v>2015</v>
      </c>
      <c r="AN229">
        <v>1</v>
      </c>
    </row>
    <row r="230" spans="1:40" x14ac:dyDescent="0.35">
      <c r="A230" t="s">
        <v>396</v>
      </c>
      <c r="B230">
        <v>10239</v>
      </c>
      <c r="C230">
        <v>1</v>
      </c>
      <c r="D230">
        <v>1</v>
      </c>
      <c r="E230">
        <v>0</v>
      </c>
      <c r="F230">
        <v>1</v>
      </c>
      <c r="G230">
        <v>3</v>
      </c>
      <c r="H230">
        <v>3</v>
      </c>
      <c r="I230">
        <v>0</v>
      </c>
      <c r="J230">
        <v>95920</v>
      </c>
      <c r="K230">
        <v>0</v>
      </c>
      <c r="L230">
        <v>4</v>
      </c>
      <c r="M230" t="s">
        <v>525</v>
      </c>
      <c r="N230" t="s">
        <v>40</v>
      </c>
      <c r="O230">
        <v>2110</v>
      </c>
      <c r="P230" s="9">
        <v>31854</v>
      </c>
      <c r="Q230" t="s">
        <v>41</v>
      </c>
      <c r="R230" t="s">
        <v>618</v>
      </c>
      <c r="S230" t="s">
        <v>55</v>
      </c>
      <c r="T230" t="s">
        <v>44</v>
      </c>
      <c r="U230" t="s">
        <v>45</v>
      </c>
      <c r="V230" t="s">
        <v>85</v>
      </c>
      <c r="W230" s="9">
        <v>42410</v>
      </c>
      <c r="X230" s="9"/>
      <c r="Y230" t="s">
        <v>47</v>
      </c>
      <c r="Z230" t="s">
        <v>48</v>
      </c>
      <c r="AA230" t="s">
        <v>499</v>
      </c>
      <c r="AB230" t="s">
        <v>201</v>
      </c>
      <c r="AC230" t="s">
        <v>60</v>
      </c>
      <c r="AD230" t="s">
        <v>61</v>
      </c>
      <c r="AE230">
        <v>4.4000000000000004</v>
      </c>
      <c r="AF230">
        <v>4</v>
      </c>
      <c r="AG230">
        <v>6</v>
      </c>
      <c r="AH230" s="9">
        <v>43618</v>
      </c>
      <c r="AI230">
        <v>10</v>
      </c>
      <c r="AJ230">
        <v>33</v>
      </c>
      <c r="AK230">
        <v>4</v>
      </c>
      <c r="AL230">
        <v>13</v>
      </c>
      <c r="AM230" t="str">
        <f>IF(Cleaned_Data[[#This Row],[DateofTermination]]="","",YEAR(Cleaned_Data[[#This Row],[DateofTermination]]))</f>
        <v/>
      </c>
      <c r="AN230">
        <v>1</v>
      </c>
    </row>
    <row r="231" spans="1:40" x14ac:dyDescent="0.35">
      <c r="A231" t="s">
        <v>397</v>
      </c>
      <c r="B231">
        <v>10152</v>
      </c>
      <c r="C231">
        <v>0</v>
      </c>
      <c r="D231">
        <v>2</v>
      </c>
      <c r="E231">
        <v>1</v>
      </c>
      <c r="F231">
        <v>5</v>
      </c>
      <c r="G231">
        <v>5</v>
      </c>
      <c r="H231">
        <v>3</v>
      </c>
      <c r="I231">
        <v>0</v>
      </c>
      <c r="J231">
        <v>61729</v>
      </c>
      <c r="K231">
        <v>1</v>
      </c>
      <c r="L231">
        <v>19</v>
      </c>
      <c r="M231" t="s">
        <v>39</v>
      </c>
      <c r="N231" t="s">
        <v>40</v>
      </c>
      <c r="O231">
        <v>2478</v>
      </c>
      <c r="P231" s="9">
        <v>31617</v>
      </c>
      <c r="Q231" t="s">
        <v>41</v>
      </c>
      <c r="R231" t="s">
        <v>617</v>
      </c>
      <c r="S231" t="s">
        <v>70</v>
      </c>
      <c r="T231" t="s">
        <v>44</v>
      </c>
      <c r="U231" t="s">
        <v>45</v>
      </c>
      <c r="V231" t="s">
        <v>46</v>
      </c>
      <c r="W231" s="9">
        <v>40812</v>
      </c>
      <c r="X231" s="9">
        <v>43285</v>
      </c>
      <c r="Y231" t="s">
        <v>197</v>
      </c>
      <c r="Z231" t="s">
        <v>57</v>
      </c>
      <c r="AA231" t="s">
        <v>495</v>
      </c>
      <c r="AB231" t="s">
        <v>50</v>
      </c>
      <c r="AC231" t="s">
        <v>60</v>
      </c>
      <c r="AD231" t="s">
        <v>61</v>
      </c>
      <c r="AE231">
        <v>3.8</v>
      </c>
      <c r="AF231">
        <v>5</v>
      </c>
      <c r="AG231">
        <v>0</v>
      </c>
      <c r="AH231" s="9">
        <v>43192</v>
      </c>
      <c r="AI231">
        <v>19</v>
      </c>
      <c r="AJ231">
        <v>32</v>
      </c>
      <c r="AK231">
        <v>7</v>
      </c>
      <c r="AL231">
        <v>22</v>
      </c>
      <c r="AM231">
        <f>IF(Cleaned_Data[[#This Row],[DateofTermination]]="","",YEAR(Cleaned_Data[[#This Row],[DateofTermination]]))</f>
        <v>2018</v>
      </c>
      <c r="AN231">
        <v>1</v>
      </c>
    </row>
    <row r="232" spans="1:40" x14ac:dyDescent="0.35">
      <c r="A232" t="s">
        <v>398</v>
      </c>
      <c r="B232">
        <v>10140</v>
      </c>
      <c r="C232">
        <v>1</v>
      </c>
      <c r="D232">
        <v>1</v>
      </c>
      <c r="E232">
        <v>1</v>
      </c>
      <c r="F232">
        <v>1</v>
      </c>
      <c r="G232">
        <v>6</v>
      </c>
      <c r="H232">
        <v>3</v>
      </c>
      <c r="I232">
        <v>0</v>
      </c>
      <c r="J232">
        <v>61809</v>
      </c>
      <c r="K232">
        <v>0</v>
      </c>
      <c r="L232">
        <v>3</v>
      </c>
      <c r="M232" t="s">
        <v>143</v>
      </c>
      <c r="N232" t="s">
        <v>399</v>
      </c>
      <c r="O232">
        <v>83706</v>
      </c>
      <c r="P232" s="9">
        <v>27384</v>
      </c>
      <c r="Q232" t="s">
        <v>41</v>
      </c>
      <c r="R232" t="s">
        <v>617</v>
      </c>
      <c r="S232" t="s">
        <v>55</v>
      </c>
      <c r="T232" t="s">
        <v>44</v>
      </c>
      <c r="U232" t="s">
        <v>45</v>
      </c>
      <c r="V232" t="s">
        <v>46</v>
      </c>
      <c r="W232" s="9">
        <v>41978</v>
      </c>
      <c r="X232" s="9"/>
      <c r="Y232" t="s">
        <v>47</v>
      </c>
      <c r="Z232" t="s">
        <v>48</v>
      </c>
      <c r="AA232" t="s">
        <v>145</v>
      </c>
      <c r="AB232" t="s">
        <v>146</v>
      </c>
      <c r="AC232" t="s">
        <v>508</v>
      </c>
      <c r="AD232" t="s">
        <v>61</v>
      </c>
      <c r="AE232">
        <v>3.98</v>
      </c>
      <c r="AF232">
        <v>3</v>
      </c>
      <c r="AG232">
        <v>0</v>
      </c>
      <c r="AH232" s="9">
        <v>43493</v>
      </c>
      <c r="AI232">
        <v>4</v>
      </c>
      <c r="AJ232">
        <v>45</v>
      </c>
      <c r="AK232">
        <v>5</v>
      </c>
      <c r="AL232">
        <v>17</v>
      </c>
      <c r="AM232" t="str">
        <f>IF(Cleaned_Data[[#This Row],[DateofTermination]]="","",YEAR(Cleaned_Data[[#This Row],[DateofTermination]]))</f>
        <v/>
      </c>
      <c r="AN232">
        <v>1</v>
      </c>
    </row>
    <row r="233" spans="1:40" x14ac:dyDescent="0.35">
      <c r="A233" t="s">
        <v>400</v>
      </c>
      <c r="B233">
        <v>10058</v>
      </c>
      <c r="C233">
        <v>0</v>
      </c>
      <c r="D233">
        <v>2</v>
      </c>
      <c r="E233">
        <v>1</v>
      </c>
      <c r="F233">
        <v>5</v>
      </c>
      <c r="G233">
        <v>5</v>
      </c>
      <c r="H233">
        <v>3</v>
      </c>
      <c r="I233">
        <v>0</v>
      </c>
      <c r="J233">
        <v>45115</v>
      </c>
      <c r="K233">
        <v>1</v>
      </c>
      <c r="L233">
        <v>19</v>
      </c>
      <c r="M233" t="s">
        <v>39</v>
      </c>
      <c r="N233" t="s">
        <v>40</v>
      </c>
      <c r="O233">
        <v>2176</v>
      </c>
      <c r="P233" s="9">
        <v>31528</v>
      </c>
      <c r="Q233" t="s">
        <v>41</v>
      </c>
      <c r="R233" t="s">
        <v>617</v>
      </c>
      <c r="S233" t="s">
        <v>70</v>
      </c>
      <c r="T233" t="s">
        <v>44</v>
      </c>
      <c r="U233" t="s">
        <v>92</v>
      </c>
      <c r="V233" t="s">
        <v>46</v>
      </c>
      <c r="W233" s="9">
        <v>40679</v>
      </c>
      <c r="X233" s="9">
        <v>42384</v>
      </c>
      <c r="Y233" t="s">
        <v>134</v>
      </c>
      <c r="Z233" t="s">
        <v>57</v>
      </c>
      <c r="AA233" t="s">
        <v>495</v>
      </c>
      <c r="AB233" t="s">
        <v>68</v>
      </c>
      <c r="AC233" t="s">
        <v>496</v>
      </c>
      <c r="AD233" t="s">
        <v>61</v>
      </c>
      <c r="AE233">
        <v>5</v>
      </c>
      <c r="AF233">
        <v>4</v>
      </c>
      <c r="AG233">
        <v>0</v>
      </c>
      <c r="AH233" s="9">
        <v>42093</v>
      </c>
      <c r="AI233">
        <v>11</v>
      </c>
      <c r="AJ233">
        <v>30</v>
      </c>
      <c r="AK233">
        <v>5</v>
      </c>
      <c r="AL233">
        <v>16</v>
      </c>
      <c r="AM233">
        <f>IF(Cleaned_Data[[#This Row],[DateofTermination]]="","",YEAR(Cleaned_Data[[#This Row],[DateofTermination]]))</f>
        <v>2016</v>
      </c>
      <c r="AN233">
        <v>1</v>
      </c>
    </row>
    <row r="234" spans="1:40" x14ac:dyDescent="0.35">
      <c r="A234" t="s">
        <v>569</v>
      </c>
      <c r="B234">
        <v>10011</v>
      </c>
      <c r="C234">
        <v>1</v>
      </c>
      <c r="D234">
        <v>1</v>
      </c>
      <c r="E234">
        <v>0</v>
      </c>
      <c r="F234">
        <v>1</v>
      </c>
      <c r="G234">
        <v>5</v>
      </c>
      <c r="H234">
        <v>4</v>
      </c>
      <c r="I234">
        <v>0</v>
      </c>
      <c r="J234">
        <v>46738</v>
      </c>
      <c r="K234">
        <v>0</v>
      </c>
      <c r="L234">
        <v>19</v>
      </c>
      <c r="M234" t="s">
        <v>39</v>
      </c>
      <c r="N234" t="s">
        <v>40</v>
      </c>
      <c r="O234">
        <v>2171</v>
      </c>
      <c r="P234" s="9">
        <v>32128</v>
      </c>
      <c r="Q234" t="s">
        <v>41</v>
      </c>
      <c r="R234" t="s">
        <v>618</v>
      </c>
      <c r="S234" t="s">
        <v>55</v>
      </c>
      <c r="T234" t="s">
        <v>44</v>
      </c>
      <c r="U234" t="s">
        <v>45</v>
      </c>
      <c r="V234" t="s">
        <v>116</v>
      </c>
      <c r="W234" s="9">
        <v>40875</v>
      </c>
      <c r="X234" s="9"/>
      <c r="Y234" t="s">
        <v>47</v>
      </c>
      <c r="Z234" t="s">
        <v>48</v>
      </c>
      <c r="AA234" t="s">
        <v>495</v>
      </c>
      <c r="AB234" t="s">
        <v>72</v>
      </c>
      <c r="AC234" t="s">
        <v>73</v>
      </c>
      <c r="AD234" t="s">
        <v>52</v>
      </c>
      <c r="AE234">
        <v>4.3600000000000003</v>
      </c>
      <c r="AF234">
        <v>5</v>
      </c>
      <c r="AG234">
        <v>0</v>
      </c>
      <c r="AH234" s="9">
        <v>43771</v>
      </c>
      <c r="AI234">
        <v>16</v>
      </c>
      <c r="AJ234">
        <v>32</v>
      </c>
      <c r="AK234">
        <v>8</v>
      </c>
      <c r="AL234">
        <v>39</v>
      </c>
      <c r="AM234" t="str">
        <f>IF(Cleaned_Data[[#This Row],[DateofTermination]]="","",YEAR(Cleaned_Data[[#This Row],[DateofTermination]]))</f>
        <v/>
      </c>
      <c r="AN234">
        <v>1</v>
      </c>
    </row>
    <row r="235" spans="1:40" x14ac:dyDescent="0.35">
      <c r="A235" t="s">
        <v>402</v>
      </c>
      <c r="B235">
        <v>10230</v>
      </c>
      <c r="C235">
        <v>0</v>
      </c>
      <c r="D235">
        <v>2</v>
      </c>
      <c r="E235">
        <v>0</v>
      </c>
      <c r="F235">
        <v>5</v>
      </c>
      <c r="G235">
        <v>5</v>
      </c>
      <c r="H235">
        <v>3</v>
      </c>
      <c r="I235">
        <v>0</v>
      </c>
      <c r="J235">
        <v>64971</v>
      </c>
      <c r="K235">
        <v>1</v>
      </c>
      <c r="L235">
        <v>20</v>
      </c>
      <c r="M235" t="s">
        <v>500</v>
      </c>
      <c r="N235" t="s">
        <v>40</v>
      </c>
      <c r="O235">
        <v>1902</v>
      </c>
      <c r="P235" s="9">
        <v>29690</v>
      </c>
      <c r="Q235" t="s">
        <v>41</v>
      </c>
      <c r="R235" t="s">
        <v>618</v>
      </c>
      <c r="S235" t="s">
        <v>70</v>
      </c>
      <c r="T235" t="s">
        <v>111</v>
      </c>
      <c r="U235" t="s">
        <v>45</v>
      </c>
      <c r="V235" t="s">
        <v>85</v>
      </c>
      <c r="W235" s="9">
        <v>40812</v>
      </c>
      <c r="X235" s="9">
        <v>40838</v>
      </c>
      <c r="Y235" t="s">
        <v>71</v>
      </c>
      <c r="Z235" t="s">
        <v>57</v>
      </c>
      <c r="AA235" t="s">
        <v>495</v>
      </c>
      <c r="AB235" t="s">
        <v>94</v>
      </c>
      <c r="AC235" t="s">
        <v>73</v>
      </c>
      <c r="AD235" t="s">
        <v>61</v>
      </c>
      <c r="AE235">
        <v>4.5</v>
      </c>
      <c r="AF235">
        <v>4</v>
      </c>
      <c r="AG235">
        <v>0</v>
      </c>
      <c r="AH235" s="9">
        <v>40838</v>
      </c>
      <c r="AI235">
        <v>10</v>
      </c>
      <c r="AJ235">
        <v>31</v>
      </c>
      <c r="AK235">
        <v>0</v>
      </c>
      <c r="AL235">
        <v>14</v>
      </c>
      <c r="AM235">
        <f>IF(Cleaned_Data[[#This Row],[DateofTermination]]="","",YEAR(Cleaned_Data[[#This Row],[DateofTermination]]))</f>
        <v>2011</v>
      </c>
      <c r="AN235">
        <v>1</v>
      </c>
    </row>
    <row r="236" spans="1:40" x14ac:dyDescent="0.35">
      <c r="A236" t="s">
        <v>403</v>
      </c>
      <c r="B236">
        <v>10224</v>
      </c>
      <c r="C236">
        <v>1</v>
      </c>
      <c r="D236">
        <v>1</v>
      </c>
      <c r="E236">
        <v>1</v>
      </c>
      <c r="F236">
        <v>5</v>
      </c>
      <c r="G236">
        <v>5</v>
      </c>
      <c r="H236">
        <v>3</v>
      </c>
      <c r="I236">
        <v>0</v>
      </c>
      <c r="J236">
        <v>55578</v>
      </c>
      <c r="K236">
        <v>1</v>
      </c>
      <c r="L236">
        <v>20</v>
      </c>
      <c r="M236" t="s">
        <v>500</v>
      </c>
      <c r="N236" t="s">
        <v>40</v>
      </c>
      <c r="O236">
        <v>2138</v>
      </c>
      <c r="P236" s="9">
        <v>31283</v>
      </c>
      <c r="Q236" t="s">
        <v>41</v>
      </c>
      <c r="R236" t="s">
        <v>617</v>
      </c>
      <c r="S236" t="s">
        <v>55</v>
      </c>
      <c r="T236" t="s">
        <v>44</v>
      </c>
      <c r="U236" t="s">
        <v>45</v>
      </c>
      <c r="V236" t="s">
        <v>46</v>
      </c>
      <c r="W236" s="9">
        <v>40670</v>
      </c>
      <c r="X236" s="9">
        <v>41123</v>
      </c>
      <c r="Y236" t="s">
        <v>93</v>
      </c>
      <c r="Z236" t="s">
        <v>57</v>
      </c>
      <c r="AA236" t="s">
        <v>495</v>
      </c>
      <c r="AB236" t="s">
        <v>66</v>
      </c>
      <c r="AC236" t="s">
        <v>60</v>
      </c>
      <c r="AD236" t="s">
        <v>61</v>
      </c>
      <c r="AE236">
        <v>4.2</v>
      </c>
      <c r="AF236">
        <v>5</v>
      </c>
      <c r="AG236">
        <v>0</v>
      </c>
      <c r="AH236" s="9">
        <v>41061</v>
      </c>
      <c r="AI236">
        <v>13</v>
      </c>
      <c r="AJ236">
        <v>27</v>
      </c>
      <c r="AK236">
        <v>1</v>
      </c>
      <c r="AL236">
        <v>20</v>
      </c>
      <c r="AM236">
        <f>IF(Cleaned_Data[[#This Row],[DateofTermination]]="","",YEAR(Cleaned_Data[[#This Row],[DateofTermination]]))</f>
        <v>2012</v>
      </c>
      <c r="AN236">
        <v>1</v>
      </c>
    </row>
    <row r="237" spans="1:40" x14ac:dyDescent="0.35">
      <c r="A237" t="s">
        <v>570</v>
      </c>
      <c r="B237">
        <v>10047</v>
      </c>
      <c r="C237">
        <v>1</v>
      </c>
      <c r="D237">
        <v>1</v>
      </c>
      <c r="E237">
        <v>1</v>
      </c>
      <c r="F237">
        <v>5</v>
      </c>
      <c r="G237">
        <v>5</v>
      </c>
      <c r="H237">
        <v>3</v>
      </c>
      <c r="I237">
        <v>0</v>
      </c>
      <c r="J237">
        <v>50428</v>
      </c>
      <c r="K237">
        <v>1</v>
      </c>
      <c r="L237">
        <v>19</v>
      </c>
      <c r="M237" t="s">
        <v>39</v>
      </c>
      <c r="N237" t="s">
        <v>40</v>
      </c>
      <c r="O237">
        <v>1420</v>
      </c>
      <c r="P237" s="9">
        <v>32282</v>
      </c>
      <c r="Q237" t="s">
        <v>41</v>
      </c>
      <c r="R237" t="s">
        <v>617</v>
      </c>
      <c r="S237" t="s">
        <v>55</v>
      </c>
      <c r="T237" t="s">
        <v>44</v>
      </c>
      <c r="U237" t="s">
        <v>45</v>
      </c>
      <c r="V237" t="s">
        <v>85</v>
      </c>
      <c r="W237" s="9">
        <v>40817</v>
      </c>
      <c r="X237" s="9">
        <v>42395</v>
      </c>
      <c r="Y237" t="s">
        <v>107</v>
      </c>
      <c r="Z237" t="s">
        <v>57</v>
      </c>
      <c r="AA237" t="s">
        <v>495</v>
      </c>
      <c r="AB237" t="s">
        <v>75</v>
      </c>
      <c r="AC237" t="s">
        <v>60</v>
      </c>
      <c r="AD237" t="s">
        <v>61</v>
      </c>
      <c r="AE237">
        <v>5</v>
      </c>
      <c r="AF237">
        <v>3</v>
      </c>
      <c r="AG237">
        <v>0</v>
      </c>
      <c r="AH237" s="9">
        <v>42278</v>
      </c>
      <c r="AI237">
        <v>11</v>
      </c>
      <c r="AJ237">
        <v>28</v>
      </c>
      <c r="AK237">
        <v>4</v>
      </c>
      <c r="AL237">
        <v>11</v>
      </c>
      <c r="AM237">
        <f>IF(Cleaned_Data[[#This Row],[DateofTermination]]="","",YEAR(Cleaned_Data[[#This Row],[DateofTermination]]))</f>
        <v>2016</v>
      </c>
      <c r="AN237">
        <v>1</v>
      </c>
    </row>
    <row r="238" spans="1:40" x14ac:dyDescent="0.35">
      <c r="A238" t="s">
        <v>405</v>
      </c>
      <c r="B238">
        <v>10285</v>
      </c>
      <c r="C238">
        <v>1</v>
      </c>
      <c r="D238">
        <v>1</v>
      </c>
      <c r="E238">
        <v>0</v>
      </c>
      <c r="F238">
        <v>4</v>
      </c>
      <c r="G238">
        <v>5</v>
      </c>
      <c r="H238">
        <v>2</v>
      </c>
      <c r="I238">
        <v>0</v>
      </c>
      <c r="J238">
        <v>61422</v>
      </c>
      <c r="K238">
        <v>1</v>
      </c>
      <c r="L238">
        <v>19</v>
      </c>
      <c r="M238" t="s">
        <v>39</v>
      </c>
      <c r="N238" t="s">
        <v>40</v>
      </c>
      <c r="O238">
        <v>1460</v>
      </c>
      <c r="P238" s="9">
        <v>32106</v>
      </c>
      <c r="Q238" t="s">
        <v>41</v>
      </c>
      <c r="R238" t="s">
        <v>618</v>
      </c>
      <c r="S238" t="s">
        <v>55</v>
      </c>
      <c r="T238" t="s">
        <v>44</v>
      </c>
      <c r="U238" t="s">
        <v>45</v>
      </c>
      <c r="V238" t="s">
        <v>46</v>
      </c>
      <c r="W238" s="9">
        <v>40817</v>
      </c>
      <c r="X238" s="9">
        <v>42507</v>
      </c>
      <c r="Y238" t="s">
        <v>107</v>
      </c>
      <c r="Z238" t="s">
        <v>108</v>
      </c>
      <c r="AA238" t="s">
        <v>495</v>
      </c>
      <c r="AB238" t="s">
        <v>82</v>
      </c>
      <c r="AC238" t="s">
        <v>60</v>
      </c>
      <c r="AD238" t="s">
        <v>122</v>
      </c>
      <c r="AE238">
        <v>3.6</v>
      </c>
      <c r="AF238">
        <v>3</v>
      </c>
      <c r="AG238">
        <v>0</v>
      </c>
      <c r="AH238" s="9">
        <v>42494</v>
      </c>
      <c r="AI238">
        <v>16</v>
      </c>
      <c r="AJ238">
        <v>28</v>
      </c>
      <c r="AK238">
        <v>5</v>
      </c>
      <c r="AL238">
        <v>19</v>
      </c>
      <c r="AM238">
        <f>IF(Cleaned_Data[[#This Row],[DateofTermination]]="","",YEAR(Cleaned_Data[[#This Row],[DateofTermination]]))</f>
        <v>2016</v>
      </c>
      <c r="AN238">
        <v>1</v>
      </c>
    </row>
    <row r="239" spans="1:40" x14ac:dyDescent="0.35">
      <c r="A239" t="s">
        <v>406</v>
      </c>
      <c r="B239">
        <v>10020</v>
      </c>
      <c r="C239">
        <v>0</v>
      </c>
      <c r="D239">
        <v>4</v>
      </c>
      <c r="E239">
        <v>1</v>
      </c>
      <c r="F239">
        <v>1</v>
      </c>
      <c r="G239">
        <v>5</v>
      </c>
      <c r="H239">
        <v>4</v>
      </c>
      <c r="I239">
        <v>0</v>
      </c>
      <c r="J239">
        <v>63353</v>
      </c>
      <c r="K239">
        <v>0</v>
      </c>
      <c r="L239">
        <v>19</v>
      </c>
      <c r="M239" t="s">
        <v>39</v>
      </c>
      <c r="N239" t="s">
        <v>40</v>
      </c>
      <c r="O239">
        <v>1730</v>
      </c>
      <c r="P239" s="9">
        <v>23314</v>
      </c>
      <c r="Q239" t="s">
        <v>96</v>
      </c>
      <c r="R239" t="s">
        <v>617</v>
      </c>
      <c r="S239" t="s">
        <v>81</v>
      </c>
      <c r="T239" t="s">
        <v>44</v>
      </c>
      <c r="U239" t="s">
        <v>45</v>
      </c>
      <c r="V239" t="s">
        <v>46</v>
      </c>
      <c r="W239" s="9">
        <v>41493</v>
      </c>
      <c r="X239" s="9"/>
      <c r="Y239" t="s">
        <v>47</v>
      </c>
      <c r="Z239" t="s">
        <v>48</v>
      </c>
      <c r="AA239" t="s">
        <v>495</v>
      </c>
      <c r="AB239" t="s">
        <v>86</v>
      </c>
      <c r="AC239" t="s">
        <v>625</v>
      </c>
      <c r="AD239" t="s">
        <v>52</v>
      </c>
      <c r="AE239">
        <v>3.6</v>
      </c>
      <c r="AF239">
        <v>5</v>
      </c>
      <c r="AG239">
        <v>0</v>
      </c>
      <c r="AH239" s="9">
        <v>43771</v>
      </c>
      <c r="AI239">
        <v>4</v>
      </c>
      <c r="AJ239">
        <v>56</v>
      </c>
      <c r="AK239">
        <v>6</v>
      </c>
      <c r="AL239">
        <v>12</v>
      </c>
      <c r="AM239" t="str">
        <f>IF(Cleaned_Data[[#This Row],[DateofTermination]]="","",YEAR(Cleaned_Data[[#This Row],[DateofTermination]]))</f>
        <v/>
      </c>
      <c r="AN239">
        <v>1</v>
      </c>
    </row>
    <row r="240" spans="1:40" x14ac:dyDescent="0.35">
      <c r="A240" t="s">
        <v>571</v>
      </c>
      <c r="B240">
        <v>10162</v>
      </c>
      <c r="C240">
        <v>1</v>
      </c>
      <c r="D240">
        <v>1</v>
      </c>
      <c r="E240">
        <v>0</v>
      </c>
      <c r="F240">
        <v>1</v>
      </c>
      <c r="G240">
        <v>3</v>
      </c>
      <c r="H240">
        <v>3</v>
      </c>
      <c r="I240">
        <v>0</v>
      </c>
      <c r="J240">
        <v>89883</v>
      </c>
      <c r="K240">
        <v>0</v>
      </c>
      <c r="L240">
        <v>9</v>
      </c>
      <c r="M240" t="s">
        <v>99</v>
      </c>
      <c r="N240" t="s">
        <v>40</v>
      </c>
      <c r="O240">
        <v>1886</v>
      </c>
      <c r="P240" s="9">
        <v>30910</v>
      </c>
      <c r="Q240" t="s">
        <v>41</v>
      </c>
      <c r="R240" t="s">
        <v>618</v>
      </c>
      <c r="S240" t="s">
        <v>55</v>
      </c>
      <c r="T240" t="s">
        <v>44</v>
      </c>
      <c r="U240" t="s">
        <v>45</v>
      </c>
      <c r="V240" t="s">
        <v>46</v>
      </c>
      <c r="W240" s="9">
        <v>42051</v>
      </c>
      <c r="X240" s="9"/>
      <c r="Y240" t="s">
        <v>47</v>
      </c>
      <c r="Z240" t="s">
        <v>48</v>
      </c>
      <c r="AA240" t="s">
        <v>499</v>
      </c>
      <c r="AB240" t="s">
        <v>59</v>
      </c>
      <c r="AC240" t="s">
        <v>625</v>
      </c>
      <c r="AD240" t="s">
        <v>61</v>
      </c>
      <c r="AE240">
        <v>3.69</v>
      </c>
      <c r="AF240">
        <v>5</v>
      </c>
      <c r="AG240">
        <v>6</v>
      </c>
      <c r="AH240" s="9">
        <v>43510</v>
      </c>
      <c r="AI240">
        <v>15</v>
      </c>
      <c r="AJ240">
        <v>35</v>
      </c>
      <c r="AK240">
        <v>5</v>
      </c>
      <c r="AL240">
        <v>4</v>
      </c>
      <c r="AM240" t="str">
        <f>IF(Cleaned_Data[[#This Row],[DateofTermination]]="","",YEAR(Cleaned_Data[[#This Row],[DateofTermination]]))</f>
        <v/>
      </c>
      <c r="AN240">
        <v>1</v>
      </c>
    </row>
    <row r="241" spans="1:40" x14ac:dyDescent="0.35">
      <c r="A241" t="s">
        <v>408</v>
      </c>
      <c r="B241">
        <v>10149</v>
      </c>
      <c r="C241">
        <v>0</v>
      </c>
      <c r="D241">
        <v>0</v>
      </c>
      <c r="E241">
        <v>0</v>
      </c>
      <c r="F241">
        <v>5</v>
      </c>
      <c r="G241">
        <v>3</v>
      </c>
      <c r="H241">
        <v>3</v>
      </c>
      <c r="I241">
        <v>0</v>
      </c>
      <c r="J241">
        <v>120000</v>
      </c>
      <c r="K241">
        <v>1</v>
      </c>
      <c r="L241">
        <v>29</v>
      </c>
      <c r="M241" t="s">
        <v>409</v>
      </c>
      <c r="N241" t="s">
        <v>40</v>
      </c>
      <c r="O241">
        <v>2703</v>
      </c>
      <c r="P241" s="9">
        <v>31942</v>
      </c>
      <c r="Q241" t="s">
        <v>41</v>
      </c>
      <c r="R241" t="s">
        <v>618</v>
      </c>
      <c r="S241" t="s">
        <v>43</v>
      </c>
      <c r="T241" t="s">
        <v>44</v>
      </c>
      <c r="U241" t="s">
        <v>92</v>
      </c>
      <c r="V241" t="s">
        <v>46</v>
      </c>
      <c r="W241" s="9">
        <v>42125</v>
      </c>
      <c r="X241" s="9">
        <v>43384</v>
      </c>
      <c r="Y241" t="s">
        <v>93</v>
      </c>
      <c r="Z241" t="s">
        <v>57</v>
      </c>
      <c r="AA241" t="s">
        <v>499</v>
      </c>
      <c r="AB241" t="s">
        <v>59</v>
      </c>
      <c r="AC241" t="s">
        <v>496</v>
      </c>
      <c r="AD241" t="s">
        <v>61</v>
      </c>
      <c r="AE241">
        <v>3.88</v>
      </c>
      <c r="AF241">
        <v>3</v>
      </c>
      <c r="AG241">
        <v>7</v>
      </c>
      <c r="AH241" s="9">
        <v>43144</v>
      </c>
      <c r="AI241">
        <v>12</v>
      </c>
      <c r="AJ241">
        <v>31</v>
      </c>
      <c r="AK241">
        <v>3</v>
      </c>
      <c r="AL241">
        <v>4</v>
      </c>
      <c r="AM241">
        <f>IF(Cleaned_Data[[#This Row],[DateofTermination]]="","",YEAR(Cleaned_Data[[#This Row],[DateofTermination]]))</f>
        <v>2018</v>
      </c>
      <c r="AN241">
        <v>1</v>
      </c>
    </row>
    <row r="242" spans="1:40" x14ac:dyDescent="0.35">
      <c r="A242" t="s">
        <v>410</v>
      </c>
      <c r="B242">
        <v>10086</v>
      </c>
      <c r="C242">
        <v>0</v>
      </c>
      <c r="D242">
        <v>0</v>
      </c>
      <c r="E242">
        <v>0</v>
      </c>
      <c r="F242">
        <v>1</v>
      </c>
      <c r="G242">
        <v>3</v>
      </c>
      <c r="H242">
        <v>3</v>
      </c>
      <c r="I242">
        <v>0</v>
      </c>
      <c r="J242">
        <v>150290</v>
      </c>
      <c r="K242">
        <v>0</v>
      </c>
      <c r="L242">
        <v>7</v>
      </c>
      <c r="M242" t="s">
        <v>411</v>
      </c>
      <c r="N242" t="s">
        <v>40</v>
      </c>
      <c r="O242">
        <v>2056</v>
      </c>
      <c r="P242" s="9">
        <v>25039</v>
      </c>
      <c r="Q242" t="s">
        <v>41</v>
      </c>
      <c r="R242" t="s">
        <v>618</v>
      </c>
      <c r="S242" t="s">
        <v>43</v>
      </c>
      <c r="T242" t="s">
        <v>44</v>
      </c>
      <c r="U242" t="s">
        <v>45</v>
      </c>
      <c r="V242" t="s">
        <v>85</v>
      </c>
      <c r="W242" s="9">
        <v>42917</v>
      </c>
      <c r="X242" s="9"/>
      <c r="Y242" t="s">
        <v>47</v>
      </c>
      <c r="Z242" t="s">
        <v>48</v>
      </c>
      <c r="AA242" t="s">
        <v>499</v>
      </c>
      <c r="AB242" t="s">
        <v>201</v>
      </c>
      <c r="AC242" t="s">
        <v>60</v>
      </c>
      <c r="AD242" t="s">
        <v>61</v>
      </c>
      <c r="AE242">
        <v>4.9400000000000004</v>
      </c>
      <c r="AF242">
        <v>3</v>
      </c>
      <c r="AG242">
        <v>5</v>
      </c>
      <c r="AH242" s="9">
        <v>43618</v>
      </c>
      <c r="AI242">
        <v>17</v>
      </c>
      <c r="AJ242">
        <v>51</v>
      </c>
      <c r="AK242">
        <v>2</v>
      </c>
      <c r="AL242">
        <v>13</v>
      </c>
      <c r="AM242" t="str">
        <f>IF(Cleaned_Data[[#This Row],[DateofTermination]]="","",YEAR(Cleaned_Data[[#This Row],[DateofTermination]]))</f>
        <v/>
      </c>
      <c r="AN242">
        <v>1</v>
      </c>
    </row>
    <row r="243" spans="1:40" x14ac:dyDescent="0.35">
      <c r="A243" t="s">
        <v>572</v>
      </c>
      <c r="B243">
        <v>10054</v>
      </c>
      <c r="C243">
        <v>0</v>
      </c>
      <c r="D243">
        <v>3</v>
      </c>
      <c r="E243">
        <v>0</v>
      </c>
      <c r="F243">
        <v>1</v>
      </c>
      <c r="G243">
        <v>5</v>
      </c>
      <c r="H243">
        <v>3</v>
      </c>
      <c r="I243">
        <v>0</v>
      </c>
      <c r="J243">
        <v>60627</v>
      </c>
      <c r="K243">
        <v>0</v>
      </c>
      <c r="L243">
        <v>19</v>
      </c>
      <c r="M243" t="s">
        <v>39</v>
      </c>
      <c r="N243" t="s">
        <v>40</v>
      </c>
      <c r="O243">
        <v>1886</v>
      </c>
      <c r="P243" s="9">
        <v>27667</v>
      </c>
      <c r="Q243" t="s">
        <v>41</v>
      </c>
      <c r="R243" t="s">
        <v>618</v>
      </c>
      <c r="S243" t="s">
        <v>141</v>
      </c>
      <c r="T243" t="s">
        <v>44</v>
      </c>
      <c r="U243" t="s">
        <v>45</v>
      </c>
      <c r="V243" t="s">
        <v>46</v>
      </c>
      <c r="W243" s="9">
        <v>41791</v>
      </c>
      <c r="X243" s="9"/>
      <c r="Y243" t="s">
        <v>47</v>
      </c>
      <c r="Z243" t="s">
        <v>48</v>
      </c>
      <c r="AA243" t="s">
        <v>495</v>
      </c>
      <c r="AB243" t="s">
        <v>94</v>
      </c>
      <c r="AC243" t="s">
        <v>205</v>
      </c>
      <c r="AD243" t="s">
        <v>61</v>
      </c>
      <c r="AE243">
        <v>5</v>
      </c>
      <c r="AF243">
        <v>4</v>
      </c>
      <c r="AG243">
        <v>0</v>
      </c>
      <c r="AH243" s="9">
        <v>43496</v>
      </c>
      <c r="AI243">
        <v>8</v>
      </c>
      <c r="AJ243">
        <v>44</v>
      </c>
      <c r="AK243">
        <v>6</v>
      </c>
      <c r="AL243">
        <v>14</v>
      </c>
      <c r="AM243" t="str">
        <f>IF(Cleaned_Data[[#This Row],[DateofTermination]]="","",YEAR(Cleaned_Data[[#This Row],[DateofTermination]]))</f>
        <v/>
      </c>
      <c r="AN243">
        <v>1</v>
      </c>
    </row>
    <row r="244" spans="1:40" x14ac:dyDescent="0.35">
      <c r="A244" t="s">
        <v>413</v>
      </c>
      <c r="B244">
        <v>10065</v>
      </c>
      <c r="C244">
        <v>0</v>
      </c>
      <c r="D244">
        <v>0</v>
      </c>
      <c r="E244">
        <v>1</v>
      </c>
      <c r="F244">
        <v>5</v>
      </c>
      <c r="G244">
        <v>5</v>
      </c>
      <c r="H244">
        <v>3</v>
      </c>
      <c r="I244">
        <v>0</v>
      </c>
      <c r="J244">
        <v>53180</v>
      </c>
      <c r="K244">
        <v>1</v>
      </c>
      <c r="L244">
        <v>19</v>
      </c>
      <c r="M244" t="s">
        <v>39</v>
      </c>
      <c r="N244" t="s">
        <v>40</v>
      </c>
      <c r="O244">
        <v>2155</v>
      </c>
      <c r="P244" s="9">
        <v>26749</v>
      </c>
      <c r="Q244" t="s">
        <v>41</v>
      </c>
      <c r="R244" t="s">
        <v>617</v>
      </c>
      <c r="S244" t="s">
        <v>43</v>
      </c>
      <c r="T244" t="s">
        <v>44</v>
      </c>
      <c r="U244" t="s">
        <v>45</v>
      </c>
      <c r="V244" t="s">
        <v>46</v>
      </c>
      <c r="W244" s="9">
        <v>40637</v>
      </c>
      <c r="X244" s="9">
        <v>43325</v>
      </c>
      <c r="Y244" t="s">
        <v>93</v>
      </c>
      <c r="Z244" t="s">
        <v>57</v>
      </c>
      <c r="AA244" t="s">
        <v>495</v>
      </c>
      <c r="AB244" t="s">
        <v>66</v>
      </c>
      <c r="AC244" t="s">
        <v>73</v>
      </c>
      <c r="AD244" t="s">
        <v>61</v>
      </c>
      <c r="AE244">
        <v>5</v>
      </c>
      <c r="AF244">
        <v>5</v>
      </c>
      <c r="AG244">
        <v>0</v>
      </c>
      <c r="AH244" s="9">
        <v>43138</v>
      </c>
      <c r="AI244">
        <v>4</v>
      </c>
      <c r="AJ244">
        <v>45</v>
      </c>
      <c r="AK244">
        <v>7</v>
      </c>
      <c r="AL244">
        <v>20</v>
      </c>
      <c r="AM244">
        <f>IF(Cleaned_Data[[#This Row],[DateofTermination]]="","",YEAR(Cleaned_Data[[#This Row],[DateofTermination]]))</f>
        <v>2018</v>
      </c>
      <c r="AN244">
        <v>1</v>
      </c>
    </row>
    <row r="245" spans="1:40" x14ac:dyDescent="0.35">
      <c r="A245" t="s">
        <v>414</v>
      </c>
      <c r="B245">
        <v>10198</v>
      </c>
      <c r="C245">
        <v>0</v>
      </c>
      <c r="D245">
        <v>0</v>
      </c>
      <c r="E245">
        <v>1</v>
      </c>
      <c r="F245">
        <v>1</v>
      </c>
      <c r="G245">
        <v>3</v>
      </c>
      <c r="H245">
        <v>3</v>
      </c>
      <c r="I245">
        <v>0</v>
      </c>
      <c r="J245">
        <v>140920</v>
      </c>
      <c r="K245">
        <v>0</v>
      </c>
      <c r="L245">
        <v>13</v>
      </c>
      <c r="M245" t="s">
        <v>573</v>
      </c>
      <c r="N245" t="s">
        <v>40</v>
      </c>
      <c r="O245">
        <v>2481</v>
      </c>
      <c r="P245" s="9">
        <v>30188</v>
      </c>
      <c r="Q245" t="s">
        <v>41</v>
      </c>
      <c r="R245" t="s">
        <v>617</v>
      </c>
      <c r="S245" t="s">
        <v>43</v>
      </c>
      <c r="T245" t="s">
        <v>44</v>
      </c>
      <c r="U245" t="s">
        <v>45</v>
      </c>
      <c r="V245" t="s">
        <v>46</v>
      </c>
      <c r="W245" s="9">
        <v>41294</v>
      </c>
      <c r="X245" s="9"/>
      <c r="Y245" t="s">
        <v>47</v>
      </c>
      <c r="Z245" t="s">
        <v>48</v>
      </c>
      <c r="AA245" t="s">
        <v>499</v>
      </c>
      <c r="AB245" t="s">
        <v>151</v>
      </c>
      <c r="AC245" t="s">
        <v>60</v>
      </c>
      <c r="AD245" t="s">
        <v>61</v>
      </c>
      <c r="AE245">
        <v>3.6</v>
      </c>
      <c r="AF245">
        <v>5</v>
      </c>
      <c r="AG245">
        <v>7</v>
      </c>
      <c r="AH245" s="9">
        <v>43514</v>
      </c>
      <c r="AI245">
        <v>13</v>
      </c>
      <c r="AJ245">
        <v>37</v>
      </c>
      <c r="AK245">
        <v>7</v>
      </c>
      <c r="AL245">
        <v>5</v>
      </c>
      <c r="AM245" t="str">
        <f>IF(Cleaned_Data[[#This Row],[DateofTermination]]="","",YEAR(Cleaned_Data[[#This Row],[DateofTermination]]))</f>
        <v/>
      </c>
      <c r="AN245">
        <v>1</v>
      </c>
    </row>
    <row r="246" spans="1:40" x14ac:dyDescent="0.35">
      <c r="A246" t="s">
        <v>416</v>
      </c>
      <c r="B246">
        <v>10222</v>
      </c>
      <c r="C246">
        <v>0</v>
      </c>
      <c r="D246">
        <v>2</v>
      </c>
      <c r="E246">
        <v>1</v>
      </c>
      <c r="F246">
        <v>5</v>
      </c>
      <c r="G246">
        <v>3</v>
      </c>
      <c r="H246">
        <v>3</v>
      </c>
      <c r="I246">
        <v>1</v>
      </c>
      <c r="J246">
        <v>148999</v>
      </c>
      <c r="K246">
        <v>1</v>
      </c>
      <c r="L246">
        <v>13</v>
      </c>
      <c r="M246" t="s">
        <v>573</v>
      </c>
      <c r="N246" t="s">
        <v>40</v>
      </c>
      <c r="O246">
        <v>1915</v>
      </c>
      <c r="P246" s="9">
        <v>31120</v>
      </c>
      <c r="Q246" t="s">
        <v>41</v>
      </c>
      <c r="R246" t="s">
        <v>617</v>
      </c>
      <c r="S246" t="s">
        <v>70</v>
      </c>
      <c r="T246" t="s">
        <v>44</v>
      </c>
      <c r="U246" t="s">
        <v>45</v>
      </c>
      <c r="V246" t="s">
        <v>85</v>
      </c>
      <c r="W246" s="9">
        <v>41153</v>
      </c>
      <c r="X246" s="9">
        <v>42105</v>
      </c>
      <c r="Y246" t="s">
        <v>65</v>
      </c>
      <c r="Z246" t="s">
        <v>57</v>
      </c>
      <c r="AA246" t="s">
        <v>499</v>
      </c>
      <c r="AB246" t="s">
        <v>151</v>
      </c>
      <c r="AC246" t="s">
        <v>624</v>
      </c>
      <c r="AD246" t="s">
        <v>61</v>
      </c>
      <c r="AE246">
        <v>4.3</v>
      </c>
      <c r="AF246">
        <v>4</v>
      </c>
      <c r="AG246">
        <v>6</v>
      </c>
      <c r="AH246" s="9">
        <v>42095</v>
      </c>
      <c r="AI246">
        <v>8</v>
      </c>
      <c r="AJ246">
        <v>30</v>
      </c>
      <c r="AK246">
        <v>3</v>
      </c>
      <c r="AL246">
        <v>5</v>
      </c>
      <c r="AM246">
        <f>IF(Cleaned_Data[[#This Row],[DateofTermination]]="","",YEAR(Cleaned_Data[[#This Row],[DateofTermination]]))</f>
        <v>2015</v>
      </c>
      <c r="AN246">
        <v>1</v>
      </c>
    </row>
    <row r="247" spans="1:40" x14ac:dyDescent="0.35">
      <c r="A247" t="s">
        <v>417</v>
      </c>
      <c r="B247">
        <v>10126</v>
      </c>
      <c r="C247">
        <v>1</v>
      </c>
      <c r="D247">
        <v>1</v>
      </c>
      <c r="E247">
        <v>0</v>
      </c>
      <c r="F247">
        <v>1</v>
      </c>
      <c r="G247">
        <v>4</v>
      </c>
      <c r="H247">
        <v>3</v>
      </c>
      <c r="I247">
        <v>0</v>
      </c>
      <c r="J247">
        <v>86214</v>
      </c>
      <c r="K247">
        <v>0</v>
      </c>
      <c r="L247">
        <v>24</v>
      </c>
      <c r="M247" t="s">
        <v>77</v>
      </c>
      <c r="N247" t="s">
        <v>40</v>
      </c>
      <c r="O247">
        <v>2132</v>
      </c>
      <c r="P247" s="9">
        <v>28577</v>
      </c>
      <c r="Q247" t="s">
        <v>41</v>
      </c>
      <c r="R247" t="s">
        <v>618</v>
      </c>
      <c r="S247" t="s">
        <v>55</v>
      </c>
      <c r="T247" t="s">
        <v>44</v>
      </c>
      <c r="U247" t="s">
        <v>45</v>
      </c>
      <c r="V247" t="s">
        <v>46</v>
      </c>
      <c r="W247" s="9">
        <v>41040</v>
      </c>
      <c r="X247" s="9"/>
      <c r="Y247" t="s">
        <v>47</v>
      </c>
      <c r="Z247" t="s">
        <v>48</v>
      </c>
      <c r="AA247" t="s">
        <v>78</v>
      </c>
      <c r="AB247" t="s">
        <v>79</v>
      </c>
      <c r="AC247" t="s">
        <v>60</v>
      </c>
      <c r="AD247" t="s">
        <v>61</v>
      </c>
      <c r="AE247">
        <v>4.2</v>
      </c>
      <c r="AF247">
        <v>3</v>
      </c>
      <c r="AG247">
        <v>6</v>
      </c>
      <c r="AH247" s="9">
        <v>43509</v>
      </c>
      <c r="AI247">
        <v>2</v>
      </c>
      <c r="AJ247">
        <v>42</v>
      </c>
      <c r="AK247">
        <v>8</v>
      </c>
      <c r="AL247">
        <v>10</v>
      </c>
      <c r="AM247" t="str">
        <f>IF(Cleaned_Data[[#This Row],[DateofTermination]]="","",YEAR(Cleaned_Data[[#This Row],[DateofTermination]]))</f>
        <v/>
      </c>
      <c r="AN247">
        <v>1</v>
      </c>
    </row>
    <row r="248" spans="1:40" x14ac:dyDescent="0.35">
      <c r="A248" t="s">
        <v>418</v>
      </c>
      <c r="B248">
        <v>10295</v>
      </c>
      <c r="C248">
        <v>0</v>
      </c>
      <c r="D248">
        <v>0</v>
      </c>
      <c r="E248">
        <v>0</v>
      </c>
      <c r="F248">
        <v>2</v>
      </c>
      <c r="G248">
        <v>5</v>
      </c>
      <c r="H248">
        <v>2</v>
      </c>
      <c r="I248">
        <v>1</v>
      </c>
      <c r="J248">
        <v>47750</v>
      </c>
      <c r="K248">
        <v>0</v>
      </c>
      <c r="L248">
        <v>19</v>
      </c>
      <c r="M248" t="s">
        <v>39</v>
      </c>
      <c r="N248" t="s">
        <v>40</v>
      </c>
      <c r="O248">
        <v>1801</v>
      </c>
      <c r="P248" s="9">
        <v>25065</v>
      </c>
      <c r="Q248" t="s">
        <v>41</v>
      </c>
      <c r="R248" t="s">
        <v>618</v>
      </c>
      <c r="S248" t="s">
        <v>43</v>
      </c>
      <c r="T248" t="s">
        <v>44</v>
      </c>
      <c r="U248" t="s">
        <v>45</v>
      </c>
      <c r="V248" t="s">
        <v>85</v>
      </c>
      <c r="W248" s="9">
        <v>42467</v>
      </c>
      <c r="X248" s="9"/>
      <c r="Y248" t="s">
        <v>47</v>
      </c>
      <c r="Z248" t="s">
        <v>48</v>
      </c>
      <c r="AA248" t="s">
        <v>495</v>
      </c>
      <c r="AB248" t="s">
        <v>103</v>
      </c>
      <c r="AC248" t="s">
        <v>624</v>
      </c>
      <c r="AD248" t="s">
        <v>122</v>
      </c>
      <c r="AE248">
        <v>2.6</v>
      </c>
      <c r="AF248">
        <v>4</v>
      </c>
      <c r="AG248">
        <v>0</v>
      </c>
      <c r="AH248" s="9">
        <v>43514</v>
      </c>
      <c r="AI248">
        <v>4</v>
      </c>
      <c r="AJ248">
        <v>51</v>
      </c>
      <c r="AK248">
        <v>4</v>
      </c>
      <c r="AL248">
        <v>18</v>
      </c>
      <c r="AM248" t="str">
        <f>IF(Cleaned_Data[[#This Row],[DateofTermination]]="","",YEAR(Cleaned_Data[[#This Row],[DateofTermination]]))</f>
        <v/>
      </c>
      <c r="AN248">
        <v>1</v>
      </c>
    </row>
    <row r="249" spans="1:40" x14ac:dyDescent="0.35">
      <c r="A249" t="s">
        <v>574</v>
      </c>
      <c r="B249">
        <v>10260</v>
      </c>
      <c r="C249">
        <v>0</v>
      </c>
      <c r="D249">
        <v>0</v>
      </c>
      <c r="E249">
        <v>1</v>
      </c>
      <c r="F249">
        <v>5</v>
      </c>
      <c r="G249">
        <v>5</v>
      </c>
      <c r="H249">
        <v>3</v>
      </c>
      <c r="I249">
        <v>0</v>
      </c>
      <c r="J249">
        <v>46428</v>
      </c>
      <c r="K249">
        <v>1</v>
      </c>
      <c r="L249">
        <v>19</v>
      </c>
      <c r="M249" t="s">
        <v>39</v>
      </c>
      <c r="N249" t="s">
        <v>40</v>
      </c>
      <c r="O249">
        <v>2148</v>
      </c>
      <c r="P249" s="9">
        <v>32074</v>
      </c>
      <c r="Q249" t="s">
        <v>41</v>
      </c>
      <c r="R249" t="s">
        <v>617</v>
      </c>
      <c r="S249" t="s">
        <v>43</v>
      </c>
      <c r="T249" t="s">
        <v>44</v>
      </c>
      <c r="U249" t="s">
        <v>45</v>
      </c>
      <c r="V249" t="s">
        <v>46</v>
      </c>
      <c r="W249" s="9">
        <v>39934</v>
      </c>
      <c r="X249" s="9">
        <v>43311</v>
      </c>
      <c r="Y249" t="s">
        <v>166</v>
      </c>
      <c r="Z249" t="s">
        <v>57</v>
      </c>
      <c r="AA249" t="s">
        <v>495</v>
      </c>
      <c r="AB249" t="s">
        <v>50</v>
      </c>
      <c r="AC249" t="s">
        <v>73</v>
      </c>
      <c r="AD249" t="s">
        <v>61</v>
      </c>
      <c r="AE249">
        <v>4.5999999999999996</v>
      </c>
      <c r="AF249">
        <v>5</v>
      </c>
      <c r="AG249">
        <v>0</v>
      </c>
      <c r="AH249" s="9">
        <v>43222</v>
      </c>
      <c r="AI249">
        <v>7</v>
      </c>
      <c r="AJ249">
        <v>31</v>
      </c>
      <c r="AK249">
        <v>9</v>
      </c>
      <c r="AL249">
        <v>22</v>
      </c>
      <c r="AM249">
        <f>IF(Cleaned_Data[[#This Row],[DateofTermination]]="","",YEAR(Cleaned_Data[[#This Row],[DateofTermination]]))</f>
        <v>2018</v>
      </c>
      <c r="AN249">
        <v>1</v>
      </c>
    </row>
    <row r="250" spans="1:40" x14ac:dyDescent="0.35">
      <c r="A250" t="s">
        <v>420</v>
      </c>
      <c r="B250">
        <v>10233</v>
      </c>
      <c r="C250">
        <v>1</v>
      </c>
      <c r="D250">
        <v>1</v>
      </c>
      <c r="E250">
        <v>1</v>
      </c>
      <c r="F250">
        <v>1</v>
      </c>
      <c r="G250">
        <v>5</v>
      </c>
      <c r="H250">
        <v>3</v>
      </c>
      <c r="I250">
        <v>0</v>
      </c>
      <c r="J250">
        <v>57975</v>
      </c>
      <c r="K250">
        <v>0</v>
      </c>
      <c r="L250">
        <v>20</v>
      </c>
      <c r="M250" t="s">
        <v>500</v>
      </c>
      <c r="N250" t="s">
        <v>40</v>
      </c>
      <c r="O250">
        <v>2062</v>
      </c>
      <c r="P250" s="9">
        <v>19503</v>
      </c>
      <c r="Q250" t="s">
        <v>96</v>
      </c>
      <c r="R250" t="s">
        <v>617</v>
      </c>
      <c r="S250" t="s">
        <v>55</v>
      </c>
      <c r="T250" t="s">
        <v>44</v>
      </c>
      <c r="U250" t="s">
        <v>45</v>
      </c>
      <c r="V250" t="s">
        <v>46</v>
      </c>
      <c r="W250" s="9">
        <v>40420</v>
      </c>
      <c r="X250" s="9"/>
      <c r="Y250" t="s">
        <v>47</v>
      </c>
      <c r="Z250" t="s">
        <v>48</v>
      </c>
      <c r="AA250" t="s">
        <v>495</v>
      </c>
      <c r="AB250" t="s">
        <v>103</v>
      </c>
      <c r="AC250" t="s">
        <v>508</v>
      </c>
      <c r="AD250" t="s">
        <v>61</v>
      </c>
      <c r="AE250">
        <v>4.0999999999999996</v>
      </c>
      <c r="AF250">
        <v>3</v>
      </c>
      <c r="AG250">
        <v>0</v>
      </c>
      <c r="AH250" s="9">
        <v>43739</v>
      </c>
      <c r="AI250">
        <v>13</v>
      </c>
      <c r="AJ250">
        <v>67</v>
      </c>
      <c r="AK250">
        <v>9</v>
      </c>
      <c r="AL250">
        <v>18</v>
      </c>
      <c r="AM250" t="str">
        <f>IF(Cleaned_Data[[#This Row],[DateofTermination]]="","",YEAR(Cleaned_Data[[#This Row],[DateofTermination]]))</f>
        <v/>
      </c>
      <c r="AN250">
        <v>1</v>
      </c>
    </row>
    <row r="251" spans="1:40" x14ac:dyDescent="0.35">
      <c r="A251" t="s">
        <v>421</v>
      </c>
      <c r="B251">
        <v>10229</v>
      </c>
      <c r="C251">
        <v>0</v>
      </c>
      <c r="D251">
        <v>2</v>
      </c>
      <c r="E251">
        <v>1</v>
      </c>
      <c r="F251">
        <v>5</v>
      </c>
      <c r="G251">
        <v>3</v>
      </c>
      <c r="H251">
        <v>3</v>
      </c>
      <c r="I251">
        <v>0</v>
      </c>
      <c r="J251">
        <v>88527</v>
      </c>
      <c r="K251">
        <v>1</v>
      </c>
      <c r="L251">
        <v>9</v>
      </c>
      <c r="M251" t="s">
        <v>99</v>
      </c>
      <c r="N251" t="s">
        <v>40</v>
      </c>
      <c r="O251">
        <v>2452</v>
      </c>
      <c r="P251" s="9">
        <v>27653</v>
      </c>
      <c r="Q251" t="s">
        <v>41</v>
      </c>
      <c r="R251" t="s">
        <v>617</v>
      </c>
      <c r="S251" t="s">
        <v>70</v>
      </c>
      <c r="T251" t="s">
        <v>44</v>
      </c>
      <c r="U251" t="s">
        <v>45</v>
      </c>
      <c r="V251" t="s">
        <v>85</v>
      </c>
      <c r="W251" s="9">
        <v>42125</v>
      </c>
      <c r="X251" s="9">
        <v>42308</v>
      </c>
      <c r="Y251" t="s">
        <v>65</v>
      </c>
      <c r="Z251" t="s">
        <v>57</v>
      </c>
      <c r="AA251" t="s">
        <v>499</v>
      </c>
      <c r="AB251" t="s">
        <v>59</v>
      </c>
      <c r="AC251" t="s">
        <v>496</v>
      </c>
      <c r="AD251" t="s">
        <v>61</v>
      </c>
      <c r="AE251">
        <v>4.2</v>
      </c>
      <c r="AF251">
        <v>3</v>
      </c>
      <c r="AG251">
        <v>5</v>
      </c>
      <c r="AH251" s="9">
        <v>42114</v>
      </c>
      <c r="AI251">
        <v>2</v>
      </c>
      <c r="AJ251">
        <v>40</v>
      </c>
      <c r="AK251">
        <v>1</v>
      </c>
      <c r="AL251">
        <v>4</v>
      </c>
      <c r="AM251">
        <f>IF(Cleaned_Data[[#This Row],[DateofTermination]]="","",YEAR(Cleaned_Data[[#This Row],[DateofTermination]]))</f>
        <v>2015</v>
      </c>
      <c r="AN251">
        <v>1</v>
      </c>
    </row>
    <row r="252" spans="1:40" x14ac:dyDescent="0.35">
      <c r="A252" t="s">
        <v>423</v>
      </c>
      <c r="B252">
        <v>10169</v>
      </c>
      <c r="C252">
        <v>1</v>
      </c>
      <c r="D252">
        <v>1</v>
      </c>
      <c r="E252">
        <v>0</v>
      </c>
      <c r="F252">
        <v>1</v>
      </c>
      <c r="G252">
        <v>5</v>
      </c>
      <c r="H252">
        <v>3</v>
      </c>
      <c r="I252">
        <v>0</v>
      </c>
      <c r="J252">
        <v>56147</v>
      </c>
      <c r="K252">
        <v>0</v>
      </c>
      <c r="L252">
        <v>19</v>
      </c>
      <c r="M252" t="s">
        <v>39</v>
      </c>
      <c r="N252" t="s">
        <v>40</v>
      </c>
      <c r="O252">
        <v>2154</v>
      </c>
      <c r="P252" s="9">
        <v>24851</v>
      </c>
      <c r="Q252" t="s">
        <v>41</v>
      </c>
      <c r="R252" t="s">
        <v>618</v>
      </c>
      <c r="S252" t="s">
        <v>55</v>
      </c>
      <c r="T252" t="s">
        <v>44</v>
      </c>
      <c r="U252" t="s">
        <v>45</v>
      </c>
      <c r="V252" t="s">
        <v>85</v>
      </c>
      <c r="W252" s="9">
        <v>41547</v>
      </c>
      <c r="X252" s="9"/>
      <c r="Y252" t="s">
        <v>47</v>
      </c>
      <c r="Z252" t="s">
        <v>48</v>
      </c>
      <c r="AA252" t="s">
        <v>495</v>
      </c>
      <c r="AB252" t="s">
        <v>68</v>
      </c>
      <c r="AC252" t="s">
        <v>496</v>
      </c>
      <c r="AD252" t="s">
        <v>61</v>
      </c>
      <c r="AE252">
        <v>3.51</v>
      </c>
      <c r="AF252">
        <v>3</v>
      </c>
      <c r="AG252">
        <v>0</v>
      </c>
      <c r="AH252" s="9">
        <v>43514</v>
      </c>
      <c r="AI252">
        <v>2</v>
      </c>
      <c r="AJ252">
        <v>52</v>
      </c>
      <c r="AK252">
        <v>6</v>
      </c>
      <c r="AL252">
        <v>16</v>
      </c>
      <c r="AM252" t="str">
        <f>IF(Cleaned_Data[[#This Row],[DateofTermination]]="","",YEAR(Cleaned_Data[[#This Row],[DateofTermination]]))</f>
        <v/>
      </c>
      <c r="AN252">
        <v>1</v>
      </c>
    </row>
    <row r="253" spans="1:40" x14ac:dyDescent="0.35">
      <c r="A253" t="s">
        <v>424</v>
      </c>
      <c r="B253">
        <v>10071</v>
      </c>
      <c r="C253">
        <v>0</v>
      </c>
      <c r="D253">
        <v>0</v>
      </c>
      <c r="E253">
        <v>0</v>
      </c>
      <c r="F253">
        <v>3</v>
      </c>
      <c r="G253">
        <v>5</v>
      </c>
      <c r="H253">
        <v>3</v>
      </c>
      <c r="I253">
        <v>0</v>
      </c>
      <c r="J253">
        <v>50923</v>
      </c>
      <c r="K253">
        <v>0</v>
      </c>
      <c r="L253">
        <v>19</v>
      </c>
      <c r="M253" t="s">
        <v>39</v>
      </c>
      <c r="N253" t="s">
        <v>40</v>
      </c>
      <c r="O253">
        <v>2191</v>
      </c>
      <c r="P253" s="9">
        <v>30452</v>
      </c>
      <c r="Q253" t="s">
        <v>41</v>
      </c>
      <c r="R253" t="s">
        <v>618</v>
      </c>
      <c r="S253" t="s">
        <v>43</v>
      </c>
      <c r="T253" t="s">
        <v>44</v>
      </c>
      <c r="U253" t="s">
        <v>45</v>
      </c>
      <c r="V253" t="s">
        <v>116</v>
      </c>
      <c r="W253" s="9">
        <v>41547</v>
      </c>
      <c r="X253" s="9"/>
      <c r="Y253" t="s">
        <v>47</v>
      </c>
      <c r="Z253" t="s">
        <v>48</v>
      </c>
      <c r="AA253" t="s">
        <v>495</v>
      </c>
      <c r="AB253" t="s">
        <v>72</v>
      </c>
      <c r="AC253" t="s">
        <v>73</v>
      </c>
      <c r="AD253" t="s">
        <v>61</v>
      </c>
      <c r="AE253">
        <v>5</v>
      </c>
      <c r="AF253">
        <v>5</v>
      </c>
      <c r="AG253">
        <v>0</v>
      </c>
      <c r="AH253" s="9">
        <v>43618</v>
      </c>
      <c r="AI253">
        <v>14</v>
      </c>
      <c r="AJ253">
        <v>37</v>
      </c>
      <c r="AK253">
        <v>6</v>
      </c>
      <c r="AL253">
        <v>39</v>
      </c>
      <c r="AM253" t="str">
        <f>IF(Cleaned_Data[[#This Row],[DateofTermination]]="","",YEAR(Cleaned_Data[[#This Row],[DateofTermination]]))</f>
        <v/>
      </c>
      <c r="AN253">
        <v>1</v>
      </c>
    </row>
    <row r="254" spans="1:40" x14ac:dyDescent="0.35">
      <c r="A254" t="s">
        <v>575</v>
      </c>
      <c r="B254">
        <v>10179</v>
      </c>
      <c r="C254">
        <v>1</v>
      </c>
      <c r="D254">
        <v>1</v>
      </c>
      <c r="E254">
        <v>0</v>
      </c>
      <c r="F254">
        <v>1</v>
      </c>
      <c r="G254">
        <v>3</v>
      </c>
      <c r="H254">
        <v>3</v>
      </c>
      <c r="I254">
        <v>0</v>
      </c>
      <c r="J254">
        <v>50750</v>
      </c>
      <c r="K254">
        <v>0</v>
      </c>
      <c r="L254">
        <v>15</v>
      </c>
      <c r="M254" t="s">
        <v>229</v>
      </c>
      <c r="N254" t="s">
        <v>40</v>
      </c>
      <c r="O254">
        <v>1773</v>
      </c>
      <c r="P254" s="9">
        <v>30481</v>
      </c>
      <c r="Q254" t="s">
        <v>41</v>
      </c>
      <c r="R254" t="s">
        <v>618</v>
      </c>
      <c r="S254" t="s">
        <v>55</v>
      </c>
      <c r="T254" t="s">
        <v>44</v>
      </c>
      <c r="U254" t="s">
        <v>45</v>
      </c>
      <c r="V254" t="s">
        <v>46</v>
      </c>
      <c r="W254" s="9">
        <v>41547</v>
      </c>
      <c r="X254" s="9"/>
      <c r="Y254" t="s">
        <v>47</v>
      </c>
      <c r="Z254" t="s">
        <v>48</v>
      </c>
      <c r="AA254" t="s">
        <v>499</v>
      </c>
      <c r="AB254" t="s">
        <v>90</v>
      </c>
      <c r="AC254" t="s">
        <v>496</v>
      </c>
      <c r="AD254" t="s">
        <v>61</v>
      </c>
      <c r="AE254">
        <v>3.31</v>
      </c>
      <c r="AF254">
        <v>3</v>
      </c>
      <c r="AG254">
        <v>6</v>
      </c>
      <c r="AH254" s="9">
        <v>43647</v>
      </c>
      <c r="AI254">
        <v>7</v>
      </c>
      <c r="AJ254">
        <v>37</v>
      </c>
      <c r="AK254">
        <v>6</v>
      </c>
      <c r="AL254">
        <v>7</v>
      </c>
      <c r="AM254" t="str">
        <f>IF(Cleaned_Data[[#This Row],[DateofTermination]]="","",YEAR(Cleaned_Data[[#This Row],[DateofTermination]]))</f>
        <v/>
      </c>
      <c r="AN254">
        <v>1</v>
      </c>
    </row>
    <row r="255" spans="1:40" x14ac:dyDescent="0.35">
      <c r="A255" t="s">
        <v>426</v>
      </c>
      <c r="B255">
        <v>10091</v>
      </c>
      <c r="C255">
        <v>1</v>
      </c>
      <c r="D255">
        <v>1</v>
      </c>
      <c r="E255">
        <v>0</v>
      </c>
      <c r="F255">
        <v>1</v>
      </c>
      <c r="G255">
        <v>5</v>
      </c>
      <c r="H255">
        <v>3</v>
      </c>
      <c r="I255">
        <v>0</v>
      </c>
      <c r="J255">
        <v>52087</v>
      </c>
      <c r="K255">
        <v>0</v>
      </c>
      <c r="L255">
        <v>19</v>
      </c>
      <c r="M255" t="s">
        <v>39</v>
      </c>
      <c r="N255" t="s">
        <v>40</v>
      </c>
      <c r="O255">
        <v>2149</v>
      </c>
      <c r="P255" s="9">
        <v>31121</v>
      </c>
      <c r="Q255" t="s">
        <v>41</v>
      </c>
      <c r="R255" t="s">
        <v>618</v>
      </c>
      <c r="S255" t="s">
        <v>55</v>
      </c>
      <c r="T255" t="s">
        <v>44</v>
      </c>
      <c r="U255" t="s">
        <v>45</v>
      </c>
      <c r="V255" t="s">
        <v>46</v>
      </c>
      <c r="W255" s="9">
        <v>41505</v>
      </c>
      <c r="X255" s="9"/>
      <c r="Y255" t="s">
        <v>47</v>
      </c>
      <c r="Z255" t="s">
        <v>48</v>
      </c>
      <c r="AA255" t="s">
        <v>495</v>
      </c>
      <c r="AB255" t="s">
        <v>75</v>
      </c>
      <c r="AC255" t="s">
        <v>496</v>
      </c>
      <c r="AD255" t="s">
        <v>61</v>
      </c>
      <c r="AE255">
        <v>4.8099999999999996</v>
      </c>
      <c r="AF255">
        <v>4</v>
      </c>
      <c r="AG255">
        <v>0</v>
      </c>
      <c r="AH255" s="9">
        <v>43511</v>
      </c>
      <c r="AI255">
        <v>15</v>
      </c>
      <c r="AJ255">
        <v>35</v>
      </c>
      <c r="AK255">
        <v>6</v>
      </c>
      <c r="AL255">
        <v>11</v>
      </c>
      <c r="AM255" t="str">
        <f>IF(Cleaned_Data[[#This Row],[DateofTermination]]="","",YEAR(Cleaned_Data[[#This Row],[DateofTermination]]))</f>
        <v/>
      </c>
      <c r="AN255">
        <v>1</v>
      </c>
    </row>
    <row r="256" spans="1:40" x14ac:dyDescent="0.35">
      <c r="A256" t="s">
        <v>427</v>
      </c>
      <c r="B256">
        <v>10178</v>
      </c>
      <c r="C256">
        <v>1</v>
      </c>
      <c r="D256">
        <v>1</v>
      </c>
      <c r="E256">
        <v>1</v>
      </c>
      <c r="F256">
        <v>1</v>
      </c>
      <c r="G256">
        <v>3</v>
      </c>
      <c r="H256">
        <v>3</v>
      </c>
      <c r="I256">
        <v>0</v>
      </c>
      <c r="J256">
        <v>87826</v>
      </c>
      <c r="K256">
        <v>0</v>
      </c>
      <c r="L256">
        <v>9</v>
      </c>
      <c r="M256" t="s">
        <v>99</v>
      </c>
      <c r="N256" t="s">
        <v>40</v>
      </c>
      <c r="O256">
        <v>2110</v>
      </c>
      <c r="P256" s="9">
        <v>25293</v>
      </c>
      <c r="Q256" t="s">
        <v>41</v>
      </c>
      <c r="R256" t="s">
        <v>617</v>
      </c>
      <c r="S256" t="s">
        <v>55</v>
      </c>
      <c r="T256" t="s">
        <v>44</v>
      </c>
      <c r="U256" t="s">
        <v>92</v>
      </c>
      <c r="V256" t="s">
        <v>46</v>
      </c>
      <c r="W256" s="9">
        <v>42125</v>
      </c>
      <c r="X256" s="9"/>
      <c r="Y256" t="s">
        <v>47</v>
      </c>
      <c r="Z256" t="s">
        <v>48</v>
      </c>
      <c r="AA256" t="s">
        <v>499</v>
      </c>
      <c r="AB256" t="s">
        <v>59</v>
      </c>
      <c r="AC256" t="s">
        <v>625</v>
      </c>
      <c r="AD256" t="s">
        <v>61</v>
      </c>
      <c r="AE256">
        <v>3.32</v>
      </c>
      <c r="AF256">
        <v>3</v>
      </c>
      <c r="AG256">
        <v>7</v>
      </c>
      <c r="AH256" s="9">
        <v>43479</v>
      </c>
      <c r="AI256">
        <v>16</v>
      </c>
      <c r="AJ256">
        <v>51</v>
      </c>
      <c r="AK256">
        <v>5</v>
      </c>
      <c r="AL256">
        <v>4</v>
      </c>
      <c r="AM256" t="str">
        <f>IF(Cleaned_Data[[#This Row],[DateofTermination]]="","",YEAR(Cleaned_Data[[#This Row],[DateofTermination]]))</f>
        <v/>
      </c>
      <c r="AN256">
        <v>1</v>
      </c>
    </row>
    <row r="257" spans="1:40" x14ac:dyDescent="0.35">
      <c r="A257" t="s">
        <v>576</v>
      </c>
      <c r="B257">
        <v>10039</v>
      </c>
      <c r="C257">
        <v>0</v>
      </c>
      <c r="D257">
        <v>0</v>
      </c>
      <c r="E257">
        <v>0</v>
      </c>
      <c r="F257">
        <v>1</v>
      </c>
      <c r="G257">
        <v>1</v>
      </c>
      <c r="H257">
        <v>3</v>
      </c>
      <c r="I257">
        <v>0</v>
      </c>
      <c r="J257">
        <v>51920</v>
      </c>
      <c r="K257">
        <v>0</v>
      </c>
      <c r="L257">
        <v>2</v>
      </c>
      <c r="M257" t="s">
        <v>283</v>
      </c>
      <c r="N257" t="s">
        <v>40</v>
      </c>
      <c r="O257">
        <v>2330</v>
      </c>
      <c r="P257" s="9">
        <v>33381</v>
      </c>
      <c r="Q257" t="s">
        <v>41</v>
      </c>
      <c r="R257" t="s">
        <v>618</v>
      </c>
      <c r="S257" t="s">
        <v>43</v>
      </c>
      <c r="T257" t="s">
        <v>44</v>
      </c>
      <c r="U257" t="s">
        <v>45</v>
      </c>
      <c r="V257" t="s">
        <v>46</v>
      </c>
      <c r="W257" s="9">
        <v>42009</v>
      </c>
      <c r="X257" s="9"/>
      <c r="Y257" t="s">
        <v>47</v>
      </c>
      <c r="Z257" t="s">
        <v>48</v>
      </c>
      <c r="AA257" t="s">
        <v>130</v>
      </c>
      <c r="AB257" t="s">
        <v>492</v>
      </c>
      <c r="AC257" t="s">
        <v>205</v>
      </c>
      <c r="AD257" t="s">
        <v>61</v>
      </c>
      <c r="AE257">
        <v>5</v>
      </c>
      <c r="AF257">
        <v>3</v>
      </c>
      <c r="AG257">
        <v>5</v>
      </c>
      <c r="AH257" s="9">
        <v>43480</v>
      </c>
      <c r="AI257">
        <v>2</v>
      </c>
      <c r="AJ257">
        <v>29</v>
      </c>
      <c r="AK257">
        <v>5</v>
      </c>
      <c r="AL257">
        <v>1</v>
      </c>
      <c r="AM257" t="str">
        <f>IF(Cleaned_Data[[#This Row],[DateofTermination]]="","",YEAR(Cleaned_Data[[#This Row],[DateofTermination]]))</f>
        <v/>
      </c>
      <c r="AN257">
        <v>1</v>
      </c>
    </row>
    <row r="258" spans="1:40" x14ac:dyDescent="0.35">
      <c r="A258" t="s">
        <v>429</v>
      </c>
      <c r="B258">
        <v>10095</v>
      </c>
      <c r="C258">
        <v>0</v>
      </c>
      <c r="D258">
        <v>0</v>
      </c>
      <c r="E258">
        <v>0</v>
      </c>
      <c r="F258">
        <v>5</v>
      </c>
      <c r="G258">
        <v>5</v>
      </c>
      <c r="H258">
        <v>3</v>
      </c>
      <c r="I258">
        <v>0</v>
      </c>
      <c r="J258">
        <v>63878</v>
      </c>
      <c r="K258">
        <v>1</v>
      </c>
      <c r="L258">
        <v>20</v>
      </c>
      <c r="M258" t="s">
        <v>500</v>
      </c>
      <c r="N258" t="s">
        <v>40</v>
      </c>
      <c r="O258">
        <v>1851</v>
      </c>
      <c r="P258" s="9">
        <v>31808</v>
      </c>
      <c r="Q258" t="s">
        <v>41</v>
      </c>
      <c r="R258" t="s">
        <v>618</v>
      </c>
      <c r="S258" t="s">
        <v>43</v>
      </c>
      <c r="T258" t="s">
        <v>44</v>
      </c>
      <c r="U258" t="s">
        <v>45</v>
      </c>
      <c r="V258" t="s">
        <v>46</v>
      </c>
      <c r="W258" s="9">
        <v>40112</v>
      </c>
      <c r="X258" s="9">
        <v>42220</v>
      </c>
      <c r="Y258" t="s">
        <v>300</v>
      </c>
      <c r="Z258" t="s">
        <v>57</v>
      </c>
      <c r="AA258" t="s">
        <v>495</v>
      </c>
      <c r="AB258" t="s">
        <v>50</v>
      </c>
      <c r="AC258" t="s">
        <v>508</v>
      </c>
      <c r="AD258" t="s">
        <v>61</v>
      </c>
      <c r="AE258">
        <v>4.68</v>
      </c>
      <c r="AF258">
        <v>4</v>
      </c>
      <c r="AG258">
        <v>0</v>
      </c>
      <c r="AH258" s="9">
        <v>42039</v>
      </c>
      <c r="AI258">
        <v>20</v>
      </c>
      <c r="AJ258">
        <v>29</v>
      </c>
      <c r="AK258">
        <v>6</v>
      </c>
      <c r="AL258">
        <v>22</v>
      </c>
      <c r="AM258">
        <f>IF(Cleaned_Data[[#This Row],[DateofTermination]]="","",YEAR(Cleaned_Data[[#This Row],[DateofTermination]]))</f>
        <v>2015</v>
      </c>
      <c r="AN258">
        <v>1</v>
      </c>
    </row>
    <row r="259" spans="1:40" x14ac:dyDescent="0.35">
      <c r="A259" t="s">
        <v>430</v>
      </c>
      <c r="B259">
        <v>10027</v>
      </c>
      <c r="C259">
        <v>0</v>
      </c>
      <c r="D259">
        <v>0</v>
      </c>
      <c r="E259">
        <v>1</v>
      </c>
      <c r="F259">
        <v>1</v>
      </c>
      <c r="G259">
        <v>5</v>
      </c>
      <c r="H259">
        <v>4</v>
      </c>
      <c r="I259">
        <v>0</v>
      </c>
      <c r="J259">
        <v>60656</v>
      </c>
      <c r="K259">
        <v>0</v>
      </c>
      <c r="L259">
        <v>20</v>
      </c>
      <c r="M259" t="s">
        <v>500</v>
      </c>
      <c r="N259" t="s">
        <v>40</v>
      </c>
      <c r="O259">
        <v>2045</v>
      </c>
      <c r="P259" s="9">
        <v>20407</v>
      </c>
      <c r="Q259" t="s">
        <v>96</v>
      </c>
      <c r="R259" t="s">
        <v>617</v>
      </c>
      <c r="S259" t="s">
        <v>43</v>
      </c>
      <c r="T259" t="s">
        <v>44</v>
      </c>
      <c r="U259" t="s">
        <v>45</v>
      </c>
      <c r="V259" t="s">
        <v>46</v>
      </c>
      <c r="W259" s="9">
        <v>41911</v>
      </c>
      <c r="X259" s="9"/>
      <c r="Y259" t="s">
        <v>47</v>
      </c>
      <c r="Z259" t="s">
        <v>48</v>
      </c>
      <c r="AA259" t="s">
        <v>495</v>
      </c>
      <c r="AB259" t="s">
        <v>68</v>
      </c>
      <c r="AC259" t="s">
        <v>60</v>
      </c>
      <c r="AD259" t="s">
        <v>52</v>
      </c>
      <c r="AE259">
        <v>4.3</v>
      </c>
      <c r="AF259">
        <v>3</v>
      </c>
      <c r="AG259">
        <v>0</v>
      </c>
      <c r="AH259" s="9">
        <v>43493</v>
      </c>
      <c r="AI259">
        <v>4</v>
      </c>
      <c r="AJ259">
        <v>64</v>
      </c>
      <c r="AK259">
        <v>5</v>
      </c>
      <c r="AL259">
        <v>16</v>
      </c>
      <c r="AM259" t="str">
        <f>IF(Cleaned_Data[[#This Row],[DateofTermination]]="","",YEAR(Cleaned_Data[[#This Row],[DateofTermination]]))</f>
        <v/>
      </c>
      <c r="AN259">
        <v>1</v>
      </c>
    </row>
    <row r="260" spans="1:40" x14ac:dyDescent="0.35">
      <c r="A260" t="s">
        <v>431</v>
      </c>
      <c r="B260">
        <v>10291</v>
      </c>
      <c r="C260">
        <v>0</v>
      </c>
      <c r="D260">
        <v>2</v>
      </c>
      <c r="E260">
        <v>1</v>
      </c>
      <c r="F260">
        <v>1</v>
      </c>
      <c r="G260">
        <v>6</v>
      </c>
      <c r="H260">
        <v>2</v>
      </c>
      <c r="I260">
        <v>1</v>
      </c>
      <c r="J260">
        <v>72992</v>
      </c>
      <c r="K260">
        <v>0</v>
      </c>
      <c r="L260">
        <v>21</v>
      </c>
      <c r="M260" t="s">
        <v>185</v>
      </c>
      <c r="N260" t="s">
        <v>40</v>
      </c>
      <c r="O260">
        <v>1886</v>
      </c>
      <c r="P260" s="9">
        <v>31921</v>
      </c>
      <c r="Q260" t="s">
        <v>41</v>
      </c>
      <c r="R260" t="s">
        <v>617</v>
      </c>
      <c r="S260" t="s">
        <v>70</v>
      </c>
      <c r="T260" t="s">
        <v>44</v>
      </c>
      <c r="U260" t="s">
        <v>45</v>
      </c>
      <c r="V260" t="s">
        <v>85</v>
      </c>
      <c r="W260" s="9">
        <v>41777</v>
      </c>
      <c r="X260" s="9"/>
      <c r="Y260" t="s">
        <v>47</v>
      </c>
      <c r="Z260" t="s">
        <v>48</v>
      </c>
      <c r="AA260" t="s">
        <v>145</v>
      </c>
      <c r="AB260" t="s">
        <v>186</v>
      </c>
      <c r="AC260" t="s">
        <v>624</v>
      </c>
      <c r="AD260" t="s">
        <v>122</v>
      </c>
      <c r="AE260">
        <v>2.4</v>
      </c>
      <c r="AF260">
        <v>4</v>
      </c>
      <c r="AG260">
        <v>0</v>
      </c>
      <c r="AH260" s="9">
        <v>43481</v>
      </c>
      <c r="AI260">
        <v>16</v>
      </c>
      <c r="AJ260">
        <v>33</v>
      </c>
      <c r="AK260">
        <v>6</v>
      </c>
      <c r="AL260">
        <v>15</v>
      </c>
      <c r="AM260" t="str">
        <f>IF(Cleaned_Data[[#This Row],[DateofTermination]]="","",YEAR(Cleaned_Data[[#This Row],[DateofTermination]]))</f>
        <v/>
      </c>
      <c r="AN260">
        <v>1</v>
      </c>
    </row>
    <row r="261" spans="1:40" x14ac:dyDescent="0.35">
      <c r="A261" t="s">
        <v>432</v>
      </c>
      <c r="B261">
        <v>10153</v>
      </c>
      <c r="C261">
        <v>1</v>
      </c>
      <c r="D261">
        <v>1</v>
      </c>
      <c r="E261">
        <v>0</v>
      </c>
      <c r="F261">
        <v>5</v>
      </c>
      <c r="G261">
        <v>1</v>
      </c>
      <c r="H261">
        <v>3</v>
      </c>
      <c r="I261">
        <v>1</v>
      </c>
      <c r="J261">
        <v>55000</v>
      </c>
      <c r="K261">
        <v>1</v>
      </c>
      <c r="L261">
        <v>2</v>
      </c>
      <c r="M261" t="s">
        <v>283</v>
      </c>
      <c r="N261" t="s">
        <v>40</v>
      </c>
      <c r="O261">
        <v>1844</v>
      </c>
      <c r="P261" s="9">
        <v>30527</v>
      </c>
      <c r="Q261" t="s">
        <v>41</v>
      </c>
      <c r="R261" t="s">
        <v>618</v>
      </c>
      <c r="S261" t="s">
        <v>55</v>
      </c>
      <c r="T261" t="s">
        <v>44</v>
      </c>
      <c r="U261" t="s">
        <v>45</v>
      </c>
      <c r="V261" t="s">
        <v>85</v>
      </c>
      <c r="W261" s="9">
        <v>40812</v>
      </c>
      <c r="X261" s="9">
        <v>41542</v>
      </c>
      <c r="Y261" t="s">
        <v>56</v>
      </c>
      <c r="Z261" t="s">
        <v>57</v>
      </c>
      <c r="AA261" t="s">
        <v>130</v>
      </c>
      <c r="AB261" t="s">
        <v>492</v>
      </c>
      <c r="AC261" t="s">
        <v>624</v>
      </c>
      <c r="AD261" t="s">
        <v>61</v>
      </c>
      <c r="AE261">
        <v>3.8</v>
      </c>
      <c r="AF261">
        <v>4</v>
      </c>
      <c r="AG261">
        <v>4</v>
      </c>
      <c r="AH261" s="9">
        <v>41501</v>
      </c>
      <c r="AI261">
        <v>17</v>
      </c>
      <c r="AJ261">
        <v>30</v>
      </c>
      <c r="AK261">
        <v>2</v>
      </c>
      <c r="AL261">
        <v>1</v>
      </c>
      <c r="AM261">
        <f>IF(Cleaned_Data[[#This Row],[DateofTermination]]="","",YEAR(Cleaned_Data[[#This Row],[DateofTermination]]))</f>
        <v>2013</v>
      </c>
      <c r="AN261">
        <v>1</v>
      </c>
    </row>
    <row r="262" spans="1:40" x14ac:dyDescent="0.35">
      <c r="A262" t="s">
        <v>433</v>
      </c>
      <c r="B262">
        <v>10157</v>
      </c>
      <c r="C262">
        <v>0</v>
      </c>
      <c r="D262">
        <v>0</v>
      </c>
      <c r="E262">
        <v>0</v>
      </c>
      <c r="F262">
        <v>1</v>
      </c>
      <c r="G262">
        <v>5</v>
      </c>
      <c r="H262">
        <v>3</v>
      </c>
      <c r="I262">
        <v>0</v>
      </c>
      <c r="J262">
        <v>58939</v>
      </c>
      <c r="K262">
        <v>0</v>
      </c>
      <c r="L262">
        <v>19</v>
      </c>
      <c r="M262" t="s">
        <v>39</v>
      </c>
      <c r="N262" t="s">
        <v>40</v>
      </c>
      <c r="O262">
        <v>2130</v>
      </c>
      <c r="P262" s="9">
        <v>31157</v>
      </c>
      <c r="Q262" t="s">
        <v>41</v>
      </c>
      <c r="R262" t="s">
        <v>618</v>
      </c>
      <c r="S262" t="s">
        <v>43</v>
      </c>
      <c r="T262" t="s">
        <v>44</v>
      </c>
      <c r="U262" t="s">
        <v>45</v>
      </c>
      <c r="V262" t="s">
        <v>46</v>
      </c>
      <c r="W262" s="9">
        <v>41589</v>
      </c>
      <c r="X262" s="9"/>
      <c r="Y262" t="s">
        <v>47</v>
      </c>
      <c r="Z262" t="s">
        <v>48</v>
      </c>
      <c r="AA262" t="s">
        <v>495</v>
      </c>
      <c r="AB262" t="s">
        <v>82</v>
      </c>
      <c r="AC262" t="s">
        <v>625</v>
      </c>
      <c r="AD262" t="s">
        <v>61</v>
      </c>
      <c r="AE262">
        <v>3.73</v>
      </c>
      <c r="AF262">
        <v>3</v>
      </c>
      <c r="AG262">
        <v>0</v>
      </c>
      <c r="AH262" s="9">
        <v>43489</v>
      </c>
      <c r="AI262">
        <v>16</v>
      </c>
      <c r="AJ262">
        <v>35</v>
      </c>
      <c r="AK262">
        <v>6</v>
      </c>
      <c r="AL262">
        <v>19</v>
      </c>
      <c r="AM262" t="str">
        <f>IF(Cleaned_Data[[#This Row],[DateofTermination]]="","",YEAR(Cleaned_Data[[#This Row],[DateofTermination]]))</f>
        <v/>
      </c>
      <c r="AN262">
        <v>1</v>
      </c>
    </row>
    <row r="263" spans="1:40" x14ac:dyDescent="0.35">
      <c r="A263" t="s">
        <v>577</v>
      </c>
      <c r="B263">
        <v>10119</v>
      </c>
      <c r="C263">
        <v>1</v>
      </c>
      <c r="D263">
        <v>1</v>
      </c>
      <c r="E263">
        <v>0</v>
      </c>
      <c r="F263">
        <v>1</v>
      </c>
      <c r="G263">
        <v>3</v>
      </c>
      <c r="H263">
        <v>3</v>
      </c>
      <c r="I263">
        <v>0</v>
      </c>
      <c r="J263">
        <v>66593</v>
      </c>
      <c r="K263">
        <v>0</v>
      </c>
      <c r="L263">
        <v>14</v>
      </c>
      <c r="M263" t="s">
        <v>505</v>
      </c>
      <c r="N263" t="s">
        <v>40</v>
      </c>
      <c r="O263">
        <v>2360</v>
      </c>
      <c r="P263" s="9">
        <v>25293</v>
      </c>
      <c r="Q263" t="s">
        <v>41</v>
      </c>
      <c r="R263" t="s">
        <v>618</v>
      </c>
      <c r="S263" t="s">
        <v>55</v>
      </c>
      <c r="T263" t="s">
        <v>44</v>
      </c>
      <c r="U263" t="s">
        <v>45</v>
      </c>
      <c r="V263" t="s">
        <v>85</v>
      </c>
      <c r="W263" s="9">
        <v>40822</v>
      </c>
      <c r="X263" s="9"/>
      <c r="Y263" t="s">
        <v>47</v>
      </c>
      <c r="Z263" t="s">
        <v>48</v>
      </c>
      <c r="AA263" t="s">
        <v>499</v>
      </c>
      <c r="AB263" t="s">
        <v>170</v>
      </c>
      <c r="AC263" t="s">
        <v>496</v>
      </c>
      <c r="AD263" t="s">
        <v>61</v>
      </c>
      <c r="AE263">
        <v>4.3</v>
      </c>
      <c r="AF263">
        <v>3</v>
      </c>
      <c r="AG263">
        <v>5</v>
      </c>
      <c r="AH263" s="9">
        <v>43679</v>
      </c>
      <c r="AI263">
        <v>19</v>
      </c>
      <c r="AJ263">
        <v>51</v>
      </c>
      <c r="AK263">
        <v>8</v>
      </c>
      <c r="AL263">
        <v>6</v>
      </c>
      <c r="AM263" t="str">
        <f>IF(Cleaned_Data[[#This Row],[DateofTermination]]="","",YEAR(Cleaned_Data[[#This Row],[DateofTermination]]))</f>
        <v/>
      </c>
      <c r="AN263">
        <v>1</v>
      </c>
    </row>
    <row r="264" spans="1:40" x14ac:dyDescent="0.35">
      <c r="A264" t="s">
        <v>435</v>
      </c>
      <c r="B264">
        <v>10180</v>
      </c>
      <c r="C264">
        <v>1</v>
      </c>
      <c r="D264">
        <v>1</v>
      </c>
      <c r="E264">
        <v>1</v>
      </c>
      <c r="F264">
        <v>2</v>
      </c>
      <c r="G264">
        <v>3</v>
      </c>
      <c r="H264">
        <v>3</v>
      </c>
      <c r="I264">
        <v>0</v>
      </c>
      <c r="J264">
        <v>87565</v>
      </c>
      <c r="K264">
        <v>0</v>
      </c>
      <c r="L264">
        <v>28</v>
      </c>
      <c r="M264" t="s">
        <v>183</v>
      </c>
      <c r="N264" t="s">
        <v>40</v>
      </c>
      <c r="O264">
        <v>1545</v>
      </c>
      <c r="P264" s="9">
        <v>28910</v>
      </c>
      <c r="Q264" t="s">
        <v>41</v>
      </c>
      <c r="R264" t="s">
        <v>617</v>
      </c>
      <c r="S264" t="s">
        <v>55</v>
      </c>
      <c r="T264" t="s">
        <v>44</v>
      </c>
      <c r="U264" t="s">
        <v>45</v>
      </c>
      <c r="V264" t="s">
        <v>116</v>
      </c>
      <c r="W264" s="9">
        <v>42551</v>
      </c>
      <c r="X264" s="9"/>
      <c r="Y264" t="s">
        <v>47</v>
      </c>
      <c r="Z264" t="s">
        <v>48</v>
      </c>
      <c r="AA264" t="s">
        <v>499</v>
      </c>
      <c r="AB264" t="s">
        <v>90</v>
      </c>
      <c r="AC264" t="s">
        <v>496</v>
      </c>
      <c r="AD264" t="s">
        <v>61</v>
      </c>
      <c r="AE264">
        <v>3.27</v>
      </c>
      <c r="AF264">
        <v>4</v>
      </c>
      <c r="AG264">
        <v>5</v>
      </c>
      <c r="AH264" s="9">
        <v>43479</v>
      </c>
      <c r="AI264">
        <v>13</v>
      </c>
      <c r="AJ264">
        <v>41</v>
      </c>
      <c r="AK264">
        <v>4</v>
      </c>
      <c r="AL264">
        <v>7</v>
      </c>
      <c r="AM264" t="str">
        <f>IF(Cleaned_Data[[#This Row],[DateofTermination]]="","",YEAR(Cleaned_Data[[#This Row],[DateofTermination]]))</f>
        <v/>
      </c>
      <c r="AN264">
        <v>1</v>
      </c>
    </row>
    <row r="265" spans="1:40" x14ac:dyDescent="0.35">
      <c r="A265" t="s">
        <v>578</v>
      </c>
      <c r="B265">
        <v>10302</v>
      </c>
      <c r="C265">
        <v>1</v>
      </c>
      <c r="D265">
        <v>1</v>
      </c>
      <c r="E265">
        <v>0</v>
      </c>
      <c r="F265">
        <v>1</v>
      </c>
      <c r="G265">
        <v>5</v>
      </c>
      <c r="H265">
        <v>1</v>
      </c>
      <c r="I265">
        <v>0</v>
      </c>
      <c r="J265">
        <v>64021</v>
      </c>
      <c r="K265">
        <v>0</v>
      </c>
      <c r="L265">
        <v>19</v>
      </c>
      <c r="M265" t="s">
        <v>39</v>
      </c>
      <c r="N265" t="s">
        <v>40</v>
      </c>
      <c r="O265">
        <v>2093</v>
      </c>
      <c r="P265" s="9">
        <v>28719</v>
      </c>
      <c r="Q265" t="s">
        <v>41</v>
      </c>
      <c r="R265" t="s">
        <v>618</v>
      </c>
      <c r="S265" t="s">
        <v>55</v>
      </c>
      <c r="T265" t="s">
        <v>44</v>
      </c>
      <c r="U265" t="s">
        <v>45</v>
      </c>
      <c r="V265" t="s">
        <v>46</v>
      </c>
      <c r="W265" s="9">
        <v>40959</v>
      </c>
      <c r="X265" s="9"/>
      <c r="Y265" t="s">
        <v>47</v>
      </c>
      <c r="Z265" t="s">
        <v>48</v>
      </c>
      <c r="AA265" t="s">
        <v>495</v>
      </c>
      <c r="AB265" t="s">
        <v>86</v>
      </c>
      <c r="AC265" t="s">
        <v>60</v>
      </c>
      <c r="AD265" t="s">
        <v>195</v>
      </c>
      <c r="AE265">
        <v>2.4</v>
      </c>
      <c r="AF265">
        <v>2</v>
      </c>
      <c r="AG265">
        <v>1</v>
      </c>
      <c r="AH265" s="9">
        <v>43521</v>
      </c>
      <c r="AI265">
        <v>20</v>
      </c>
      <c r="AJ265">
        <v>41</v>
      </c>
      <c r="AK265">
        <v>8</v>
      </c>
      <c r="AL265">
        <v>12</v>
      </c>
      <c r="AM265" t="str">
        <f>IF(Cleaned_Data[[#This Row],[DateofTermination]]="","",YEAR(Cleaned_Data[[#This Row],[DateofTermination]]))</f>
        <v/>
      </c>
      <c r="AN265">
        <v>1</v>
      </c>
    </row>
    <row r="266" spans="1:40" x14ac:dyDescent="0.35">
      <c r="A266" t="s">
        <v>437</v>
      </c>
      <c r="B266">
        <v>10090</v>
      </c>
      <c r="C266">
        <v>1</v>
      </c>
      <c r="D266">
        <v>1</v>
      </c>
      <c r="E266">
        <v>0</v>
      </c>
      <c r="F266">
        <v>1</v>
      </c>
      <c r="G266">
        <v>5</v>
      </c>
      <c r="H266">
        <v>3</v>
      </c>
      <c r="I266">
        <v>0</v>
      </c>
      <c r="J266">
        <v>65714</v>
      </c>
      <c r="K266">
        <v>0</v>
      </c>
      <c r="L266">
        <v>18</v>
      </c>
      <c r="M266" t="s">
        <v>133</v>
      </c>
      <c r="N266" t="s">
        <v>40</v>
      </c>
      <c r="O266">
        <v>2451</v>
      </c>
      <c r="P266" s="9">
        <v>27667</v>
      </c>
      <c r="Q266" t="s">
        <v>41</v>
      </c>
      <c r="R266" t="s">
        <v>618</v>
      </c>
      <c r="S266" t="s">
        <v>55</v>
      </c>
      <c r="T266" t="s">
        <v>44</v>
      </c>
      <c r="U266" t="s">
        <v>45</v>
      </c>
      <c r="V266" t="s">
        <v>46</v>
      </c>
      <c r="W266" s="9">
        <v>40949</v>
      </c>
      <c r="X266" s="9"/>
      <c r="Y266" t="s">
        <v>47</v>
      </c>
      <c r="Z266" t="s">
        <v>48</v>
      </c>
      <c r="AA266" t="s">
        <v>495</v>
      </c>
      <c r="AB266" t="s">
        <v>135</v>
      </c>
      <c r="AC266" t="s">
        <v>496</v>
      </c>
      <c r="AD266" t="s">
        <v>61</v>
      </c>
      <c r="AE266">
        <v>4.83</v>
      </c>
      <c r="AF266">
        <v>5</v>
      </c>
      <c r="AG266">
        <v>0</v>
      </c>
      <c r="AH266" s="9">
        <v>43510</v>
      </c>
      <c r="AI266">
        <v>15</v>
      </c>
      <c r="AJ266">
        <v>44</v>
      </c>
      <c r="AK266">
        <v>8</v>
      </c>
      <c r="AL266">
        <v>2</v>
      </c>
      <c r="AM266" t="str">
        <f>IF(Cleaned_Data[[#This Row],[DateofTermination]]="","",YEAR(Cleaned_Data[[#This Row],[DateofTermination]]))</f>
        <v/>
      </c>
      <c r="AN266">
        <v>1</v>
      </c>
    </row>
    <row r="267" spans="1:40" x14ac:dyDescent="0.35">
      <c r="A267" t="s">
        <v>438</v>
      </c>
      <c r="B267">
        <v>10030</v>
      </c>
      <c r="C267">
        <v>0</v>
      </c>
      <c r="D267">
        <v>2</v>
      </c>
      <c r="E267">
        <v>0</v>
      </c>
      <c r="F267">
        <v>5</v>
      </c>
      <c r="G267">
        <v>5</v>
      </c>
      <c r="H267">
        <v>4</v>
      </c>
      <c r="I267">
        <v>0</v>
      </c>
      <c r="J267">
        <v>62425</v>
      </c>
      <c r="K267">
        <v>1</v>
      </c>
      <c r="L267">
        <v>19</v>
      </c>
      <c r="M267" t="s">
        <v>39</v>
      </c>
      <c r="N267" t="s">
        <v>40</v>
      </c>
      <c r="O267">
        <v>2359</v>
      </c>
      <c r="P267" s="9">
        <v>26749</v>
      </c>
      <c r="Q267" t="s">
        <v>41</v>
      </c>
      <c r="R267" t="s">
        <v>618</v>
      </c>
      <c r="S267" t="s">
        <v>70</v>
      </c>
      <c r="T267" t="s">
        <v>44</v>
      </c>
      <c r="U267" t="s">
        <v>45</v>
      </c>
      <c r="V267" t="s">
        <v>46</v>
      </c>
      <c r="W267" s="9">
        <v>40676</v>
      </c>
      <c r="X267" s="9">
        <v>42184</v>
      </c>
      <c r="Y267" t="s">
        <v>97</v>
      </c>
      <c r="Z267" t="s">
        <v>57</v>
      </c>
      <c r="AA267" t="s">
        <v>495</v>
      </c>
      <c r="AB267" t="s">
        <v>94</v>
      </c>
      <c r="AC267" t="s">
        <v>496</v>
      </c>
      <c r="AD267" t="s">
        <v>52</v>
      </c>
      <c r="AE267">
        <v>4.0999999999999996</v>
      </c>
      <c r="AF267">
        <v>4</v>
      </c>
      <c r="AG267">
        <v>0</v>
      </c>
      <c r="AH267" s="9">
        <v>42038</v>
      </c>
      <c r="AI267">
        <v>16</v>
      </c>
      <c r="AJ267">
        <v>42</v>
      </c>
      <c r="AK267">
        <v>4</v>
      </c>
      <c r="AL267">
        <v>14</v>
      </c>
      <c r="AM267">
        <f>IF(Cleaned_Data[[#This Row],[DateofTermination]]="","",YEAR(Cleaned_Data[[#This Row],[DateofTermination]]))</f>
        <v>2015</v>
      </c>
      <c r="AN267">
        <v>1</v>
      </c>
    </row>
    <row r="268" spans="1:40" x14ac:dyDescent="0.35">
      <c r="A268" t="s">
        <v>439</v>
      </c>
      <c r="B268">
        <v>10278</v>
      </c>
      <c r="C268">
        <v>0</v>
      </c>
      <c r="D268">
        <v>2</v>
      </c>
      <c r="E268">
        <v>0</v>
      </c>
      <c r="F268">
        <v>1</v>
      </c>
      <c r="G268">
        <v>5</v>
      </c>
      <c r="H268">
        <v>3</v>
      </c>
      <c r="I268">
        <v>0</v>
      </c>
      <c r="J268">
        <v>47961</v>
      </c>
      <c r="K268">
        <v>0</v>
      </c>
      <c r="L268">
        <v>19</v>
      </c>
      <c r="M268" t="s">
        <v>39</v>
      </c>
      <c r="N268" t="s">
        <v>40</v>
      </c>
      <c r="O268">
        <v>2050</v>
      </c>
      <c r="P268" s="9">
        <v>30188</v>
      </c>
      <c r="Q268" t="s">
        <v>41</v>
      </c>
      <c r="R268" t="s">
        <v>618</v>
      </c>
      <c r="S268" t="s">
        <v>70</v>
      </c>
      <c r="T268" t="s">
        <v>44</v>
      </c>
      <c r="U268" t="s">
        <v>45</v>
      </c>
      <c r="V268" t="s">
        <v>102</v>
      </c>
      <c r="W268" s="9">
        <v>40817</v>
      </c>
      <c r="X268" s="9"/>
      <c r="Y268" t="s">
        <v>47</v>
      </c>
      <c r="Z268" t="s">
        <v>48</v>
      </c>
      <c r="AA268" t="s">
        <v>495</v>
      </c>
      <c r="AB268" t="s">
        <v>66</v>
      </c>
      <c r="AC268" t="s">
        <v>73</v>
      </c>
      <c r="AD268" t="s">
        <v>61</v>
      </c>
      <c r="AE268">
        <v>4.0999999999999996</v>
      </c>
      <c r="AF268">
        <v>4</v>
      </c>
      <c r="AG268">
        <v>0</v>
      </c>
      <c r="AH268" s="9">
        <v>43648</v>
      </c>
      <c r="AI268">
        <v>9</v>
      </c>
      <c r="AJ268">
        <v>37</v>
      </c>
      <c r="AK268">
        <v>8</v>
      </c>
      <c r="AL268">
        <v>20</v>
      </c>
      <c r="AM268" t="str">
        <f>IF(Cleaned_Data[[#This Row],[DateofTermination]]="","",YEAR(Cleaned_Data[[#This Row],[DateofTermination]]))</f>
        <v/>
      </c>
      <c r="AN268">
        <v>1</v>
      </c>
    </row>
    <row r="269" spans="1:40" x14ac:dyDescent="0.35">
      <c r="A269" t="s">
        <v>440</v>
      </c>
      <c r="B269">
        <v>10307</v>
      </c>
      <c r="C269">
        <v>1</v>
      </c>
      <c r="D269">
        <v>1</v>
      </c>
      <c r="E269">
        <v>1</v>
      </c>
      <c r="F269">
        <v>1</v>
      </c>
      <c r="G269">
        <v>6</v>
      </c>
      <c r="H269">
        <v>1</v>
      </c>
      <c r="I269">
        <v>0</v>
      </c>
      <c r="J269">
        <v>58273</v>
      </c>
      <c r="K269">
        <v>0</v>
      </c>
      <c r="L269">
        <v>3</v>
      </c>
      <c r="M269" t="s">
        <v>143</v>
      </c>
      <c r="N269" t="s">
        <v>441</v>
      </c>
      <c r="O269">
        <v>89139</v>
      </c>
      <c r="P269" s="9">
        <v>31120</v>
      </c>
      <c r="Q269" t="s">
        <v>41</v>
      </c>
      <c r="R269" t="s">
        <v>617</v>
      </c>
      <c r="S269" t="s">
        <v>55</v>
      </c>
      <c r="T269" t="s">
        <v>44</v>
      </c>
      <c r="U269" t="s">
        <v>45</v>
      </c>
      <c r="V269" t="s">
        <v>46</v>
      </c>
      <c r="W269" s="9">
        <v>41978</v>
      </c>
      <c r="X269" s="9"/>
      <c r="Y269" t="s">
        <v>47</v>
      </c>
      <c r="Z269" t="s">
        <v>48</v>
      </c>
      <c r="AA269" t="s">
        <v>145</v>
      </c>
      <c r="AB269" t="s">
        <v>164</v>
      </c>
      <c r="AC269" t="s">
        <v>205</v>
      </c>
      <c r="AD269" t="s">
        <v>195</v>
      </c>
      <c r="AE269">
        <v>1.81</v>
      </c>
      <c r="AF269">
        <v>2</v>
      </c>
      <c r="AG269">
        <v>0</v>
      </c>
      <c r="AH269" s="9">
        <v>43482</v>
      </c>
      <c r="AI269">
        <v>5</v>
      </c>
      <c r="AJ269">
        <v>35</v>
      </c>
      <c r="AK269">
        <v>5</v>
      </c>
      <c r="AL269">
        <v>21</v>
      </c>
      <c r="AM269" t="str">
        <f>IF(Cleaned_Data[[#This Row],[DateofTermination]]="","",YEAR(Cleaned_Data[[#This Row],[DateofTermination]]))</f>
        <v/>
      </c>
      <c r="AN269">
        <v>1</v>
      </c>
    </row>
    <row r="270" spans="1:40" x14ac:dyDescent="0.35">
      <c r="A270" t="s">
        <v>579</v>
      </c>
      <c r="B270">
        <v>10147</v>
      </c>
      <c r="C270">
        <v>0</v>
      </c>
      <c r="D270">
        <v>0</v>
      </c>
      <c r="E270">
        <v>1</v>
      </c>
      <c r="F270">
        <v>1</v>
      </c>
      <c r="G270">
        <v>1</v>
      </c>
      <c r="H270">
        <v>3</v>
      </c>
      <c r="I270">
        <v>0</v>
      </c>
      <c r="J270">
        <v>63003</v>
      </c>
      <c r="K270">
        <v>0</v>
      </c>
      <c r="L270">
        <v>1</v>
      </c>
      <c r="M270" t="s">
        <v>138</v>
      </c>
      <c r="N270" t="s">
        <v>40</v>
      </c>
      <c r="O270">
        <v>2703</v>
      </c>
      <c r="P270" s="9">
        <v>28577</v>
      </c>
      <c r="Q270" t="s">
        <v>41</v>
      </c>
      <c r="R270" t="s">
        <v>617</v>
      </c>
      <c r="S270" t="s">
        <v>43</v>
      </c>
      <c r="T270" t="s">
        <v>44</v>
      </c>
      <c r="U270" t="s">
        <v>45</v>
      </c>
      <c r="V270" t="s">
        <v>46</v>
      </c>
      <c r="W270" s="9">
        <v>41911</v>
      </c>
      <c r="X270" s="9"/>
      <c r="Y270" t="s">
        <v>47</v>
      </c>
      <c r="Z270" t="s">
        <v>48</v>
      </c>
      <c r="AA270" t="s">
        <v>130</v>
      </c>
      <c r="AB270" t="s">
        <v>492</v>
      </c>
      <c r="AC270" t="s">
        <v>60</v>
      </c>
      <c r="AD270" t="s">
        <v>61</v>
      </c>
      <c r="AE270">
        <v>3.9</v>
      </c>
      <c r="AF270">
        <v>5</v>
      </c>
      <c r="AG270">
        <v>5</v>
      </c>
      <c r="AH270" s="9">
        <v>43483</v>
      </c>
      <c r="AI270">
        <v>9</v>
      </c>
      <c r="AJ270">
        <v>42</v>
      </c>
      <c r="AK270">
        <v>5</v>
      </c>
      <c r="AL270">
        <v>1</v>
      </c>
      <c r="AM270" t="str">
        <f>IF(Cleaned_Data[[#This Row],[DateofTermination]]="","",YEAR(Cleaned_Data[[#This Row],[DateofTermination]]))</f>
        <v/>
      </c>
      <c r="AN270">
        <v>1</v>
      </c>
    </row>
    <row r="271" spans="1:40" x14ac:dyDescent="0.35">
      <c r="A271" t="s">
        <v>443</v>
      </c>
      <c r="B271">
        <v>10266</v>
      </c>
      <c r="C271">
        <v>1</v>
      </c>
      <c r="D271">
        <v>1</v>
      </c>
      <c r="E271">
        <v>1</v>
      </c>
      <c r="F271">
        <v>1</v>
      </c>
      <c r="G271">
        <v>5</v>
      </c>
      <c r="H271">
        <v>3</v>
      </c>
      <c r="I271">
        <v>0</v>
      </c>
      <c r="J271">
        <v>61355</v>
      </c>
      <c r="K271">
        <v>0</v>
      </c>
      <c r="L271">
        <v>19</v>
      </c>
      <c r="M271" t="s">
        <v>39</v>
      </c>
      <c r="N271" t="s">
        <v>40</v>
      </c>
      <c r="O271">
        <v>2301</v>
      </c>
      <c r="P271" s="9">
        <v>25065</v>
      </c>
      <c r="Q271" t="s">
        <v>41</v>
      </c>
      <c r="R271" t="s">
        <v>617</v>
      </c>
      <c r="S271" t="s">
        <v>55</v>
      </c>
      <c r="T271" t="s">
        <v>44</v>
      </c>
      <c r="U271" t="s">
        <v>45</v>
      </c>
      <c r="V271" t="s">
        <v>116</v>
      </c>
      <c r="W271" s="9">
        <v>41687</v>
      </c>
      <c r="X271" s="9"/>
      <c r="Y271" t="s">
        <v>47</v>
      </c>
      <c r="Z271" t="s">
        <v>48</v>
      </c>
      <c r="AA271" t="s">
        <v>495</v>
      </c>
      <c r="AB271" t="s">
        <v>103</v>
      </c>
      <c r="AC271" t="s">
        <v>496</v>
      </c>
      <c r="AD271" t="s">
        <v>61</v>
      </c>
      <c r="AE271">
        <v>4.7</v>
      </c>
      <c r="AF271">
        <v>3</v>
      </c>
      <c r="AG271">
        <v>0</v>
      </c>
      <c r="AH271" s="9">
        <v>43770</v>
      </c>
      <c r="AI271">
        <v>4</v>
      </c>
      <c r="AJ271">
        <v>51</v>
      </c>
      <c r="AK271">
        <v>6</v>
      </c>
      <c r="AL271">
        <v>18</v>
      </c>
      <c r="AM271" t="str">
        <f>IF(Cleaned_Data[[#This Row],[DateofTermination]]="","",YEAR(Cleaned_Data[[#This Row],[DateofTermination]]))</f>
        <v/>
      </c>
      <c r="AN271">
        <v>1</v>
      </c>
    </row>
    <row r="272" spans="1:40" x14ac:dyDescent="0.35">
      <c r="A272" t="s">
        <v>444</v>
      </c>
      <c r="B272">
        <v>10241</v>
      </c>
      <c r="C272">
        <v>1</v>
      </c>
      <c r="D272">
        <v>1</v>
      </c>
      <c r="E272">
        <v>0</v>
      </c>
      <c r="F272">
        <v>1</v>
      </c>
      <c r="G272">
        <v>6</v>
      </c>
      <c r="H272">
        <v>3</v>
      </c>
      <c r="I272">
        <v>0</v>
      </c>
      <c r="J272">
        <v>60120</v>
      </c>
      <c r="K272">
        <v>0</v>
      </c>
      <c r="L272">
        <v>3</v>
      </c>
      <c r="M272" t="s">
        <v>143</v>
      </c>
      <c r="N272" t="s">
        <v>445</v>
      </c>
      <c r="O272">
        <v>59102</v>
      </c>
      <c r="P272" s="9">
        <v>32074</v>
      </c>
      <c r="Q272" t="s">
        <v>41</v>
      </c>
      <c r="R272" t="s">
        <v>618</v>
      </c>
      <c r="S272" t="s">
        <v>55</v>
      </c>
      <c r="T272" t="s">
        <v>44</v>
      </c>
      <c r="U272" t="s">
        <v>45</v>
      </c>
      <c r="V272" t="s">
        <v>85</v>
      </c>
      <c r="W272" s="9">
        <v>40448</v>
      </c>
      <c r="X272" s="9"/>
      <c r="Y272" t="s">
        <v>47</v>
      </c>
      <c r="Z272" t="s">
        <v>48</v>
      </c>
      <c r="AA272" t="s">
        <v>145</v>
      </c>
      <c r="AB272" t="s">
        <v>146</v>
      </c>
      <c r="AC272" t="s">
        <v>60</v>
      </c>
      <c r="AD272" t="s">
        <v>61</v>
      </c>
      <c r="AE272">
        <v>4.0999999999999996</v>
      </c>
      <c r="AF272">
        <v>4</v>
      </c>
      <c r="AG272">
        <v>0</v>
      </c>
      <c r="AH272" s="9">
        <v>43496</v>
      </c>
      <c r="AI272">
        <v>18</v>
      </c>
      <c r="AJ272">
        <v>32</v>
      </c>
      <c r="AK272">
        <v>9</v>
      </c>
      <c r="AL272">
        <v>17</v>
      </c>
      <c r="AM272" t="str">
        <f>IF(Cleaned_Data[[#This Row],[DateofTermination]]="","",YEAR(Cleaned_Data[[#This Row],[DateofTermination]]))</f>
        <v/>
      </c>
      <c r="AN272">
        <v>1</v>
      </c>
    </row>
    <row r="273" spans="1:40" x14ac:dyDescent="0.35">
      <c r="A273" t="s">
        <v>580</v>
      </c>
      <c r="B273">
        <v>10158</v>
      </c>
      <c r="C273">
        <v>1</v>
      </c>
      <c r="D273">
        <v>1</v>
      </c>
      <c r="E273">
        <v>0</v>
      </c>
      <c r="F273">
        <v>1</v>
      </c>
      <c r="G273">
        <v>5</v>
      </c>
      <c r="H273">
        <v>3</v>
      </c>
      <c r="I273">
        <v>0</v>
      </c>
      <c r="J273">
        <v>63682</v>
      </c>
      <c r="K273">
        <v>0</v>
      </c>
      <c r="L273">
        <v>18</v>
      </c>
      <c r="M273" t="s">
        <v>133</v>
      </c>
      <c r="N273" t="s">
        <v>40</v>
      </c>
      <c r="O273">
        <v>1776</v>
      </c>
      <c r="P273" s="9">
        <v>19503</v>
      </c>
      <c r="Q273" t="s">
        <v>96</v>
      </c>
      <c r="R273" t="s">
        <v>618</v>
      </c>
      <c r="S273" t="s">
        <v>55</v>
      </c>
      <c r="T273" t="s">
        <v>44</v>
      </c>
      <c r="U273" t="s">
        <v>45</v>
      </c>
      <c r="V273" t="s">
        <v>85</v>
      </c>
      <c r="W273" s="9">
        <v>40026</v>
      </c>
      <c r="X273" s="9"/>
      <c r="Y273" t="s">
        <v>47</v>
      </c>
      <c r="Z273" t="s">
        <v>48</v>
      </c>
      <c r="AA273" t="s">
        <v>495</v>
      </c>
      <c r="AB273" t="s">
        <v>135</v>
      </c>
      <c r="AC273" t="s">
        <v>60</v>
      </c>
      <c r="AD273" t="s">
        <v>61</v>
      </c>
      <c r="AE273">
        <v>3.73</v>
      </c>
      <c r="AF273">
        <v>4</v>
      </c>
      <c r="AG273">
        <v>0</v>
      </c>
      <c r="AH273" s="9">
        <v>43489</v>
      </c>
      <c r="AI273">
        <v>12</v>
      </c>
      <c r="AJ273">
        <v>67</v>
      </c>
      <c r="AK273">
        <v>10</v>
      </c>
      <c r="AL273">
        <v>2</v>
      </c>
      <c r="AM273" t="str">
        <f>IF(Cleaned_Data[[#This Row],[DateofTermination]]="","",YEAR(Cleaned_Data[[#This Row],[DateofTermination]]))</f>
        <v/>
      </c>
      <c r="AN273">
        <v>1</v>
      </c>
    </row>
    <row r="274" spans="1:40" x14ac:dyDescent="0.35">
      <c r="A274" t="s">
        <v>447</v>
      </c>
      <c r="B274">
        <v>10117</v>
      </c>
      <c r="C274">
        <v>1</v>
      </c>
      <c r="D274">
        <v>1</v>
      </c>
      <c r="E274">
        <v>1</v>
      </c>
      <c r="F274">
        <v>1</v>
      </c>
      <c r="G274">
        <v>5</v>
      </c>
      <c r="H274">
        <v>3</v>
      </c>
      <c r="I274">
        <v>0</v>
      </c>
      <c r="J274">
        <v>63025</v>
      </c>
      <c r="K274">
        <v>0</v>
      </c>
      <c r="L274">
        <v>19</v>
      </c>
      <c r="M274" t="s">
        <v>39</v>
      </c>
      <c r="N274" t="s">
        <v>40</v>
      </c>
      <c r="O274">
        <v>2747</v>
      </c>
      <c r="P274" s="9">
        <v>27653</v>
      </c>
      <c r="Q274" t="s">
        <v>41</v>
      </c>
      <c r="R274" t="s">
        <v>617</v>
      </c>
      <c r="S274" t="s">
        <v>55</v>
      </c>
      <c r="T274" t="s">
        <v>44</v>
      </c>
      <c r="U274" t="s">
        <v>92</v>
      </c>
      <c r="V274" t="s">
        <v>46</v>
      </c>
      <c r="W274" s="9">
        <v>42125</v>
      </c>
      <c r="X274" s="9"/>
      <c r="Y274" t="s">
        <v>47</v>
      </c>
      <c r="Z274" t="s">
        <v>48</v>
      </c>
      <c r="AA274" t="s">
        <v>495</v>
      </c>
      <c r="AB274" t="s">
        <v>50</v>
      </c>
      <c r="AC274" t="s">
        <v>73</v>
      </c>
      <c r="AD274" t="s">
        <v>61</v>
      </c>
      <c r="AE274">
        <v>4.3600000000000003</v>
      </c>
      <c r="AF274">
        <v>5</v>
      </c>
      <c r="AG274">
        <v>0</v>
      </c>
      <c r="AH274" s="9">
        <v>43489</v>
      </c>
      <c r="AI274">
        <v>10</v>
      </c>
      <c r="AJ274">
        <v>44</v>
      </c>
      <c r="AK274">
        <v>5</v>
      </c>
      <c r="AL274">
        <v>22</v>
      </c>
      <c r="AM274" t="str">
        <f>IF(Cleaned_Data[[#This Row],[DateofTermination]]="","",YEAR(Cleaned_Data[[#This Row],[DateofTermination]]))</f>
        <v/>
      </c>
      <c r="AN274">
        <v>1</v>
      </c>
    </row>
    <row r="275" spans="1:40" x14ac:dyDescent="0.35">
      <c r="A275" t="s">
        <v>448</v>
      </c>
      <c r="B275">
        <v>10209</v>
      </c>
      <c r="C275">
        <v>0</v>
      </c>
      <c r="D275">
        <v>0</v>
      </c>
      <c r="E275">
        <v>0</v>
      </c>
      <c r="F275">
        <v>1</v>
      </c>
      <c r="G275">
        <v>5</v>
      </c>
      <c r="H275">
        <v>3</v>
      </c>
      <c r="I275">
        <v>0</v>
      </c>
      <c r="J275">
        <v>59238</v>
      </c>
      <c r="K275">
        <v>0</v>
      </c>
      <c r="L275">
        <v>19</v>
      </c>
      <c r="M275" t="s">
        <v>39</v>
      </c>
      <c r="N275" t="s">
        <v>40</v>
      </c>
      <c r="O275">
        <v>2718</v>
      </c>
      <c r="P275" s="9">
        <v>24852</v>
      </c>
      <c r="Q275" t="s">
        <v>41</v>
      </c>
      <c r="R275" t="s">
        <v>618</v>
      </c>
      <c r="S275" t="s">
        <v>43</v>
      </c>
      <c r="T275" t="s">
        <v>111</v>
      </c>
      <c r="U275" t="s">
        <v>45</v>
      </c>
      <c r="V275" t="s">
        <v>116</v>
      </c>
      <c r="W275" s="9">
        <v>40677</v>
      </c>
      <c r="X275" s="9"/>
      <c r="Y275" t="s">
        <v>47</v>
      </c>
      <c r="Z275" t="s">
        <v>48</v>
      </c>
      <c r="AA275" t="s">
        <v>495</v>
      </c>
      <c r="AB275" t="s">
        <v>68</v>
      </c>
      <c r="AC275" t="s">
        <v>60</v>
      </c>
      <c r="AD275" t="s">
        <v>61</v>
      </c>
      <c r="AE275">
        <v>3.4</v>
      </c>
      <c r="AF275">
        <v>5</v>
      </c>
      <c r="AG275">
        <v>0</v>
      </c>
      <c r="AH275" s="9">
        <v>43496</v>
      </c>
      <c r="AI275">
        <v>13</v>
      </c>
      <c r="AJ275">
        <v>52</v>
      </c>
      <c r="AK275">
        <v>9</v>
      </c>
      <c r="AL275">
        <v>16</v>
      </c>
      <c r="AM275" t="str">
        <f>IF(Cleaned_Data[[#This Row],[DateofTermination]]="","",YEAR(Cleaned_Data[[#This Row],[DateofTermination]]))</f>
        <v/>
      </c>
      <c r="AN275">
        <v>1</v>
      </c>
    </row>
    <row r="276" spans="1:40" x14ac:dyDescent="0.35">
      <c r="A276" t="s">
        <v>449</v>
      </c>
      <c r="B276">
        <v>10024</v>
      </c>
      <c r="C276">
        <v>0</v>
      </c>
      <c r="D276">
        <v>0</v>
      </c>
      <c r="E276">
        <v>1</v>
      </c>
      <c r="F276">
        <v>1</v>
      </c>
      <c r="G276">
        <v>4</v>
      </c>
      <c r="H276">
        <v>4</v>
      </c>
      <c r="I276">
        <v>0</v>
      </c>
      <c r="J276">
        <v>92989</v>
      </c>
      <c r="K276">
        <v>0</v>
      </c>
      <c r="L276">
        <v>24</v>
      </c>
      <c r="M276" t="s">
        <v>77</v>
      </c>
      <c r="N276" t="s">
        <v>40</v>
      </c>
      <c r="O276">
        <v>2140</v>
      </c>
      <c r="P276" s="9">
        <v>30452</v>
      </c>
      <c r="Q276" t="s">
        <v>41</v>
      </c>
      <c r="R276" t="s">
        <v>617</v>
      </c>
      <c r="S276" t="s">
        <v>43</v>
      </c>
      <c r="T276" t="s">
        <v>44</v>
      </c>
      <c r="U276" t="s">
        <v>45</v>
      </c>
      <c r="V276" t="s">
        <v>46</v>
      </c>
      <c r="W276" s="9">
        <v>41827</v>
      </c>
      <c r="X276" s="9"/>
      <c r="Y276" t="s">
        <v>47</v>
      </c>
      <c r="Z276" t="s">
        <v>48</v>
      </c>
      <c r="AA276" t="s">
        <v>78</v>
      </c>
      <c r="AB276" t="s">
        <v>79</v>
      </c>
      <c r="AC276" t="s">
        <v>496</v>
      </c>
      <c r="AD276" t="s">
        <v>52</v>
      </c>
      <c r="AE276">
        <v>4.5</v>
      </c>
      <c r="AF276">
        <v>5</v>
      </c>
      <c r="AG276">
        <v>5</v>
      </c>
      <c r="AH276" s="9">
        <v>43514</v>
      </c>
      <c r="AI276">
        <v>1</v>
      </c>
      <c r="AJ276">
        <v>37</v>
      </c>
      <c r="AK276">
        <v>5</v>
      </c>
      <c r="AL276">
        <v>10</v>
      </c>
      <c r="AM276" t="str">
        <f>IF(Cleaned_Data[[#This Row],[DateofTermination]]="","",YEAR(Cleaned_Data[[#This Row],[DateofTermination]]))</f>
        <v/>
      </c>
      <c r="AN276">
        <v>1</v>
      </c>
    </row>
    <row r="277" spans="1:40" x14ac:dyDescent="0.35">
      <c r="A277" t="s">
        <v>450</v>
      </c>
      <c r="B277">
        <v>10173</v>
      </c>
      <c r="C277">
        <v>1</v>
      </c>
      <c r="D277">
        <v>1</v>
      </c>
      <c r="E277">
        <v>1</v>
      </c>
      <c r="F277">
        <v>1</v>
      </c>
      <c r="G277">
        <v>3</v>
      </c>
      <c r="H277">
        <v>3</v>
      </c>
      <c r="I277">
        <v>0</v>
      </c>
      <c r="J277">
        <v>90100</v>
      </c>
      <c r="K277">
        <v>0</v>
      </c>
      <c r="L277">
        <v>4</v>
      </c>
      <c r="M277" t="s">
        <v>525</v>
      </c>
      <c r="N277" t="s">
        <v>40</v>
      </c>
      <c r="O277">
        <v>2134</v>
      </c>
      <c r="P277" s="9">
        <v>30481</v>
      </c>
      <c r="Q277" t="s">
        <v>41</v>
      </c>
      <c r="R277" t="s">
        <v>617</v>
      </c>
      <c r="S277" t="s">
        <v>55</v>
      </c>
      <c r="T277" t="s">
        <v>44</v>
      </c>
      <c r="U277" t="s">
        <v>45</v>
      </c>
      <c r="V277" t="s">
        <v>46</v>
      </c>
      <c r="W277" s="9">
        <v>42845</v>
      </c>
      <c r="X277" s="9"/>
      <c r="Y277" t="s">
        <v>47</v>
      </c>
      <c r="Z277" t="s">
        <v>48</v>
      </c>
      <c r="AA277" t="s">
        <v>499</v>
      </c>
      <c r="AB277" t="s">
        <v>201</v>
      </c>
      <c r="AC277" t="s">
        <v>60</v>
      </c>
      <c r="AD277" t="s">
        <v>61</v>
      </c>
      <c r="AE277">
        <v>3.4</v>
      </c>
      <c r="AF277">
        <v>3</v>
      </c>
      <c r="AG277">
        <v>6</v>
      </c>
      <c r="AH277" s="9">
        <v>43497</v>
      </c>
      <c r="AI277">
        <v>14</v>
      </c>
      <c r="AJ277">
        <v>37</v>
      </c>
      <c r="AK277">
        <v>3</v>
      </c>
      <c r="AL277">
        <v>13</v>
      </c>
      <c r="AM277" t="str">
        <f>IF(Cleaned_Data[[#This Row],[DateofTermination]]="","",YEAR(Cleaned_Data[[#This Row],[DateofTermination]]))</f>
        <v/>
      </c>
      <c r="AN277">
        <v>1</v>
      </c>
    </row>
    <row r="278" spans="1:40" x14ac:dyDescent="0.35">
      <c r="A278" t="s">
        <v>581</v>
      </c>
      <c r="B278">
        <v>10221</v>
      </c>
      <c r="C278">
        <v>1</v>
      </c>
      <c r="D278">
        <v>1</v>
      </c>
      <c r="E278">
        <v>0</v>
      </c>
      <c r="F278">
        <v>5</v>
      </c>
      <c r="G278">
        <v>5</v>
      </c>
      <c r="H278">
        <v>3</v>
      </c>
      <c r="I278">
        <v>1</v>
      </c>
      <c r="J278">
        <v>60754</v>
      </c>
      <c r="K278">
        <v>1</v>
      </c>
      <c r="L278">
        <v>19</v>
      </c>
      <c r="M278" t="s">
        <v>39</v>
      </c>
      <c r="N278" t="s">
        <v>40</v>
      </c>
      <c r="O278">
        <v>1801</v>
      </c>
      <c r="P278" s="9">
        <v>31121</v>
      </c>
      <c r="Q278" t="s">
        <v>41</v>
      </c>
      <c r="R278" t="s">
        <v>618</v>
      </c>
      <c r="S278" t="s">
        <v>55</v>
      </c>
      <c r="T278" t="s">
        <v>168</v>
      </c>
      <c r="U278" t="s">
        <v>45</v>
      </c>
      <c r="V278" t="s">
        <v>85</v>
      </c>
      <c r="W278" s="9">
        <v>39930</v>
      </c>
      <c r="X278" s="9">
        <v>41278</v>
      </c>
      <c r="Y278" t="s">
        <v>93</v>
      </c>
      <c r="Z278" t="s">
        <v>57</v>
      </c>
      <c r="AA278" t="s">
        <v>495</v>
      </c>
      <c r="AB278" t="s">
        <v>72</v>
      </c>
      <c r="AC278" t="s">
        <v>624</v>
      </c>
      <c r="AD278" t="s">
        <v>61</v>
      </c>
      <c r="AE278">
        <v>4.5</v>
      </c>
      <c r="AF278">
        <v>5</v>
      </c>
      <c r="AG278">
        <v>0</v>
      </c>
      <c r="AH278" s="9">
        <v>40954</v>
      </c>
      <c r="AI278">
        <v>11</v>
      </c>
      <c r="AJ278">
        <v>28</v>
      </c>
      <c r="AK278">
        <v>4</v>
      </c>
      <c r="AL278">
        <v>39</v>
      </c>
      <c r="AM278">
        <f>IF(Cleaned_Data[[#This Row],[DateofTermination]]="","",YEAR(Cleaned_Data[[#This Row],[DateofTermination]]))</f>
        <v>2013</v>
      </c>
      <c r="AN278">
        <v>1</v>
      </c>
    </row>
    <row r="279" spans="1:40" x14ac:dyDescent="0.35">
      <c r="A279" t="s">
        <v>582</v>
      </c>
      <c r="B279">
        <v>10146</v>
      </c>
      <c r="C279">
        <v>1</v>
      </c>
      <c r="D279">
        <v>1</v>
      </c>
      <c r="E279">
        <v>0</v>
      </c>
      <c r="F279">
        <v>5</v>
      </c>
      <c r="G279">
        <v>5</v>
      </c>
      <c r="H279">
        <v>3</v>
      </c>
      <c r="I279">
        <v>0</v>
      </c>
      <c r="J279">
        <v>72202</v>
      </c>
      <c r="K279">
        <v>1</v>
      </c>
      <c r="L279">
        <v>20</v>
      </c>
      <c r="M279" t="s">
        <v>500</v>
      </c>
      <c r="N279" t="s">
        <v>40</v>
      </c>
      <c r="O279">
        <v>2129</v>
      </c>
      <c r="P279" s="9">
        <v>25293</v>
      </c>
      <c r="Q279" t="s">
        <v>41</v>
      </c>
      <c r="R279" t="s">
        <v>618</v>
      </c>
      <c r="S279" t="s">
        <v>55</v>
      </c>
      <c r="T279" t="s">
        <v>44</v>
      </c>
      <c r="U279" t="s">
        <v>45</v>
      </c>
      <c r="V279" t="s">
        <v>46</v>
      </c>
      <c r="W279" s="9">
        <v>40679</v>
      </c>
      <c r="X279" s="9">
        <v>42954</v>
      </c>
      <c r="Y279" t="s">
        <v>93</v>
      </c>
      <c r="Z279" t="s">
        <v>57</v>
      </c>
      <c r="AA279" t="s">
        <v>495</v>
      </c>
      <c r="AB279" t="s">
        <v>68</v>
      </c>
      <c r="AC279" t="s">
        <v>73</v>
      </c>
      <c r="AD279" t="s">
        <v>61</v>
      </c>
      <c r="AE279">
        <v>3.93</v>
      </c>
      <c r="AF279">
        <v>3</v>
      </c>
      <c r="AG279">
        <v>0</v>
      </c>
      <c r="AH279" s="9">
        <v>42843</v>
      </c>
      <c r="AI279">
        <v>3</v>
      </c>
      <c r="AJ279">
        <v>48</v>
      </c>
      <c r="AK279">
        <v>6</v>
      </c>
      <c r="AL279">
        <v>16</v>
      </c>
      <c r="AM279">
        <f>IF(Cleaned_Data[[#This Row],[DateofTermination]]="","",YEAR(Cleaned_Data[[#This Row],[DateofTermination]]))</f>
        <v>2017</v>
      </c>
      <c r="AN279">
        <v>1</v>
      </c>
    </row>
    <row r="280" spans="1:40" x14ac:dyDescent="0.35">
      <c r="A280" t="s">
        <v>583</v>
      </c>
      <c r="B280">
        <v>10161</v>
      </c>
      <c r="C280">
        <v>0</v>
      </c>
      <c r="D280">
        <v>0</v>
      </c>
      <c r="E280">
        <v>0</v>
      </c>
      <c r="F280">
        <v>1</v>
      </c>
      <c r="G280">
        <v>6</v>
      </c>
      <c r="H280">
        <v>3</v>
      </c>
      <c r="I280">
        <v>0</v>
      </c>
      <c r="J280">
        <v>58370</v>
      </c>
      <c r="K280">
        <v>0</v>
      </c>
      <c r="L280">
        <v>3</v>
      </c>
      <c r="M280" t="s">
        <v>143</v>
      </c>
      <c r="N280" t="s">
        <v>454</v>
      </c>
      <c r="O280">
        <v>97756</v>
      </c>
      <c r="P280" s="9">
        <v>33381</v>
      </c>
      <c r="Q280" t="s">
        <v>41</v>
      </c>
      <c r="R280" t="s">
        <v>618</v>
      </c>
      <c r="S280" t="s">
        <v>43</v>
      </c>
      <c r="T280" t="s">
        <v>44</v>
      </c>
      <c r="U280" t="s">
        <v>45</v>
      </c>
      <c r="V280" t="s">
        <v>85</v>
      </c>
      <c r="W280" s="9">
        <v>41911</v>
      </c>
      <c r="X280" s="9"/>
      <c r="Y280" t="s">
        <v>47</v>
      </c>
      <c r="Z280" t="s">
        <v>48</v>
      </c>
      <c r="AA280" t="s">
        <v>145</v>
      </c>
      <c r="AB280" t="s">
        <v>164</v>
      </c>
      <c r="AC280" t="s">
        <v>60</v>
      </c>
      <c r="AD280" t="s">
        <v>61</v>
      </c>
      <c r="AE280">
        <v>3.69</v>
      </c>
      <c r="AF280">
        <v>3</v>
      </c>
      <c r="AG280">
        <v>0</v>
      </c>
      <c r="AH280" s="9">
        <v>43493</v>
      </c>
      <c r="AI280">
        <v>18</v>
      </c>
      <c r="AJ280">
        <v>29</v>
      </c>
      <c r="AK280">
        <v>5</v>
      </c>
      <c r="AL280">
        <v>21</v>
      </c>
      <c r="AM280" t="str">
        <f>IF(Cleaned_Data[[#This Row],[DateofTermination]]="","",YEAR(Cleaned_Data[[#This Row],[DateofTermination]]))</f>
        <v/>
      </c>
      <c r="AN280">
        <v>1</v>
      </c>
    </row>
    <row r="281" spans="1:40" x14ac:dyDescent="0.35">
      <c r="A281" t="s">
        <v>455</v>
      </c>
      <c r="B281">
        <v>10141</v>
      </c>
      <c r="C281">
        <v>0</v>
      </c>
      <c r="D281">
        <v>0</v>
      </c>
      <c r="E281">
        <v>0</v>
      </c>
      <c r="F281">
        <v>5</v>
      </c>
      <c r="G281">
        <v>5</v>
      </c>
      <c r="H281">
        <v>3</v>
      </c>
      <c r="I281">
        <v>0</v>
      </c>
      <c r="J281">
        <v>48413</v>
      </c>
      <c r="K281">
        <v>1</v>
      </c>
      <c r="L281">
        <v>19</v>
      </c>
      <c r="M281" t="s">
        <v>39</v>
      </c>
      <c r="N281" t="s">
        <v>40</v>
      </c>
      <c r="O281">
        <v>2066</v>
      </c>
      <c r="P281" s="9">
        <v>31808</v>
      </c>
      <c r="Q281" t="s">
        <v>41</v>
      </c>
      <c r="R281" t="s">
        <v>618</v>
      </c>
      <c r="S281" t="s">
        <v>43</v>
      </c>
      <c r="T281" t="s">
        <v>44</v>
      </c>
      <c r="U281" t="s">
        <v>45</v>
      </c>
      <c r="V281" t="s">
        <v>46</v>
      </c>
      <c r="W281" s="9">
        <v>40670</v>
      </c>
      <c r="X281" s="9">
        <v>42499</v>
      </c>
      <c r="Y281" t="s">
        <v>71</v>
      </c>
      <c r="Z281" t="s">
        <v>57</v>
      </c>
      <c r="AA281" t="s">
        <v>495</v>
      </c>
      <c r="AB281" t="s">
        <v>75</v>
      </c>
      <c r="AC281" t="s">
        <v>60</v>
      </c>
      <c r="AD281" t="s">
        <v>61</v>
      </c>
      <c r="AE281">
        <v>3.98</v>
      </c>
      <c r="AF281">
        <v>4</v>
      </c>
      <c r="AG281">
        <v>0</v>
      </c>
      <c r="AH281" s="9">
        <v>42403</v>
      </c>
      <c r="AI281">
        <v>1</v>
      </c>
      <c r="AJ281">
        <v>29</v>
      </c>
      <c r="AK281">
        <v>5</v>
      </c>
      <c r="AL281">
        <v>11</v>
      </c>
      <c r="AM281">
        <f>IF(Cleaned_Data[[#This Row],[DateofTermination]]="","",YEAR(Cleaned_Data[[#This Row],[DateofTermination]]))</f>
        <v>2016</v>
      </c>
      <c r="AN281">
        <v>1</v>
      </c>
    </row>
    <row r="282" spans="1:40" x14ac:dyDescent="0.35">
      <c r="A282" t="s">
        <v>456</v>
      </c>
      <c r="B282">
        <v>10268</v>
      </c>
      <c r="C282">
        <v>0</v>
      </c>
      <c r="D282">
        <v>4</v>
      </c>
      <c r="E282">
        <v>1</v>
      </c>
      <c r="F282">
        <v>5</v>
      </c>
      <c r="G282">
        <v>5</v>
      </c>
      <c r="H282">
        <v>3</v>
      </c>
      <c r="I282">
        <v>0</v>
      </c>
      <c r="J282">
        <v>67176</v>
      </c>
      <c r="K282">
        <v>1</v>
      </c>
      <c r="L282">
        <v>20</v>
      </c>
      <c r="M282" t="s">
        <v>500</v>
      </c>
      <c r="N282" t="s">
        <v>40</v>
      </c>
      <c r="O282">
        <v>2472</v>
      </c>
      <c r="P282" s="9">
        <v>20407</v>
      </c>
      <c r="Q282" t="s">
        <v>96</v>
      </c>
      <c r="R282" t="s">
        <v>617</v>
      </c>
      <c r="S282" t="s">
        <v>81</v>
      </c>
      <c r="T282" t="s">
        <v>44</v>
      </c>
      <c r="U282" t="s">
        <v>45</v>
      </c>
      <c r="V282" t="s">
        <v>46</v>
      </c>
      <c r="W282" s="9">
        <v>39258</v>
      </c>
      <c r="X282" s="9">
        <v>40420</v>
      </c>
      <c r="Y282" t="s">
        <v>216</v>
      </c>
      <c r="Z282" t="s">
        <v>57</v>
      </c>
      <c r="AA282" t="s">
        <v>495</v>
      </c>
      <c r="AB282" t="s">
        <v>72</v>
      </c>
      <c r="AC282" t="s">
        <v>240</v>
      </c>
      <c r="AD282" t="s">
        <v>61</v>
      </c>
      <c r="AE282">
        <v>4.0999999999999996</v>
      </c>
      <c r="AF282">
        <v>4</v>
      </c>
      <c r="AG282">
        <v>0</v>
      </c>
      <c r="AH282" s="9">
        <v>40373</v>
      </c>
      <c r="AI282">
        <v>15</v>
      </c>
      <c r="AJ282">
        <v>55</v>
      </c>
      <c r="AK282">
        <v>3</v>
      </c>
      <c r="AL282">
        <v>39</v>
      </c>
      <c r="AM282">
        <f>IF(Cleaned_Data[[#This Row],[DateofTermination]]="","",YEAR(Cleaned_Data[[#This Row],[DateofTermination]]))</f>
        <v>2010</v>
      </c>
      <c r="AN282">
        <v>1</v>
      </c>
    </row>
    <row r="283" spans="1:40" x14ac:dyDescent="0.35">
      <c r="A283" t="s">
        <v>457</v>
      </c>
      <c r="B283">
        <v>10123</v>
      </c>
      <c r="C283">
        <v>0</v>
      </c>
      <c r="D283">
        <v>2</v>
      </c>
      <c r="E283">
        <v>0</v>
      </c>
      <c r="F283">
        <v>1</v>
      </c>
      <c r="G283">
        <v>5</v>
      </c>
      <c r="H283">
        <v>3</v>
      </c>
      <c r="I283">
        <v>0</v>
      </c>
      <c r="J283">
        <v>56339</v>
      </c>
      <c r="K283">
        <v>0</v>
      </c>
      <c r="L283">
        <v>19</v>
      </c>
      <c r="M283" t="s">
        <v>39</v>
      </c>
      <c r="N283" t="s">
        <v>40</v>
      </c>
      <c r="O283">
        <v>2093</v>
      </c>
      <c r="P283" s="9">
        <v>31921</v>
      </c>
      <c r="Q283" t="s">
        <v>41</v>
      </c>
      <c r="R283" t="s">
        <v>618</v>
      </c>
      <c r="S283" t="s">
        <v>70</v>
      </c>
      <c r="T283" t="s">
        <v>44</v>
      </c>
      <c r="U283" t="s">
        <v>45</v>
      </c>
      <c r="V283" t="s">
        <v>85</v>
      </c>
      <c r="W283" s="9">
        <v>41323</v>
      </c>
      <c r="X283" s="9"/>
      <c r="Y283" t="s">
        <v>47</v>
      </c>
      <c r="Z283" t="s">
        <v>48</v>
      </c>
      <c r="AA283" t="s">
        <v>495</v>
      </c>
      <c r="AB283" t="s">
        <v>86</v>
      </c>
      <c r="AC283" t="s">
        <v>60</v>
      </c>
      <c r="AD283" t="s">
        <v>61</v>
      </c>
      <c r="AE283">
        <v>4.21</v>
      </c>
      <c r="AF283">
        <v>5</v>
      </c>
      <c r="AG283">
        <v>0</v>
      </c>
      <c r="AH283" s="9">
        <v>43479</v>
      </c>
      <c r="AI283">
        <v>4</v>
      </c>
      <c r="AJ283">
        <v>33</v>
      </c>
      <c r="AK283">
        <v>7</v>
      </c>
      <c r="AL283">
        <v>12</v>
      </c>
      <c r="AM283" t="str">
        <f>IF(Cleaned_Data[[#This Row],[DateofTermination]]="","",YEAR(Cleaned_Data[[#This Row],[DateofTermination]]))</f>
        <v/>
      </c>
      <c r="AN283">
        <v>1</v>
      </c>
    </row>
    <row r="284" spans="1:40" x14ac:dyDescent="0.35">
      <c r="A284" t="s">
        <v>458</v>
      </c>
      <c r="B284">
        <v>10013</v>
      </c>
      <c r="C284">
        <v>0</v>
      </c>
      <c r="D284">
        <v>3</v>
      </c>
      <c r="E284">
        <v>1</v>
      </c>
      <c r="F284">
        <v>1</v>
      </c>
      <c r="G284">
        <v>6</v>
      </c>
      <c r="H284">
        <v>4</v>
      </c>
      <c r="I284">
        <v>0</v>
      </c>
      <c r="J284">
        <v>64397</v>
      </c>
      <c r="K284">
        <v>0</v>
      </c>
      <c r="L284">
        <v>3</v>
      </c>
      <c r="M284" t="s">
        <v>143</v>
      </c>
      <c r="N284" t="s">
        <v>459</v>
      </c>
      <c r="O284">
        <v>58782</v>
      </c>
      <c r="P284" s="9">
        <v>30527</v>
      </c>
      <c r="Q284" t="s">
        <v>41</v>
      </c>
      <c r="R284" t="s">
        <v>617</v>
      </c>
      <c r="S284" t="s">
        <v>141</v>
      </c>
      <c r="T284" t="s">
        <v>44</v>
      </c>
      <c r="U284" t="s">
        <v>45</v>
      </c>
      <c r="V284" t="s">
        <v>46</v>
      </c>
      <c r="W284" s="9">
        <v>38961</v>
      </c>
      <c r="X284" s="9"/>
      <c r="Y284" t="s">
        <v>47</v>
      </c>
      <c r="Z284" t="s">
        <v>48</v>
      </c>
      <c r="AA284" t="s">
        <v>145</v>
      </c>
      <c r="AB284" t="s">
        <v>164</v>
      </c>
      <c r="AC284" t="s">
        <v>60</v>
      </c>
      <c r="AD284" t="s">
        <v>52</v>
      </c>
      <c r="AE284">
        <v>4.0999999999999996</v>
      </c>
      <c r="AF284">
        <v>3</v>
      </c>
      <c r="AG284">
        <v>0</v>
      </c>
      <c r="AH284" s="9">
        <v>43556</v>
      </c>
      <c r="AI284">
        <v>6</v>
      </c>
      <c r="AJ284">
        <v>36</v>
      </c>
      <c r="AK284">
        <v>13</v>
      </c>
      <c r="AL284">
        <v>21</v>
      </c>
      <c r="AM284" t="str">
        <f>IF(Cleaned_Data[[#This Row],[DateofTermination]]="","",YEAR(Cleaned_Data[[#This Row],[DateofTermination]]))</f>
        <v/>
      </c>
      <c r="AN284">
        <v>1</v>
      </c>
    </row>
    <row r="285" spans="1:40" x14ac:dyDescent="0.35">
      <c r="A285" t="s">
        <v>460</v>
      </c>
      <c r="B285">
        <v>10287</v>
      </c>
      <c r="C285">
        <v>0</v>
      </c>
      <c r="D285">
        <v>0</v>
      </c>
      <c r="E285">
        <v>0</v>
      </c>
      <c r="F285">
        <v>1</v>
      </c>
      <c r="G285">
        <v>5</v>
      </c>
      <c r="H285">
        <v>2</v>
      </c>
      <c r="I285">
        <v>0</v>
      </c>
      <c r="J285">
        <v>63025</v>
      </c>
      <c r="K285">
        <v>0</v>
      </c>
      <c r="L285">
        <v>19</v>
      </c>
      <c r="M285" t="s">
        <v>39</v>
      </c>
      <c r="N285" t="s">
        <v>40</v>
      </c>
      <c r="O285">
        <v>2021</v>
      </c>
      <c r="P285" s="9">
        <v>31157</v>
      </c>
      <c r="Q285" t="s">
        <v>41</v>
      </c>
      <c r="R285" t="s">
        <v>618</v>
      </c>
      <c r="S285" t="s">
        <v>43</v>
      </c>
      <c r="T285" t="s">
        <v>44</v>
      </c>
      <c r="U285" t="s">
        <v>45</v>
      </c>
      <c r="V285" t="s">
        <v>46</v>
      </c>
      <c r="W285" s="9">
        <v>41687</v>
      </c>
      <c r="X285" s="9"/>
      <c r="Y285" t="s">
        <v>47</v>
      </c>
      <c r="Z285" t="s">
        <v>48</v>
      </c>
      <c r="AA285" t="s">
        <v>495</v>
      </c>
      <c r="AB285" t="s">
        <v>94</v>
      </c>
      <c r="AC285" t="s">
        <v>496</v>
      </c>
      <c r="AD285" t="s">
        <v>122</v>
      </c>
      <c r="AE285">
        <v>2.44</v>
      </c>
      <c r="AF285">
        <v>5</v>
      </c>
      <c r="AG285">
        <v>0</v>
      </c>
      <c r="AH285" s="9">
        <v>43771</v>
      </c>
      <c r="AI285">
        <v>18</v>
      </c>
      <c r="AJ285">
        <v>35</v>
      </c>
      <c r="AK285">
        <v>6</v>
      </c>
      <c r="AL285">
        <v>14</v>
      </c>
      <c r="AM285" t="str">
        <f>IF(Cleaned_Data[[#This Row],[DateofTermination]]="","",YEAR(Cleaned_Data[[#This Row],[DateofTermination]]))</f>
        <v/>
      </c>
      <c r="AN285">
        <v>1</v>
      </c>
    </row>
    <row r="286" spans="1:40" x14ac:dyDescent="0.35">
      <c r="A286" t="s">
        <v>584</v>
      </c>
      <c r="B286">
        <v>10044</v>
      </c>
      <c r="C286">
        <v>1</v>
      </c>
      <c r="D286">
        <v>1</v>
      </c>
      <c r="E286">
        <v>1</v>
      </c>
      <c r="F286">
        <v>5</v>
      </c>
      <c r="G286">
        <v>3</v>
      </c>
      <c r="H286">
        <v>3</v>
      </c>
      <c r="I286">
        <v>0</v>
      </c>
      <c r="J286">
        <v>75281</v>
      </c>
      <c r="K286">
        <v>1</v>
      </c>
      <c r="L286">
        <v>15</v>
      </c>
      <c r="M286" t="s">
        <v>229</v>
      </c>
      <c r="N286" t="s">
        <v>40</v>
      </c>
      <c r="O286">
        <v>1420</v>
      </c>
      <c r="P286" s="9">
        <v>29097</v>
      </c>
      <c r="Q286" t="s">
        <v>41</v>
      </c>
      <c r="R286" t="s">
        <v>617</v>
      </c>
      <c r="S286" t="s">
        <v>55</v>
      </c>
      <c r="T286" t="s">
        <v>44</v>
      </c>
      <c r="U286" t="s">
        <v>45</v>
      </c>
      <c r="V286" t="s">
        <v>46</v>
      </c>
      <c r="W286" s="9">
        <v>42125</v>
      </c>
      <c r="X286" s="9">
        <v>42706</v>
      </c>
      <c r="Y286" t="s">
        <v>383</v>
      </c>
      <c r="Z286" t="s">
        <v>57</v>
      </c>
      <c r="AA286" t="s">
        <v>499</v>
      </c>
      <c r="AB286" t="s">
        <v>90</v>
      </c>
      <c r="AC286" t="s">
        <v>508</v>
      </c>
      <c r="AD286" t="s">
        <v>61</v>
      </c>
      <c r="AE286">
        <v>5</v>
      </c>
      <c r="AF286">
        <v>3</v>
      </c>
      <c r="AG286">
        <v>5</v>
      </c>
      <c r="AH286" s="9">
        <v>42109</v>
      </c>
      <c r="AI286">
        <v>11</v>
      </c>
      <c r="AJ286">
        <v>37</v>
      </c>
      <c r="AK286">
        <v>2</v>
      </c>
      <c r="AL286">
        <v>7</v>
      </c>
      <c r="AM286">
        <f>IF(Cleaned_Data[[#This Row],[DateofTermination]]="","",YEAR(Cleaned_Data[[#This Row],[DateofTermination]]))</f>
        <v>2016</v>
      </c>
      <c r="AN286">
        <v>1</v>
      </c>
    </row>
    <row r="287" spans="1:40" x14ac:dyDescent="0.35">
      <c r="A287" t="s">
        <v>462</v>
      </c>
      <c r="B287">
        <v>10102</v>
      </c>
      <c r="C287">
        <v>0</v>
      </c>
      <c r="D287">
        <v>0</v>
      </c>
      <c r="E287">
        <v>1</v>
      </c>
      <c r="F287">
        <v>5</v>
      </c>
      <c r="G287">
        <v>4</v>
      </c>
      <c r="H287">
        <v>3</v>
      </c>
      <c r="I287">
        <v>1</v>
      </c>
      <c r="J287">
        <v>100416</v>
      </c>
      <c r="K287">
        <v>1</v>
      </c>
      <c r="L287">
        <v>24</v>
      </c>
      <c r="M287" t="s">
        <v>77</v>
      </c>
      <c r="N287" t="s">
        <v>40</v>
      </c>
      <c r="O287">
        <v>2451</v>
      </c>
      <c r="P287" s="9">
        <v>28910</v>
      </c>
      <c r="Q287" t="s">
        <v>41</v>
      </c>
      <c r="R287" t="s">
        <v>617</v>
      </c>
      <c r="S287" t="s">
        <v>43</v>
      </c>
      <c r="T287" t="s">
        <v>168</v>
      </c>
      <c r="U287" t="s">
        <v>45</v>
      </c>
      <c r="V287" t="s">
        <v>85</v>
      </c>
      <c r="W287" s="9">
        <v>41323</v>
      </c>
      <c r="X287" s="9">
        <v>43205</v>
      </c>
      <c r="Y287" t="s">
        <v>383</v>
      </c>
      <c r="Z287" t="s">
        <v>57</v>
      </c>
      <c r="AA287" t="s">
        <v>78</v>
      </c>
      <c r="AB287" t="s">
        <v>79</v>
      </c>
      <c r="AC287" t="s">
        <v>624</v>
      </c>
      <c r="AD287" t="s">
        <v>61</v>
      </c>
      <c r="AE287">
        <v>4.5999999999999996</v>
      </c>
      <c r="AF287">
        <v>3</v>
      </c>
      <c r="AG287">
        <v>4</v>
      </c>
      <c r="AH287" s="9">
        <v>43071</v>
      </c>
      <c r="AI287">
        <v>9</v>
      </c>
      <c r="AJ287">
        <v>39</v>
      </c>
      <c r="AK287">
        <v>5</v>
      </c>
      <c r="AL287">
        <v>10</v>
      </c>
      <c r="AM287">
        <f>IF(Cleaned_Data[[#This Row],[DateofTermination]]="","",YEAR(Cleaned_Data[[#This Row],[DateofTermination]]))</f>
        <v>2018</v>
      </c>
      <c r="AN287">
        <v>1</v>
      </c>
    </row>
    <row r="288" spans="1:40" x14ac:dyDescent="0.35">
      <c r="A288" t="s">
        <v>463</v>
      </c>
      <c r="B288">
        <v>10270</v>
      </c>
      <c r="C288">
        <v>0</v>
      </c>
      <c r="D288">
        <v>0</v>
      </c>
      <c r="E288">
        <v>0</v>
      </c>
      <c r="F288">
        <v>5</v>
      </c>
      <c r="G288">
        <v>5</v>
      </c>
      <c r="H288">
        <v>3</v>
      </c>
      <c r="I288">
        <v>0</v>
      </c>
      <c r="J288">
        <v>74813</v>
      </c>
      <c r="K288">
        <v>1</v>
      </c>
      <c r="L288">
        <v>20</v>
      </c>
      <c r="M288" t="s">
        <v>500</v>
      </c>
      <c r="N288" t="s">
        <v>40</v>
      </c>
      <c r="O288">
        <v>1778</v>
      </c>
      <c r="P288" s="9">
        <v>28719</v>
      </c>
      <c r="Q288" t="s">
        <v>41</v>
      </c>
      <c r="R288" t="s">
        <v>618</v>
      </c>
      <c r="S288" t="s">
        <v>43</v>
      </c>
      <c r="T288" t="s">
        <v>44</v>
      </c>
      <c r="U288" t="s">
        <v>45</v>
      </c>
      <c r="V288" t="s">
        <v>46</v>
      </c>
      <c r="W288" s="9">
        <v>40817</v>
      </c>
      <c r="X288" s="9">
        <v>41677</v>
      </c>
      <c r="Y288" t="s">
        <v>97</v>
      </c>
      <c r="Z288" t="s">
        <v>57</v>
      </c>
      <c r="AA288" t="s">
        <v>495</v>
      </c>
      <c r="AB288" t="s">
        <v>75</v>
      </c>
      <c r="AC288" t="s">
        <v>496</v>
      </c>
      <c r="AD288" t="s">
        <v>61</v>
      </c>
      <c r="AE288">
        <v>4.4000000000000004</v>
      </c>
      <c r="AF288">
        <v>3</v>
      </c>
      <c r="AG288">
        <v>0</v>
      </c>
      <c r="AH288" s="9">
        <v>41760</v>
      </c>
      <c r="AI288">
        <v>5</v>
      </c>
      <c r="AJ288">
        <v>35</v>
      </c>
      <c r="AK288">
        <v>2</v>
      </c>
      <c r="AL288">
        <v>11</v>
      </c>
      <c r="AM288">
        <f>IF(Cleaned_Data[[#This Row],[DateofTermination]]="","",YEAR(Cleaned_Data[[#This Row],[DateofTermination]]))</f>
        <v>2014</v>
      </c>
      <c r="AN288">
        <v>1</v>
      </c>
    </row>
    <row r="289" spans="1:40" x14ac:dyDescent="0.35">
      <c r="A289" t="s">
        <v>464</v>
      </c>
      <c r="B289">
        <v>10045</v>
      </c>
      <c r="C289">
        <v>1</v>
      </c>
      <c r="D289">
        <v>1</v>
      </c>
      <c r="E289">
        <v>1</v>
      </c>
      <c r="F289">
        <v>1</v>
      </c>
      <c r="G289">
        <v>3</v>
      </c>
      <c r="H289">
        <v>3</v>
      </c>
      <c r="I289">
        <v>0</v>
      </c>
      <c r="J289">
        <v>76029</v>
      </c>
      <c r="K289">
        <v>0</v>
      </c>
      <c r="L289">
        <v>15</v>
      </c>
      <c r="M289" t="s">
        <v>229</v>
      </c>
      <c r="N289" t="s">
        <v>40</v>
      </c>
      <c r="O289">
        <v>2343</v>
      </c>
      <c r="P289" s="9">
        <v>25293</v>
      </c>
      <c r="Q289" t="s">
        <v>41</v>
      </c>
      <c r="R289" t="s">
        <v>617</v>
      </c>
      <c r="S289" t="s">
        <v>55</v>
      </c>
      <c r="T289" t="s">
        <v>111</v>
      </c>
      <c r="U289" t="s">
        <v>45</v>
      </c>
      <c r="V289" t="s">
        <v>46</v>
      </c>
      <c r="W289" s="9">
        <v>42093</v>
      </c>
      <c r="X289" s="9"/>
      <c r="Y289" t="s">
        <v>47</v>
      </c>
      <c r="Z289" t="s">
        <v>48</v>
      </c>
      <c r="AA289" t="s">
        <v>499</v>
      </c>
      <c r="AB289" t="s">
        <v>90</v>
      </c>
      <c r="AC289" t="s">
        <v>625</v>
      </c>
      <c r="AD289" t="s">
        <v>61</v>
      </c>
      <c r="AE289">
        <v>5</v>
      </c>
      <c r="AF289">
        <v>4</v>
      </c>
      <c r="AG289">
        <v>7</v>
      </c>
      <c r="AH289" s="9">
        <v>43479</v>
      </c>
      <c r="AI289">
        <v>8</v>
      </c>
      <c r="AJ289">
        <v>51</v>
      </c>
      <c r="AK289">
        <v>5</v>
      </c>
      <c r="AL289">
        <v>7</v>
      </c>
      <c r="AM289" t="str">
        <f>IF(Cleaned_Data[[#This Row],[DateofTermination]]="","",YEAR(Cleaned_Data[[#This Row],[DateofTermination]]))</f>
        <v/>
      </c>
      <c r="AN289">
        <v>1</v>
      </c>
    </row>
    <row r="290" spans="1:40" x14ac:dyDescent="0.35">
      <c r="A290" t="s">
        <v>465</v>
      </c>
      <c r="B290">
        <v>10205</v>
      </c>
      <c r="C290">
        <v>1</v>
      </c>
      <c r="D290">
        <v>1</v>
      </c>
      <c r="E290">
        <v>0</v>
      </c>
      <c r="F290">
        <v>1</v>
      </c>
      <c r="G290">
        <v>6</v>
      </c>
      <c r="H290">
        <v>3</v>
      </c>
      <c r="I290">
        <v>0</v>
      </c>
      <c r="J290">
        <v>57859</v>
      </c>
      <c r="K290">
        <v>0</v>
      </c>
      <c r="L290">
        <v>3</v>
      </c>
      <c r="M290" t="s">
        <v>143</v>
      </c>
      <c r="N290" t="s">
        <v>466</v>
      </c>
      <c r="O290">
        <v>85006</v>
      </c>
      <c r="P290" s="9">
        <v>33381</v>
      </c>
      <c r="Q290" t="s">
        <v>41</v>
      </c>
      <c r="R290" t="s">
        <v>618</v>
      </c>
      <c r="S290" t="s">
        <v>55</v>
      </c>
      <c r="T290" t="s">
        <v>44</v>
      </c>
      <c r="U290" t="s">
        <v>45</v>
      </c>
      <c r="V290" t="s">
        <v>102</v>
      </c>
      <c r="W290" s="9">
        <v>40670</v>
      </c>
      <c r="X290" s="9"/>
      <c r="Y290" t="s">
        <v>47</v>
      </c>
      <c r="Z290" t="s">
        <v>48</v>
      </c>
      <c r="AA290" t="s">
        <v>145</v>
      </c>
      <c r="AB290" t="s">
        <v>146</v>
      </c>
      <c r="AC290" t="s">
        <v>60</v>
      </c>
      <c r="AD290" t="s">
        <v>61</v>
      </c>
      <c r="AE290">
        <v>2.81</v>
      </c>
      <c r="AF290">
        <v>3</v>
      </c>
      <c r="AG290">
        <v>0</v>
      </c>
      <c r="AH290" s="9">
        <v>43482</v>
      </c>
      <c r="AI290">
        <v>16</v>
      </c>
      <c r="AJ290">
        <v>29</v>
      </c>
      <c r="AK290">
        <v>9</v>
      </c>
      <c r="AL290">
        <v>17</v>
      </c>
      <c r="AM290" t="str">
        <f>IF(Cleaned_Data[[#This Row],[DateofTermination]]="","",YEAR(Cleaned_Data[[#This Row],[DateofTermination]]))</f>
        <v/>
      </c>
      <c r="AN290">
        <v>1</v>
      </c>
    </row>
    <row r="291" spans="1:40" x14ac:dyDescent="0.35">
      <c r="A291" t="s">
        <v>585</v>
      </c>
      <c r="B291">
        <v>10014</v>
      </c>
      <c r="C291">
        <v>0</v>
      </c>
      <c r="D291">
        <v>2</v>
      </c>
      <c r="E291">
        <v>1</v>
      </c>
      <c r="F291">
        <v>5</v>
      </c>
      <c r="G291">
        <v>5</v>
      </c>
      <c r="H291">
        <v>4</v>
      </c>
      <c r="I291">
        <v>0</v>
      </c>
      <c r="J291">
        <v>58523</v>
      </c>
      <c r="K291">
        <v>1</v>
      </c>
      <c r="L291">
        <v>19</v>
      </c>
      <c r="M291" t="s">
        <v>39</v>
      </c>
      <c r="N291" t="s">
        <v>40</v>
      </c>
      <c r="O291">
        <v>2171</v>
      </c>
      <c r="P291" s="9">
        <v>31808</v>
      </c>
      <c r="Q291" t="s">
        <v>41</v>
      </c>
      <c r="R291" t="s">
        <v>617</v>
      </c>
      <c r="S291" t="s">
        <v>70</v>
      </c>
      <c r="T291" t="s">
        <v>44</v>
      </c>
      <c r="U291" t="s">
        <v>45</v>
      </c>
      <c r="V291" t="s">
        <v>46</v>
      </c>
      <c r="W291" s="9">
        <v>41134</v>
      </c>
      <c r="X291" s="9">
        <v>42492</v>
      </c>
      <c r="Y291" t="s">
        <v>300</v>
      </c>
      <c r="Z291" t="s">
        <v>57</v>
      </c>
      <c r="AA291" t="s">
        <v>495</v>
      </c>
      <c r="AB291" t="s">
        <v>66</v>
      </c>
      <c r="AC291" t="s">
        <v>496</v>
      </c>
      <c r="AD291" t="s">
        <v>52</v>
      </c>
      <c r="AE291">
        <v>4.5</v>
      </c>
      <c r="AF291">
        <v>5</v>
      </c>
      <c r="AG291">
        <v>0</v>
      </c>
      <c r="AH291" s="9">
        <v>42371</v>
      </c>
      <c r="AI291">
        <v>15</v>
      </c>
      <c r="AJ291">
        <v>29</v>
      </c>
      <c r="AK291">
        <v>4</v>
      </c>
      <c r="AL291">
        <v>20</v>
      </c>
      <c r="AM291">
        <f>IF(Cleaned_Data[[#This Row],[DateofTermination]]="","",YEAR(Cleaned_Data[[#This Row],[DateofTermination]]))</f>
        <v>2016</v>
      </c>
      <c r="AN291">
        <v>1</v>
      </c>
    </row>
    <row r="292" spans="1:40" x14ac:dyDescent="0.35">
      <c r="A292" t="s">
        <v>468</v>
      </c>
      <c r="B292">
        <v>10144</v>
      </c>
      <c r="C292">
        <v>0</v>
      </c>
      <c r="D292">
        <v>2</v>
      </c>
      <c r="E292">
        <v>1</v>
      </c>
      <c r="F292">
        <v>1</v>
      </c>
      <c r="G292">
        <v>5</v>
      </c>
      <c r="H292">
        <v>3</v>
      </c>
      <c r="I292">
        <v>0</v>
      </c>
      <c r="J292">
        <v>88976</v>
      </c>
      <c r="K292">
        <v>0</v>
      </c>
      <c r="L292">
        <v>17</v>
      </c>
      <c r="M292" t="s">
        <v>133</v>
      </c>
      <c r="N292" t="s">
        <v>40</v>
      </c>
      <c r="O292">
        <v>2169</v>
      </c>
      <c r="P292" s="9">
        <v>25121</v>
      </c>
      <c r="Q292" t="s">
        <v>41</v>
      </c>
      <c r="R292" t="s">
        <v>617</v>
      </c>
      <c r="S292" t="s">
        <v>70</v>
      </c>
      <c r="T292" t="s">
        <v>44</v>
      </c>
      <c r="U292" t="s">
        <v>45</v>
      </c>
      <c r="V292" t="s">
        <v>46</v>
      </c>
      <c r="W292" s="9">
        <v>40551</v>
      </c>
      <c r="X292" s="9"/>
      <c r="Y292" t="s">
        <v>47</v>
      </c>
      <c r="Z292" t="s">
        <v>48</v>
      </c>
      <c r="AA292" t="s">
        <v>495</v>
      </c>
      <c r="AB292" t="s">
        <v>135</v>
      </c>
      <c r="AC292" t="s">
        <v>625</v>
      </c>
      <c r="AD292" t="s">
        <v>61</v>
      </c>
      <c r="AE292">
        <v>3.93</v>
      </c>
      <c r="AF292">
        <v>3</v>
      </c>
      <c r="AG292">
        <v>0</v>
      </c>
      <c r="AH292" s="9">
        <v>43523</v>
      </c>
      <c r="AI292">
        <v>19</v>
      </c>
      <c r="AJ292">
        <v>51</v>
      </c>
      <c r="AK292">
        <v>9</v>
      </c>
      <c r="AL292">
        <v>2</v>
      </c>
      <c r="AM292" t="str">
        <f>IF(Cleaned_Data[[#This Row],[DateofTermination]]="","",YEAR(Cleaned_Data[[#This Row],[DateofTermination]]))</f>
        <v/>
      </c>
      <c r="AN292">
        <v>1</v>
      </c>
    </row>
    <row r="293" spans="1:40" x14ac:dyDescent="0.35">
      <c r="A293" t="s">
        <v>469</v>
      </c>
      <c r="B293">
        <v>10253</v>
      </c>
      <c r="C293">
        <v>0</v>
      </c>
      <c r="D293">
        <v>0</v>
      </c>
      <c r="E293">
        <v>1</v>
      </c>
      <c r="F293">
        <v>1</v>
      </c>
      <c r="G293">
        <v>6</v>
      </c>
      <c r="H293">
        <v>3</v>
      </c>
      <c r="I293">
        <v>0</v>
      </c>
      <c r="J293">
        <v>55875</v>
      </c>
      <c r="K293">
        <v>0</v>
      </c>
      <c r="L293">
        <v>3</v>
      </c>
      <c r="M293" t="s">
        <v>143</v>
      </c>
      <c r="N293" t="s">
        <v>470</v>
      </c>
      <c r="O293">
        <v>4063</v>
      </c>
      <c r="P293" s="9">
        <v>32819</v>
      </c>
      <c r="Q293" t="s">
        <v>41</v>
      </c>
      <c r="R293" t="s">
        <v>617</v>
      </c>
      <c r="S293" t="s">
        <v>43</v>
      </c>
      <c r="T293" t="s">
        <v>44</v>
      </c>
      <c r="U293" t="s">
        <v>45</v>
      </c>
      <c r="V293" t="s">
        <v>116</v>
      </c>
      <c r="W293" s="9">
        <v>41032</v>
      </c>
      <c r="X293" s="9"/>
      <c r="Y293" t="s">
        <v>47</v>
      </c>
      <c r="Z293" t="s">
        <v>48</v>
      </c>
      <c r="AA293" t="s">
        <v>145</v>
      </c>
      <c r="AB293" t="s">
        <v>146</v>
      </c>
      <c r="AC293" t="s">
        <v>205</v>
      </c>
      <c r="AD293" t="s">
        <v>61</v>
      </c>
      <c r="AE293">
        <v>4.5</v>
      </c>
      <c r="AF293">
        <v>4</v>
      </c>
      <c r="AG293">
        <v>0</v>
      </c>
      <c r="AH293" s="9">
        <v>43483</v>
      </c>
      <c r="AI293">
        <v>11</v>
      </c>
      <c r="AJ293">
        <v>30</v>
      </c>
      <c r="AK293">
        <v>8</v>
      </c>
      <c r="AL293">
        <v>17</v>
      </c>
      <c r="AM293" t="str">
        <f>IF(Cleaned_Data[[#This Row],[DateofTermination]]="","",YEAR(Cleaned_Data[[#This Row],[DateofTermination]]))</f>
        <v/>
      </c>
      <c r="AN293">
        <v>1</v>
      </c>
    </row>
    <row r="294" spans="1:40" x14ac:dyDescent="0.35">
      <c r="A294" t="s">
        <v>471</v>
      </c>
      <c r="B294">
        <v>10118</v>
      </c>
      <c r="C294">
        <v>1</v>
      </c>
      <c r="D294">
        <v>1</v>
      </c>
      <c r="E294">
        <v>1</v>
      </c>
      <c r="F294">
        <v>4</v>
      </c>
      <c r="G294">
        <v>3</v>
      </c>
      <c r="H294">
        <v>3</v>
      </c>
      <c r="I294">
        <v>0</v>
      </c>
      <c r="J294">
        <v>113999</v>
      </c>
      <c r="K294">
        <v>1</v>
      </c>
      <c r="L294">
        <v>8</v>
      </c>
      <c r="M294" t="s">
        <v>113</v>
      </c>
      <c r="N294" t="s">
        <v>40</v>
      </c>
      <c r="O294">
        <v>1960</v>
      </c>
      <c r="P294" s="9">
        <v>31601</v>
      </c>
      <c r="Q294" t="s">
        <v>41</v>
      </c>
      <c r="R294" t="s">
        <v>617</v>
      </c>
      <c r="S294" t="s">
        <v>55</v>
      </c>
      <c r="T294" t="s">
        <v>44</v>
      </c>
      <c r="U294" t="s">
        <v>45</v>
      </c>
      <c r="V294" t="s">
        <v>85</v>
      </c>
      <c r="W294" s="9">
        <v>42051</v>
      </c>
      <c r="X294" s="9">
        <v>42788</v>
      </c>
      <c r="Y294" t="s">
        <v>222</v>
      </c>
      <c r="Z294" t="s">
        <v>108</v>
      </c>
      <c r="AA294" t="s">
        <v>499</v>
      </c>
      <c r="AB294" t="s">
        <v>59</v>
      </c>
      <c r="AC294" t="s">
        <v>625</v>
      </c>
      <c r="AD294" t="s">
        <v>61</v>
      </c>
      <c r="AE294">
        <v>4.33</v>
      </c>
      <c r="AF294">
        <v>3</v>
      </c>
      <c r="AG294">
        <v>7</v>
      </c>
      <c r="AH294" s="9">
        <v>42781</v>
      </c>
      <c r="AI294">
        <v>9</v>
      </c>
      <c r="AJ294">
        <v>31</v>
      </c>
      <c r="AK294">
        <v>2</v>
      </c>
      <c r="AL294">
        <v>4</v>
      </c>
      <c r="AM294">
        <f>IF(Cleaned_Data[[#This Row],[DateofTermination]]="","",YEAR(Cleaned_Data[[#This Row],[DateofTermination]]))</f>
        <v>2017</v>
      </c>
      <c r="AN294">
        <v>1</v>
      </c>
    </row>
    <row r="295" spans="1:40" x14ac:dyDescent="0.35">
      <c r="A295" t="s">
        <v>472</v>
      </c>
      <c r="B295">
        <v>10022</v>
      </c>
      <c r="C295">
        <v>1</v>
      </c>
      <c r="D295">
        <v>1</v>
      </c>
      <c r="E295">
        <v>0</v>
      </c>
      <c r="F295">
        <v>4</v>
      </c>
      <c r="G295">
        <v>5</v>
      </c>
      <c r="H295">
        <v>4</v>
      </c>
      <c r="I295">
        <v>0</v>
      </c>
      <c r="J295">
        <v>49773</v>
      </c>
      <c r="K295">
        <v>1</v>
      </c>
      <c r="L295">
        <v>19</v>
      </c>
      <c r="M295" t="s">
        <v>39</v>
      </c>
      <c r="N295" t="s">
        <v>40</v>
      </c>
      <c r="O295">
        <v>2747</v>
      </c>
      <c r="P295" s="9">
        <v>31477</v>
      </c>
      <c r="Q295" t="s">
        <v>41</v>
      </c>
      <c r="R295" t="s">
        <v>618</v>
      </c>
      <c r="S295" t="s">
        <v>55</v>
      </c>
      <c r="T295" t="s">
        <v>44</v>
      </c>
      <c r="U295" t="s">
        <v>45</v>
      </c>
      <c r="V295" t="s">
        <v>46</v>
      </c>
      <c r="W295" s="9">
        <v>40812</v>
      </c>
      <c r="X295" s="9">
        <v>42584</v>
      </c>
      <c r="Y295" t="s">
        <v>473</v>
      </c>
      <c r="Z295" t="s">
        <v>108</v>
      </c>
      <c r="AA295" t="s">
        <v>495</v>
      </c>
      <c r="AB295" t="s">
        <v>103</v>
      </c>
      <c r="AC295" t="s">
        <v>73</v>
      </c>
      <c r="AD295" t="s">
        <v>52</v>
      </c>
      <c r="AE295">
        <v>4.3</v>
      </c>
      <c r="AF295">
        <v>5</v>
      </c>
      <c r="AG295">
        <v>0</v>
      </c>
      <c r="AH295" s="9">
        <v>42006</v>
      </c>
      <c r="AI295">
        <v>18</v>
      </c>
      <c r="AJ295">
        <v>30</v>
      </c>
      <c r="AK295">
        <v>5</v>
      </c>
      <c r="AL295">
        <v>18</v>
      </c>
      <c r="AM295">
        <f>IF(Cleaned_Data[[#This Row],[DateofTermination]]="","",YEAR(Cleaned_Data[[#This Row],[DateofTermination]]))</f>
        <v>2016</v>
      </c>
      <c r="AN295">
        <v>1</v>
      </c>
    </row>
    <row r="296" spans="1:40" x14ac:dyDescent="0.35">
      <c r="A296" t="s">
        <v>474</v>
      </c>
      <c r="B296">
        <v>10183</v>
      </c>
      <c r="C296">
        <v>0</v>
      </c>
      <c r="D296">
        <v>0</v>
      </c>
      <c r="E296">
        <v>0</v>
      </c>
      <c r="F296">
        <v>2</v>
      </c>
      <c r="G296">
        <v>5</v>
      </c>
      <c r="H296">
        <v>3</v>
      </c>
      <c r="I296">
        <v>0</v>
      </c>
      <c r="J296">
        <v>62068</v>
      </c>
      <c r="K296">
        <v>0</v>
      </c>
      <c r="L296">
        <v>19</v>
      </c>
      <c r="M296" t="s">
        <v>39</v>
      </c>
      <c r="N296" t="s">
        <v>40</v>
      </c>
      <c r="O296">
        <v>2124</v>
      </c>
      <c r="P296" s="9">
        <v>31202</v>
      </c>
      <c r="Q296" t="s">
        <v>41</v>
      </c>
      <c r="R296" t="s">
        <v>618</v>
      </c>
      <c r="S296" t="s">
        <v>43</v>
      </c>
      <c r="T296" t="s">
        <v>44</v>
      </c>
      <c r="U296" t="s">
        <v>45</v>
      </c>
      <c r="V296" t="s">
        <v>46</v>
      </c>
      <c r="W296" s="9">
        <v>42131</v>
      </c>
      <c r="X296" s="9"/>
      <c r="Y296" t="s">
        <v>47</v>
      </c>
      <c r="Z296" t="s">
        <v>48</v>
      </c>
      <c r="AA296" t="s">
        <v>495</v>
      </c>
      <c r="AB296" t="s">
        <v>50</v>
      </c>
      <c r="AC296" t="s">
        <v>496</v>
      </c>
      <c r="AD296" t="s">
        <v>61</v>
      </c>
      <c r="AE296">
        <v>3.21</v>
      </c>
      <c r="AF296">
        <v>3</v>
      </c>
      <c r="AG296">
        <v>0</v>
      </c>
      <c r="AH296" s="9">
        <v>43494</v>
      </c>
      <c r="AI296">
        <v>7</v>
      </c>
      <c r="AJ296">
        <v>35</v>
      </c>
      <c r="AK296">
        <v>5</v>
      </c>
      <c r="AL296">
        <v>22</v>
      </c>
      <c r="AM296" t="str">
        <f>IF(Cleaned_Data[[#This Row],[DateofTermination]]="","",YEAR(Cleaned_Data[[#This Row],[DateofTermination]]))</f>
        <v/>
      </c>
      <c r="AN296">
        <v>1</v>
      </c>
    </row>
    <row r="297" spans="1:40" x14ac:dyDescent="0.35">
      <c r="A297" t="s">
        <v>475</v>
      </c>
      <c r="B297">
        <v>10190</v>
      </c>
      <c r="C297">
        <v>0</v>
      </c>
      <c r="D297">
        <v>0</v>
      </c>
      <c r="E297">
        <v>1</v>
      </c>
      <c r="F297">
        <v>1</v>
      </c>
      <c r="G297">
        <v>5</v>
      </c>
      <c r="H297">
        <v>3</v>
      </c>
      <c r="I297">
        <v>0</v>
      </c>
      <c r="J297">
        <v>66541</v>
      </c>
      <c r="K297">
        <v>0</v>
      </c>
      <c r="L297">
        <v>20</v>
      </c>
      <c r="M297" t="s">
        <v>500</v>
      </c>
      <c r="N297" t="s">
        <v>40</v>
      </c>
      <c r="O297">
        <v>2459</v>
      </c>
      <c r="P297" s="9">
        <v>28035</v>
      </c>
      <c r="Q297" t="s">
        <v>41</v>
      </c>
      <c r="R297" t="s">
        <v>617</v>
      </c>
      <c r="S297" t="s">
        <v>43</v>
      </c>
      <c r="T297" t="s">
        <v>44</v>
      </c>
      <c r="U297" t="s">
        <v>45</v>
      </c>
      <c r="V297" t="s">
        <v>85</v>
      </c>
      <c r="W297" s="9">
        <v>41869</v>
      </c>
      <c r="X297" s="9"/>
      <c r="Y297" t="s">
        <v>47</v>
      </c>
      <c r="Z297" t="s">
        <v>48</v>
      </c>
      <c r="AA297" t="s">
        <v>495</v>
      </c>
      <c r="AB297" t="s">
        <v>82</v>
      </c>
      <c r="AC297" t="s">
        <v>625</v>
      </c>
      <c r="AD297" t="s">
        <v>61</v>
      </c>
      <c r="AE297">
        <v>3.11</v>
      </c>
      <c r="AF297">
        <v>5</v>
      </c>
      <c r="AG297">
        <v>0</v>
      </c>
      <c r="AH297" s="9">
        <v>43801</v>
      </c>
      <c r="AI297">
        <v>4</v>
      </c>
      <c r="AJ297">
        <v>43</v>
      </c>
      <c r="AK297">
        <v>5</v>
      </c>
      <c r="AL297">
        <v>19</v>
      </c>
      <c r="AM297" t="str">
        <f>IF(Cleaned_Data[[#This Row],[DateofTermination]]="","",YEAR(Cleaned_Data[[#This Row],[DateofTermination]]))</f>
        <v/>
      </c>
      <c r="AN297">
        <v>1</v>
      </c>
    </row>
    <row r="298" spans="1:40" x14ac:dyDescent="0.35">
      <c r="A298" t="s">
        <v>476</v>
      </c>
      <c r="B298">
        <v>10274</v>
      </c>
      <c r="C298">
        <v>1</v>
      </c>
      <c r="D298">
        <v>1</v>
      </c>
      <c r="E298">
        <v>0</v>
      </c>
      <c r="F298">
        <v>5</v>
      </c>
      <c r="G298">
        <v>5</v>
      </c>
      <c r="H298">
        <v>3</v>
      </c>
      <c r="I298">
        <v>1</v>
      </c>
      <c r="J298">
        <v>80512</v>
      </c>
      <c r="K298">
        <v>1</v>
      </c>
      <c r="L298">
        <v>18</v>
      </c>
      <c r="M298" t="s">
        <v>133</v>
      </c>
      <c r="N298" t="s">
        <v>40</v>
      </c>
      <c r="O298">
        <v>2478</v>
      </c>
      <c r="P298" s="9">
        <v>20407</v>
      </c>
      <c r="Q298" t="s">
        <v>96</v>
      </c>
      <c r="R298" t="s">
        <v>618</v>
      </c>
      <c r="S298" t="s">
        <v>55</v>
      </c>
      <c r="T298" t="s">
        <v>44</v>
      </c>
      <c r="U298" t="s">
        <v>45</v>
      </c>
      <c r="V298" t="s">
        <v>85</v>
      </c>
      <c r="W298" s="9">
        <v>40812</v>
      </c>
      <c r="X298" s="9">
        <v>40940</v>
      </c>
      <c r="Y298" t="s">
        <v>93</v>
      </c>
      <c r="Z298" t="s">
        <v>57</v>
      </c>
      <c r="AA298" t="s">
        <v>495</v>
      </c>
      <c r="AB298" t="s">
        <v>135</v>
      </c>
      <c r="AC298" t="s">
        <v>624</v>
      </c>
      <c r="AD298" t="s">
        <v>61</v>
      </c>
      <c r="AE298">
        <v>4.5</v>
      </c>
      <c r="AF298">
        <v>3</v>
      </c>
      <c r="AG298">
        <v>0</v>
      </c>
      <c r="AH298" s="9">
        <v>40940</v>
      </c>
      <c r="AI298">
        <v>5</v>
      </c>
      <c r="AJ298">
        <v>56</v>
      </c>
      <c r="AK298">
        <v>0</v>
      </c>
      <c r="AL298">
        <v>2</v>
      </c>
      <c r="AM298">
        <f>IF(Cleaned_Data[[#This Row],[DateofTermination]]="","",YEAR(Cleaned_Data[[#This Row],[DateofTermination]]))</f>
        <v>2012</v>
      </c>
      <c r="AN298">
        <v>1</v>
      </c>
    </row>
    <row r="299" spans="1:40" x14ac:dyDescent="0.35">
      <c r="A299" t="s">
        <v>477</v>
      </c>
      <c r="B299">
        <v>10293</v>
      </c>
      <c r="C299">
        <v>0</v>
      </c>
      <c r="D299">
        <v>0</v>
      </c>
      <c r="E299">
        <v>0</v>
      </c>
      <c r="F299">
        <v>5</v>
      </c>
      <c r="G299">
        <v>5</v>
      </c>
      <c r="H299">
        <v>2</v>
      </c>
      <c r="I299">
        <v>0</v>
      </c>
      <c r="J299">
        <v>50274</v>
      </c>
      <c r="K299">
        <v>1</v>
      </c>
      <c r="L299">
        <v>19</v>
      </c>
      <c r="M299" t="s">
        <v>39</v>
      </c>
      <c r="N299" t="s">
        <v>40</v>
      </c>
      <c r="O299">
        <v>1887</v>
      </c>
      <c r="P299" s="9">
        <v>29259</v>
      </c>
      <c r="Q299" t="s">
        <v>41</v>
      </c>
      <c r="R299" t="s">
        <v>618</v>
      </c>
      <c r="S299" t="s">
        <v>43</v>
      </c>
      <c r="T299" t="s">
        <v>44</v>
      </c>
      <c r="U299" t="s">
        <v>45</v>
      </c>
      <c r="V299" t="s">
        <v>46</v>
      </c>
      <c r="W299" s="9">
        <v>41134</v>
      </c>
      <c r="X299" s="9">
        <v>42013</v>
      </c>
      <c r="Y299" t="s">
        <v>56</v>
      </c>
      <c r="Z299" t="s">
        <v>57</v>
      </c>
      <c r="AA299" t="s">
        <v>495</v>
      </c>
      <c r="AB299" t="s">
        <v>68</v>
      </c>
      <c r="AC299" t="s">
        <v>508</v>
      </c>
      <c r="AD299" t="s">
        <v>122</v>
      </c>
      <c r="AE299">
        <v>2.5</v>
      </c>
      <c r="AF299">
        <v>3</v>
      </c>
      <c r="AG299">
        <v>0</v>
      </c>
      <c r="AH299" s="9">
        <v>41768</v>
      </c>
      <c r="AI299">
        <v>13</v>
      </c>
      <c r="AJ299">
        <v>35</v>
      </c>
      <c r="AK299">
        <v>2</v>
      </c>
      <c r="AL299">
        <v>16</v>
      </c>
      <c r="AM299">
        <f>IF(Cleaned_Data[[#This Row],[DateofTermination]]="","",YEAR(Cleaned_Data[[#This Row],[DateofTermination]]))</f>
        <v>2015</v>
      </c>
      <c r="AN299">
        <v>1</v>
      </c>
    </row>
    <row r="300" spans="1:40" x14ac:dyDescent="0.35">
      <c r="A300" t="s">
        <v>478</v>
      </c>
      <c r="B300">
        <v>10172</v>
      </c>
      <c r="C300">
        <v>0</v>
      </c>
      <c r="D300">
        <v>0</v>
      </c>
      <c r="E300">
        <v>1</v>
      </c>
      <c r="F300">
        <v>1</v>
      </c>
      <c r="G300">
        <v>3</v>
      </c>
      <c r="H300">
        <v>3</v>
      </c>
      <c r="I300">
        <v>0</v>
      </c>
      <c r="J300">
        <v>84903</v>
      </c>
      <c r="K300">
        <v>0</v>
      </c>
      <c r="L300">
        <v>22</v>
      </c>
      <c r="M300" t="s">
        <v>551</v>
      </c>
      <c r="N300" t="s">
        <v>40</v>
      </c>
      <c r="O300">
        <v>1887</v>
      </c>
      <c r="P300" s="9">
        <v>29805</v>
      </c>
      <c r="Q300" t="s">
        <v>41</v>
      </c>
      <c r="R300" t="s">
        <v>617</v>
      </c>
      <c r="S300" t="s">
        <v>43</v>
      </c>
      <c r="T300" t="s">
        <v>44</v>
      </c>
      <c r="U300" t="s">
        <v>45</v>
      </c>
      <c r="V300" t="s">
        <v>116</v>
      </c>
      <c r="W300" s="9">
        <v>42791</v>
      </c>
      <c r="X300" s="9"/>
      <c r="Y300" t="s">
        <v>47</v>
      </c>
      <c r="Z300" t="s">
        <v>48</v>
      </c>
      <c r="AA300" t="s">
        <v>499</v>
      </c>
      <c r="AB300" t="s">
        <v>201</v>
      </c>
      <c r="AC300" t="s">
        <v>60</v>
      </c>
      <c r="AD300" t="s">
        <v>61</v>
      </c>
      <c r="AE300">
        <v>3.42</v>
      </c>
      <c r="AF300">
        <v>4</v>
      </c>
      <c r="AG300">
        <v>7</v>
      </c>
      <c r="AH300" s="9">
        <v>43556</v>
      </c>
      <c r="AI300">
        <v>17</v>
      </c>
      <c r="AJ300">
        <v>38</v>
      </c>
      <c r="AK300">
        <v>3</v>
      </c>
      <c r="AL300">
        <v>13</v>
      </c>
      <c r="AM300" t="str">
        <f>IF(Cleaned_Data[[#This Row],[DateofTermination]]="","",YEAR(Cleaned_Data[[#This Row],[DateofTermination]]))</f>
        <v/>
      </c>
      <c r="AN300">
        <v>1</v>
      </c>
    </row>
    <row r="301" spans="1:40" x14ac:dyDescent="0.35">
      <c r="A301" t="s">
        <v>479</v>
      </c>
      <c r="B301">
        <v>10127</v>
      </c>
      <c r="C301">
        <v>0</v>
      </c>
      <c r="D301">
        <v>4</v>
      </c>
      <c r="E301">
        <v>0</v>
      </c>
      <c r="F301">
        <v>1</v>
      </c>
      <c r="G301">
        <v>3</v>
      </c>
      <c r="H301">
        <v>3</v>
      </c>
      <c r="I301">
        <v>0</v>
      </c>
      <c r="J301">
        <v>107226</v>
      </c>
      <c r="K301">
        <v>0</v>
      </c>
      <c r="L301">
        <v>28</v>
      </c>
      <c r="M301" t="s">
        <v>183</v>
      </c>
      <c r="N301" t="s">
        <v>40</v>
      </c>
      <c r="O301">
        <v>2453</v>
      </c>
      <c r="P301" s="9">
        <v>28526</v>
      </c>
      <c r="Q301" t="s">
        <v>41</v>
      </c>
      <c r="R301" t="s">
        <v>618</v>
      </c>
      <c r="S301" t="s">
        <v>81</v>
      </c>
      <c r="T301" t="s">
        <v>44</v>
      </c>
      <c r="U301" t="s">
        <v>45</v>
      </c>
      <c r="V301" t="s">
        <v>116</v>
      </c>
      <c r="W301" s="9">
        <v>42093</v>
      </c>
      <c r="X301" s="9"/>
      <c r="Y301" t="s">
        <v>47</v>
      </c>
      <c r="Z301" t="s">
        <v>48</v>
      </c>
      <c r="AA301" t="s">
        <v>499</v>
      </c>
      <c r="AB301" t="s">
        <v>90</v>
      </c>
      <c r="AC301" t="s">
        <v>625</v>
      </c>
      <c r="AD301" t="s">
        <v>61</v>
      </c>
      <c r="AE301">
        <v>4.2</v>
      </c>
      <c r="AF301">
        <v>4</v>
      </c>
      <c r="AG301">
        <v>8</v>
      </c>
      <c r="AH301" s="9">
        <v>43587</v>
      </c>
      <c r="AI301">
        <v>7</v>
      </c>
      <c r="AJ301">
        <v>42</v>
      </c>
      <c r="AK301">
        <v>5</v>
      </c>
      <c r="AL301">
        <v>7</v>
      </c>
      <c r="AM301" t="str">
        <f>IF(Cleaned_Data[[#This Row],[DateofTermination]]="","",YEAR(Cleaned_Data[[#This Row],[DateofTermination]]))</f>
        <v/>
      </c>
      <c r="AN301">
        <v>1</v>
      </c>
    </row>
    <row r="302" spans="1:40" x14ac:dyDescent="0.35">
      <c r="A302" t="s">
        <v>480</v>
      </c>
      <c r="B302">
        <v>10072</v>
      </c>
      <c r="C302">
        <v>0</v>
      </c>
      <c r="D302">
        <v>0</v>
      </c>
      <c r="E302">
        <v>1</v>
      </c>
      <c r="F302">
        <v>5</v>
      </c>
      <c r="G302">
        <v>5</v>
      </c>
      <c r="H302">
        <v>3</v>
      </c>
      <c r="I302">
        <v>0</v>
      </c>
      <c r="J302">
        <v>58371</v>
      </c>
      <c r="K302">
        <v>1</v>
      </c>
      <c r="L302">
        <v>19</v>
      </c>
      <c r="M302" t="s">
        <v>39</v>
      </c>
      <c r="N302" t="s">
        <v>40</v>
      </c>
      <c r="O302">
        <v>2030</v>
      </c>
      <c r="P302" s="9">
        <v>31921</v>
      </c>
      <c r="Q302" t="s">
        <v>41</v>
      </c>
      <c r="R302" t="s">
        <v>617</v>
      </c>
      <c r="S302" t="s">
        <v>43</v>
      </c>
      <c r="T302" t="s">
        <v>44</v>
      </c>
      <c r="U302" t="s">
        <v>92</v>
      </c>
      <c r="V302" t="s">
        <v>46</v>
      </c>
      <c r="W302" s="9">
        <v>40817</v>
      </c>
      <c r="X302" s="9">
        <v>41774</v>
      </c>
      <c r="Y302" t="s">
        <v>65</v>
      </c>
      <c r="Z302" t="s">
        <v>57</v>
      </c>
      <c r="AA302" t="s">
        <v>495</v>
      </c>
      <c r="AB302" t="s">
        <v>72</v>
      </c>
      <c r="AC302" t="s">
        <v>496</v>
      </c>
      <c r="AD302" t="s">
        <v>61</v>
      </c>
      <c r="AE302">
        <v>5</v>
      </c>
      <c r="AF302">
        <v>5</v>
      </c>
      <c r="AG302">
        <v>0</v>
      </c>
      <c r="AH302" s="9">
        <v>41774</v>
      </c>
      <c r="AI302">
        <v>11</v>
      </c>
      <c r="AJ302">
        <v>27</v>
      </c>
      <c r="AK302">
        <v>3</v>
      </c>
      <c r="AL302">
        <v>39</v>
      </c>
      <c r="AM302">
        <f>IF(Cleaned_Data[[#This Row],[DateofTermination]]="","",YEAR(Cleaned_Data[[#This Row],[DateofTermination]]))</f>
        <v>2014</v>
      </c>
      <c r="AN302">
        <v>1</v>
      </c>
    </row>
    <row r="303" spans="1:40" x14ac:dyDescent="0.35">
      <c r="A303" t="s">
        <v>481</v>
      </c>
      <c r="B303">
        <v>10048</v>
      </c>
      <c r="C303">
        <v>1</v>
      </c>
      <c r="D303">
        <v>1</v>
      </c>
      <c r="E303">
        <v>1</v>
      </c>
      <c r="F303">
        <v>5</v>
      </c>
      <c r="G303">
        <v>5</v>
      </c>
      <c r="H303">
        <v>3</v>
      </c>
      <c r="I303">
        <v>0</v>
      </c>
      <c r="J303">
        <v>55140</v>
      </c>
      <c r="K303">
        <v>1</v>
      </c>
      <c r="L303">
        <v>19</v>
      </c>
      <c r="M303" t="s">
        <v>39</v>
      </c>
      <c r="N303" t="s">
        <v>40</v>
      </c>
      <c r="O303">
        <v>2324</v>
      </c>
      <c r="P303" s="9">
        <v>23994</v>
      </c>
      <c r="Q303" t="s">
        <v>41</v>
      </c>
      <c r="R303" t="s">
        <v>617</v>
      </c>
      <c r="S303" t="s">
        <v>55</v>
      </c>
      <c r="T303" t="s">
        <v>111</v>
      </c>
      <c r="U303" t="s">
        <v>45</v>
      </c>
      <c r="V303" t="s">
        <v>46</v>
      </c>
      <c r="W303" s="9">
        <v>40679</v>
      </c>
      <c r="X303" s="9">
        <v>42194</v>
      </c>
      <c r="Y303" t="s">
        <v>97</v>
      </c>
      <c r="Z303" t="s">
        <v>57</v>
      </c>
      <c r="AA303" t="s">
        <v>495</v>
      </c>
      <c r="AB303" t="s">
        <v>75</v>
      </c>
      <c r="AC303" t="s">
        <v>205</v>
      </c>
      <c r="AD303" t="s">
        <v>61</v>
      </c>
      <c r="AE303">
        <v>5</v>
      </c>
      <c r="AF303">
        <v>3</v>
      </c>
      <c r="AG303">
        <v>0</v>
      </c>
      <c r="AH303" s="9">
        <v>42050</v>
      </c>
      <c r="AI303">
        <v>7</v>
      </c>
      <c r="AJ303">
        <v>50</v>
      </c>
      <c r="AK303">
        <v>4</v>
      </c>
      <c r="AL303">
        <v>11</v>
      </c>
      <c r="AM303">
        <f>IF(Cleaned_Data[[#This Row],[DateofTermination]]="","",YEAR(Cleaned_Data[[#This Row],[DateofTermination]]))</f>
        <v>2015</v>
      </c>
      <c r="AN303">
        <v>1</v>
      </c>
    </row>
    <row r="304" spans="1:40" x14ac:dyDescent="0.35">
      <c r="A304" t="s">
        <v>482</v>
      </c>
      <c r="B304">
        <v>10204</v>
      </c>
      <c r="C304">
        <v>0</v>
      </c>
      <c r="D304">
        <v>2</v>
      </c>
      <c r="E304">
        <v>0</v>
      </c>
      <c r="F304">
        <v>5</v>
      </c>
      <c r="G304">
        <v>5</v>
      </c>
      <c r="H304">
        <v>3</v>
      </c>
      <c r="I304">
        <v>0</v>
      </c>
      <c r="J304">
        <v>58062</v>
      </c>
      <c r="K304">
        <v>1</v>
      </c>
      <c r="L304">
        <v>19</v>
      </c>
      <c r="M304" t="s">
        <v>39</v>
      </c>
      <c r="N304" t="s">
        <v>40</v>
      </c>
      <c r="O304">
        <v>1876</v>
      </c>
      <c r="P304" s="9">
        <v>30527</v>
      </c>
      <c r="Q304" t="s">
        <v>41</v>
      </c>
      <c r="R304" t="s">
        <v>618</v>
      </c>
      <c r="S304" t="s">
        <v>70</v>
      </c>
      <c r="T304" t="s">
        <v>44</v>
      </c>
      <c r="U304" t="s">
        <v>45</v>
      </c>
      <c r="V304" t="s">
        <v>46</v>
      </c>
      <c r="W304" s="9">
        <v>40817</v>
      </c>
      <c r="X304" s="9">
        <v>41043</v>
      </c>
      <c r="Y304" t="s">
        <v>93</v>
      </c>
      <c r="Z304" t="s">
        <v>57</v>
      </c>
      <c r="AA304" t="s">
        <v>495</v>
      </c>
      <c r="AB304" t="s">
        <v>82</v>
      </c>
      <c r="AC304" t="s">
        <v>73</v>
      </c>
      <c r="AD304" t="s">
        <v>61</v>
      </c>
      <c r="AE304">
        <v>3.6</v>
      </c>
      <c r="AF304">
        <v>5</v>
      </c>
      <c r="AG304">
        <v>0</v>
      </c>
      <c r="AH304" s="9">
        <v>40696</v>
      </c>
      <c r="AI304">
        <v>9</v>
      </c>
      <c r="AJ304">
        <v>29</v>
      </c>
      <c r="AK304">
        <v>1</v>
      </c>
      <c r="AL304">
        <v>19</v>
      </c>
      <c r="AM304">
        <f>IF(Cleaned_Data[[#This Row],[DateofTermination]]="","",YEAR(Cleaned_Data[[#This Row],[DateofTermination]]))</f>
        <v>2012</v>
      </c>
      <c r="AN304">
        <v>1</v>
      </c>
    </row>
    <row r="305" spans="1:40" x14ac:dyDescent="0.35">
      <c r="A305" t="s">
        <v>586</v>
      </c>
      <c r="B305">
        <v>10264</v>
      </c>
      <c r="C305">
        <v>0</v>
      </c>
      <c r="D305">
        <v>0</v>
      </c>
      <c r="E305">
        <v>0</v>
      </c>
      <c r="F305">
        <v>5</v>
      </c>
      <c r="G305">
        <v>5</v>
      </c>
      <c r="H305">
        <v>3</v>
      </c>
      <c r="I305">
        <v>1</v>
      </c>
      <c r="J305">
        <v>59728</v>
      </c>
      <c r="K305">
        <v>1</v>
      </c>
      <c r="L305">
        <v>19</v>
      </c>
      <c r="M305" t="s">
        <v>39</v>
      </c>
      <c r="N305" t="s">
        <v>40</v>
      </c>
      <c r="O305">
        <v>2109</v>
      </c>
      <c r="P305" s="9">
        <v>25244</v>
      </c>
      <c r="Q305" t="s">
        <v>41</v>
      </c>
      <c r="R305" t="s">
        <v>618</v>
      </c>
      <c r="S305" t="s">
        <v>43</v>
      </c>
      <c r="T305" t="s">
        <v>44</v>
      </c>
      <c r="U305" t="s">
        <v>92</v>
      </c>
      <c r="V305" t="s">
        <v>85</v>
      </c>
      <c r="W305" s="9">
        <v>41153</v>
      </c>
      <c r="X305" s="9">
        <v>42182</v>
      </c>
      <c r="Y305" t="s">
        <v>166</v>
      </c>
      <c r="Z305" t="s">
        <v>57</v>
      </c>
      <c r="AA305" t="s">
        <v>495</v>
      </c>
      <c r="AB305" t="s">
        <v>82</v>
      </c>
      <c r="AC305" t="s">
        <v>624</v>
      </c>
      <c r="AD305" t="s">
        <v>61</v>
      </c>
      <c r="AE305">
        <v>4.3</v>
      </c>
      <c r="AF305">
        <v>4</v>
      </c>
      <c r="AG305">
        <v>0</v>
      </c>
      <c r="AH305" s="9">
        <v>41676</v>
      </c>
      <c r="AI305">
        <v>16</v>
      </c>
      <c r="AJ305">
        <v>46</v>
      </c>
      <c r="AK305">
        <v>3</v>
      </c>
      <c r="AL305">
        <v>19</v>
      </c>
      <c r="AM305">
        <f>IF(Cleaned_Data[[#This Row],[DateofTermination]]="","",YEAR(Cleaned_Data[[#This Row],[DateofTermination]]))</f>
        <v>2015</v>
      </c>
      <c r="AN305">
        <v>1</v>
      </c>
    </row>
    <row r="306" spans="1:40" x14ac:dyDescent="0.35">
      <c r="A306" t="s">
        <v>587</v>
      </c>
      <c r="B306">
        <v>10033</v>
      </c>
      <c r="C306">
        <v>0</v>
      </c>
      <c r="D306">
        <v>0</v>
      </c>
      <c r="E306">
        <v>1</v>
      </c>
      <c r="F306">
        <v>5</v>
      </c>
      <c r="G306">
        <v>5</v>
      </c>
      <c r="H306">
        <v>4</v>
      </c>
      <c r="I306">
        <v>0</v>
      </c>
      <c r="J306">
        <v>70507</v>
      </c>
      <c r="K306">
        <v>1</v>
      </c>
      <c r="L306">
        <v>20</v>
      </c>
      <c r="M306" t="s">
        <v>500</v>
      </c>
      <c r="N306" t="s">
        <v>40</v>
      </c>
      <c r="O306">
        <v>2045</v>
      </c>
      <c r="P306" s="9">
        <v>21377</v>
      </c>
      <c r="Q306" t="s">
        <v>96</v>
      </c>
      <c r="R306" t="s">
        <v>617</v>
      </c>
      <c r="S306" t="s">
        <v>43</v>
      </c>
      <c r="T306" t="s">
        <v>44</v>
      </c>
      <c r="U306" t="s">
        <v>45</v>
      </c>
      <c r="V306" t="s">
        <v>46</v>
      </c>
      <c r="W306" s="9">
        <v>41456</v>
      </c>
      <c r="X306" s="9">
        <v>42421</v>
      </c>
      <c r="Y306" t="s">
        <v>134</v>
      </c>
      <c r="Z306" t="s">
        <v>57</v>
      </c>
      <c r="AA306" t="s">
        <v>495</v>
      </c>
      <c r="AB306" t="s">
        <v>86</v>
      </c>
      <c r="AC306" t="s">
        <v>496</v>
      </c>
      <c r="AD306" t="s">
        <v>52</v>
      </c>
      <c r="AE306">
        <v>5</v>
      </c>
      <c r="AF306">
        <v>3</v>
      </c>
      <c r="AG306">
        <v>0</v>
      </c>
      <c r="AH306" s="9">
        <v>43484</v>
      </c>
      <c r="AI306">
        <v>7</v>
      </c>
      <c r="AJ306">
        <v>58</v>
      </c>
      <c r="AK306">
        <v>3</v>
      </c>
      <c r="AL306">
        <v>12</v>
      </c>
      <c r="AM306">
        <f>IF(Cleaned_Data[[#This Row],[DateofTermination]]="","",YEAR(Cleaned_Data[[#This Row],[DateofTermination]]))</f>
        <v>2016</v>
      </c>
      <c r="AN306">
        <v>1</v>
      </c>
    </row>
    <row r="307" spans="1:40" x14ac:dyDescent="0.35">
      <c r="A307" t="s">
        <v>485</v>
      </c>
      <c r="B307">
        <v>10174</v>
      </c>
      <c r="C307">
        <v>0</v>
      </c>
      <c r="D307">
        <v>0</v>
      </c>
      <c r="E307">
        <v>0</v>
      </c>
      <c r="F307">
        <v>1</v>
      </c>
      <c r="G307">
        <v>5</v>
      </c>
      <c r="H307">
        <v>3</v>
      </c>
      <c r="I307">
        <v>0</v>
      </c>
      <c r="J307">
        <v>60446</v>
      </c>
      <c r="K307">
        <v>0</v>
      </c>
      <c r="L307">
        <v>20</v>
      </c>
      <c r="M307" t="s">
        <v>500</v>
      </c>
      <c r="N307" t="s">
        <v>40</v>
      </c>
      <c r="O307">
        <v>2302</v>
      </c>
      <c r="P307" s="9">
        <v>31157</v>
      </c>
      <c r="Q307" t="s">
        <v>41</v>
      </c>
      <c r="R307" t="s">
        <v>618</v>
      </c>
      <c r="S307" t="s">
        <v>43</v>
      </c>
      <c r="T307" t="s">
        <v>44</v>
      </c>
      <c r="U307" t="s">
        <v>45</v>
      </c>
      <c r="V307" t="s">
        <v>46</v>
      </c>
      <c r="W307" s="9">
        <v>41911</v>
      </c>
      <c r="X307" s="9"/>
      <c r="Y307" t="s">
        <v>47</v>
      </c>
      <c r="Z307" t="s">
        <v>48</v>
      </c>
      <c r="AA307" t="s">
        <v>495</v>
      </c>
      <c r="AB307" t="s">
        <v>94</v>
      </c>
      <c r="AC307" t="s">
        <v>496</v>
      </c>
      <c r="AD307" t="s">
        <v>61</v>
      </c>
      <c r="AE307">
        <v>3.4</v>
      </c>
      <c r="AF307">
        <v>4</v>
      </c>
      <c r="AG307">
        <v>0</v>
      </c>
      <c r="AH307" s="9">
        <v>43517</v>
      </c>
      <c r="AI307">
        <v>14</v>
      </c>
      <c r="AJ307">
        <v>35</v>
      </c>
      <c r="AK307">
        <v>5</v>
      </c>
      <c r="AL307">
        <v>14</v>
      </c>
      <c r="AM307" t="str">
        <f>IF(Cleaned_Data[[#This Row],[DateofTermination]]="","",YEAR(Cleaned_Data[[#This Row],[DateofTermination]]))</f>
        <v/>
      </c>
      <c r="AN307">
        <v>1</v>
      </c>
    </row>
    <row r="308" spans="1:40" x14ac:dyDescent="0.35">
      <c r="A308" t="s">
        <v>486</v>
      </c>
      <c r="B308">
        <v>10135</v>
      </c>
      <c r="C308">
        <v>0</v>
      </c>
      <c r="D308">
        <v>0</v>
      </c>
      <c r="E308">
        <v>1</v>
      </c>
      <c r="F308">
        <v>1</v>
      </c>
      <c r="G308">
        <v>5</v>
      </c>
      <c r="H308">
        <v>3</v>
      </c>
      <c r="I308">
        <v>0</v>
      </c>
      <c r="J308">
        <v>65893</v>
      </c>
      <c r="K308">
        <v>0</v>
      </c>
      <c r="L308">
        <v>20</v>
      </c>
      <c r="M308" t="s">
        <v>500</v>
      </c>
      <c r="N308" t="s">
        <v>40</v>
      </c>
      <c r="O308">
        <v>1810</v>
      </c>
      <c r="P308" s="9">
        <v>31356</v>
      </c>
      <c r="Q308" t="s">
        <v>41</v>
      </c>
      <c r="R308" t="s">
        <v>617</v>
      </c>
      <c r="S308" t="s">
        <v>43</v>
      </c>
      <c r="T308" t="s">
        <v>44</v>
      </c>
      <c r="U308" t="s">
        <v>45</v>
      </c>
      <c r="V308" t="s">
        <v>46</v>
      </c>
      <c r="W308" s="9">
        <v>41827</v>
      </c>
      <c r="X308" s="9"/>
      <c r="Y308" t="s">
        <v>47</v>
      </c>
      <c r="Z308" t="s">
        <v>48</v>
      </c>
      <c r="AA308" t="s">
        <v>495</v>
      </c>
      <c r="AB308" t="s">
        <v>66</v>
      </c>
      <c r="AC308" t="s">
        <v>496</v>
      </c>
      <c r="AD308" t="s">
        <v>61</v>
      </c>
      <c r="AE308">
        <v>4.07</v>
      </c>
      <c r="AF308">
        <v>4</v>
      </c>
      <c r="AG308">
        <v>0</v>
      </c>
      <c r="AH308" s="9">
        <v>43524</v>
      </c>
      <c r="AI308">
        <v>13</v>
      </c>
      <c r="AJ308">
        <v>34</v>
      </c>
      <c r="AK308">
        <v>5</v>
      </c>
      <c r="AL308">
        <v>20</v>
      </c>
      <c r="AM308" t="str">
        <f>IF(Cleaned_Data[[#This Row],[DateofTermination]]="","",YEAR(Cleaned_Data[[#This Row],[DateofTermination]]))</f>
        <v/>
      </c>
      <c r="AN308">
        <v>1</v>
      </c>
    </row>
    <row r="309" spans="1:40" x14ac:dyDescent="0.35">
      <c r="A309" t="s">
        <v>588</v>
      </c>
      <c r="B309">
        <v>10301</v>
      </c>
      <c r="C309">
        <v>0</v>
      </c>
      <c r="D309">
        <v>0</v>
      </c>
      <c r="E309">
        <v>0</v>
      </c>
      <c r="F309">
        <v>5</v>
      </c>
      <c r="G309">
        <v>5</v>
      </c>
      <c r="H309">
        <v>1</v>
      </c>
      <c r="I309">
        <v>0</v>
      </c>
      <c r="J309">
        <v>48513</v>
      </c>
      <c r="K309">
        <v>1</v>
      </c>
      <c r="L309">
        <v>19</v>
      </c>
      <c r="M309" t="s">
        <v>39</v>
      </c>
      <c r="N309" t="s">
        <v>40</v>
      </c>
      <c r="O309">
        <v>2458</v>
      </c>
      <c r="P309" s="9">
        <v>30046</v>
      </c>
      <c r="Q309" t="s">
        <v>41</v>
      </c>
      <c r="R309" t="s">
        <v>618</v>
      </c>
      <c r="S309" t="s">
        <v>43</v>
      </c>
      <c r="T309" t="s">
        <v>44</v>
      </c>
      <c r="U309" t="s">
        <v>45</v>
      </c>
      <c r="V309" t="s">
        <v>116</v>
      </c>
      <c r="W309" s="9">
        <v>39487</v>
      </c>
      <c r="X309" s="9">
        <v>42276</v>
      </c>
      <c r="Y309" t="s">
        <v>93</v>
      </c>
      <c r="Z309" t="s">
        <v>57</v>
      </c>
      <c r="AA309" t="s">
        <v>495</v>
      </c>
      <c r="AB309" t="s">
        <v>86</v>
      </c>
      <c r="AC309" t="s">
        <v>73</v>
      </c>
      <c r="AD309" t="s">
        <v>195</v>
      </c>
      <c r="AE309">
        <v>3.2</v>
      </c>
      <c r="AF309">
        <v>2</v>
      </c>
      <c r="AG309">
        <v>0</v>
      </c>
      <c r="AH309" s="9">
        <v>42044</v>
      </c>
      <c r="AI309">
        <v>4</v>
      </c>
      <c r="AJ309">
        <v>33</v>
      </c>
      <c r="AK309">
        <v>8</v>
      </c>
      <c r="AL309">
        <v>12</v>
      </c>
      <c r="AM309">
        <f>IF(Cleaned_Data[[#This Row],[DateofTermination]]="","",YEAR(Cleaned_Data[[#This Row],[DateofTermination]]))</f>
        <v>2015</v>
      </c>
      <c r="AN309">
        <v>1</v>
      </c>
    </row>
    <row r="310" spans="1:40" x14ac:dyDescent="0.35">
      <c r="A310" t="s">
        <v>488</v>
      </c>
      <c r="B310">
        <v>10010</v>
      </c>
      <c r="C310">
        <v>0</v>
      </c>
      <c r="D310">
        <v>0</v>
      </c>
      <c r="E310">
        <v>0</v>
      </c>
      <c r="F310">
        <v>1</v>
      </c>
      <c r="G310">
        <v>3</v>
      </c>
      <c r="H310">
        <v>4</v>
      </c>
      <c r="I310">
        <v>0</v>
      </c>
      <c r="J310">
        <v>220450</v>
      </c>
      <c r="K310">
        <v>0</v>
      </c>
      <c r="L310">
        <v>6</v>
      </c>
      <c r="M310" t="s">
        <v>589</v>
      </c>
      <c r="N310" t="s">
        <v>40</v>
      </c>
      <c r="O310">
        <v>2067</v>
      </c>
      <c r="P310" s="9">
        <v>29097</v>
      </c>
      <c r="Q310" t="s">
        <v>41</v>
      </c>
      <c r="R310" t="s">
        <v>618</v>
      </c>
      <c r="S310" t="s">
        <v>43</v>
      </c>
      <c r="T310" t="s">
        <v>44</v>
      </c>
      <c r="U310" t="s">
        <v>45</v>
      </c>
      <c r="V310" t="s">
        <v>46</v>
      </c>
      <c r="W310" s="9">
        <v>40455</v>
      </c>
      <c r="X310" s="9"/>
      <c r="Y310" t="s">
        <v>47</v>
      </c>
      <c r="Z310" t="s">
        <v>48</v>
      </c>
      <c r="AA310" t="s">
        <v>499</v>
      </c>
      <c r="AB310" t="s">
        <v>135</v>
      </c>
      <c r="AC310" t="s">
        <v>625</v>
      </c>
      <c r="AD310" t="s">
        <v>52</v>
      </c>
      <c r="AE310">
        <v>4.5999999999999996</v>
      </c>
      <c r="AF310">
        <v>5</v>
      </c>
      <c r="AG310">
        <v>6</v>
      </c>
      <c r="AH310" s="9">
        <v>43517</v>
      </c>
      <c r="AI310">
        <v>16</v>
      </c>
      <c r="AJ310">
        <v>40</v>
      </c>
      <c r="AK310">
        <v>9</v>
      </c>
      <c r="AL310">
        <v>2</v>
      </c>
      <c r="AM310" t="str">
        <f>IF(Cleaned_Data[[#This Row],[DateofTermination]]="","",YEAR(Cleaned_Data[[#This Row],[DateofTermination]]))</f>
        <v/>
      </c>
      <c r="AN310">
        <v>1</v>
      </c>
    </row>
    <row r="311" spans="1:40" x14ac:dyDescent="0.35">
      <c r="A311" t="s">
        <v>490</v>
      </c>
      <c r="B311">
        <v>10043</v>
      </c>
      <c r="C311">
        <v>0</v>
      </c>
      <c r="D311">
        <v>0</v>
      </c>
      <c r="E311">
        <v>0</v>
      </c>
      <c r="F311">
        <v>1</v>
      </c>
      <c r="G311">
        <v>3</v>
      </c>
      <c r="H311">
        <v>3</v>
      </c>
      <c r="I311">
        <v>0</v>
      </c>
      <c r="J311">
        <v>89292</v>
      </c>
      <c r="K311">
        <v>0</v>
      </c>
      <c r="L311">
        <v>9</v>
      </c>
      <c r="M311" t="s">
        <v>99</v>
      </c>
      <c r="N311" t="s">
        <v>40</v>
      </c>
      <c r="O311">
        <v>2148</v>
      </c>
      <c r="P311" s="9">
        <v>28910</v>
      </c>
      <c r="Q311" t="s">
        <v>41</v>
      </c>
      <c r="R311" t="s">
        <v>618</v>
      </c>
      <c r="S311" t="s">
        <v>43</v>
      </c>
      <c r="T311" t="s">
        <v>44</v>
      </c>
      <c r="U311" t="s">
        <v>45</v>
      </c>
      <c r="V311" t="s">
        <v>46</v>
      </c>
      <c r="W311" s="9">
        <v>42093</v>
      </c>
      <c r="X311" s="9"/>
      <c r="Y311" t="s">
        <v>47</v>
      </c>
      <c r="Z311" t="s">
        <v>48</v>
      </c>
      <c r="AA311" t="s">
        <v>499</v>
      </c>
      <c r="AB311" t="s">
        <v>59</v>
      </c>
      <c r="AC311" t="s">
        <v>625</v>
      </c>
      <c r="AD311" t="s">
        <v>61</v>
      </c>
      <c r="AE311">
        <v>5</v>
      </c>
      <c r="AF311">
        <v>3</v>
      </c>
      <c r="AG311">
        <v>5</v>
      </c>
      <c r="AH311" s="9">
        <v>43467</v>
      </c>
      <c r="AI311">
        <v>11</v>
      </c>
      <c r="AJ311">
        <v>41</v>
      </c>
      <c r="AK311">
        <v>5</v>
      </c>
      <c r="AL311">
        <v>4</v>
      </c>
      <c r="AM311" t="str">
        <f>IF(Cleaned_Data[[#This Row],[DateofTermination]]="","",YEAR(Cleaned_Data[[#This Row],[DateofTermination]]))</f>
        <v/>
      </c>
      <c r="AN311">
        <v>1</v>
      </c>
    </row>
    <row r="312" spans="1:40" x14ac:dyDescent="0.35">
      <c r="A312" t="s">
        <v>491</v>
      </c>
      <c r="B312">
        <v>10271</v>
      </c>
      <c r="C312">
        <v>0</v>
      </c>
      <c r="D312">
        <v>4</v>
      </c>
      <c r="E312">
        <v>0</v>
      </c>
      <c r="F312">
        <v>1</v>
      </c>
      <c r="G312">
        <v>5</v>
      </c>
      <c r="H312">
        <v>3</v>
      </c>
      <c r="I312">
        <v>0</v>
      </c>
      <c r="J312">
        <v>45046</v>
      </c>
      <c r="K312">
        <v>0</v>
      </c>
      <c r="L312">
        <v>19</v>
      </c>
      <c r="M312" t="s">
        <v>39</v>
      </c>
      <c r="N312" t="s">
        <v>40</v>
      </c>
      <c r="O312">
        <v>1730</v>
      </c>
      <c r="P312" s="9">
        <v>28719</v>
      </c>
      <c r="Q312" t="s">
        <v>41</v>
      </c>
      <c r="R312" t="s">
        <v>618</v>
      </c>
      <c r="S312" t="s">
        <v>81</v>
      </c>
      <c r="T312" t="s">
        <v>44</v>
      </c>
      <c r="U312" t="s">
        <v>45</v>
      </c>
      <c r="V312" t="s">
        <v>116</v>
      </c>
      <c r="W312" s="9">
        <v>41911</v>
      </c>
      <c r="X312" s="9"/>
      <c r="Y312" t="s">
        <v>47</v>
      </c>
      <c r="Z312" t="s">
        <v>48</v>
      </c>
      <c r="AA312" t="s">
        <v>495</v>
      </c>
      <c r="AB312" t="s">
        <v>94</v>
      </c>
      <c r="AC312" t="s">
        <v>496</v>
      </c>
      <c r="AD312" t="s">
        <v>61</v>
      </c>
      <c r="AE312">
        <v>4.5</v>
      </c>
      <c r="AF312">
        <v>5</v>
      </c>
      <c r="AG312">
        <v>0</v>
      </c>
      <c r="AH312" s="9">
        <v>43495</v>
      </c>
      <c r="AI312">
        <v>2</v>
      </c>
      <c r="AJ312">
        <v>41</v>
      </c>
      <c r="AK312">
        <v>5</v>
      </c>
      <c r="AL312">
        <v>14</v>
      </c>
      <c r="AM312" t="str">
        <f>IF(Cleaned_Data[[#This Row],[DateofTermination]]="","",YEAR(Cleaned_Data[[#This Row],[DateofTermination]]))</f>
        <v/>
      </c>
      <c r="AN312">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B5365-333D-4DC7-B0A9-E3533E4C18B6}">
  <sheetPr>
    <tabColor rgb="FF00B050"/>
  </sheetPr>
  <dimension ref="A1:H6"/>
  <sheetViews>
    <sheetView workbookViewId="0">
      <selection activeCell="D7" sqref="D7"/>
    </sheetView>
  </sheetViews>
  <sheetFormatPr defaultRowHeight="14.5" x14ac:dyDescent="0.35"/>
  <cols>
    <col min="1" max="1" width="13.90625" bestFit="1" customWidth="1"/>
    <col min="2" max="2" width="12.26953125" bestFit="1" customWidth="1"/>
    <col min="3" max="3" width="12.7265625" bestFit="1" customWidth="1"/>
    <col min="4" max="4" width="21.1796875" bestFit="1" customWidth="1"/>
    <col min="5" max="5" width="15" bestFit="1" customWidth="1"/>
    <col min="6" max="6" width="26" bestFit="1" customWidth="1"/>
    <col min="7" max="7" width="21.54296875" bestFit="1" customWidth="1"/>
    <col min="8" max="8" width="18.6328125" bestFit="1" customWidth="1"/>
  </cols>
  <sheetData>
    <row r="1" spans="1:8" ht="47.5" x14ac:dyDescent="1.1000000000000001">
      <c r="E1" s="20" t="s">
        <v>612</v>
      </c>
    </row>
    <row r="2" spans="1:8" x14ac:dyDescent="0.35">
      <c r="A2" s="10" t="s">
        <v>622</v>
      </c>
      <c r="B2" s="10" t="s">
        <v>591</v>
      </c>
      <c r="C2" s="10" t="s">
        <v>593</v>
      </c>
      <c r="D2" s="10" t="s">
        <v>594</v>
      </c>
      <c r="E2" s="10" t="s">
        <v>595</v>
      </c>
      <c r="F2" s="10" t="s">
        <v>596</v>
      </c>
      <c r="G2" s="10" t="s">
        <v>590</v>
      </c>
      <c r="H2" s="10" t="s">
        <v>592</v>
      </c>
    </row>
    <row r="3" spans="1:8" x14ac:dyDescent="0.35">
      <c r="A3" t="s">
        <v>601</v>
      </c>
      <c r="B3" t="s">
        <v>599</v>
      </c>
      <c r="C3" t="s">
        <v>619</v>
      </c>
      <c r="D3" t="s">
        <v>602</v>
      </c>
      <c r="E3" t="s">
        <v>609</v>
      </c>
      <c r="F3" t="s">
        <v>613</v>
      </c>
      <c r="G3" t="s">
        <v>620</v>
      </c>
      <c r="H3" t="s">
        <v>621</v>
      </c>
    </row>
    <row r="4" spans="1:8" x14ac:dyDescent="0.35">
      <c r="A4" s="16">
        <v>311</v>
      </c>
      <c r="B4" s="16">
        <v>104</v>
      </c>
      <c r="C4" s="11">
        <v>38.974276527331192</v>
      </c>
      <c r="D4" s="11">
        <v>5.3311897106109321</v>
      </c>
      <c r="E4" s="12">
        <v>69020.684887459807</v>
      </c>
      <c r="F4" s="16">
        <v>4.1099999999999985</v>
      </c>
      <c r="G4" s="16">
        <v>207</v>
      </c>
      <c r="H4" s="18">
        <v>0.33440514469453375</v>
      </c>
    </row>
    <row r="6" spans="1:8" x14ac:dyDescent="0.35">
      <c r="C6" t="str">
        <f>TEXT(C4,"0")&amp;" Years"</f>
        <v>39 Years</v>
      </c>
      <c r="D6" t="str">
        <f>TEXT(D4,"0.0")&amp;" Years"</f>
        <v>5.3 Years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D4DD9-B525-4E9F-9A85-8D33CADF2BBD}">
  <sheetPr>
    <tabColor rgb="FFFFC000"/>
  </sheetPr>
  <dimension ref="A2:F10"/>
  <sheetViews>
    <sheetView workbookViewId="0">
      <selection activeCell="I16" sqref="I16"/>
    </sheetView>
  </sheetViews>
  <sheetFormatPr defaultRowHeight="14.5" x14ac:dyDescent="0.35"/>
  <cols>
    <col min="1" max="1" width="17.81640625" bestFit="1" customWidth="1"/>
    <col min="2" max="4" width="19.453125" bestFit="1" customWidth="1"/>
  </cols>
  <sheetData>
    <row r="2" spans="1:6" x14ac:dyDescent="0.35">
      <c r="A2" s="10" t="s">
        <v>603</v>
      </c>
    </row>
    <row r="3" spans="1:6" x14ac:dyDescent="0.35">
      <c r="A3" s="13" t="s">
        <v>597</v>
      </c>
      <c r="B3" t="s">
        <v>614</v>
      </c>
    </row>
    <row r="4" spans="1:6" x14ac:dyDescent="0.35">
      <c r="A4" s="14" t="s">
        <v>495</v>
      </c>
      <c r="B4" s="17">
        <v>0.39712918660287083</v>
      </c>
    </row>
    <row r="5" spans="1:6" x14ac:dyDescent="0.35">
      <c r="A5" s="14" t="s">
        <v>78</v>
      </c>
      <c r="B5" s="17">
        <v>0.36363636363636365</v>
      </c>
    </row>
    <row r="6" spans="1:6" x14ac:dyDescent="0.35">
      <c r="A6" s="14" t="s">
        <v>130</v>
      </c>
      <c r="B6" s="17">
        <v>0.22222222222222221</v>
      </c>
      <c r="F6" t="s">
        <v>615</v>
      </c>
    </row>
    <row r="7" spans="1:6" x14ac:dyDescent="0.35">
      <c r="A7" s="14" t="s">
        <v>499</v>
      </c>
      <c r="B7" s="17">
        <v>0.2</v>
      </c>
    </row>
    <row r="8" spans="1:6" x14ac:dyDescent="0.35">
      <c r="A8" s="14" t="s">
        <v>145</v>
      </c>
      <c r="B8" s="17">
        <v>0.16129032258064516</v>
      </c>
    </row>
    <row r="9" spans="1:6" x14ac:dyDescent="0.35">
      <c r="A9" s="14" t="s">
        <v>306</v>
      </c>
      <c r="B9" s="17">
        <v>0</v>
      </c>
    </row>
    <row r="10" spans="1:6" x14ac:dyDescent="0.35">
      <c r="A10" s="14" t="s">
        <v>598</v>
      </c>
      <c r="B10" s="17">
        <v>0.33440514469453375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64035-D1B8-41EB-8D6E-F22D9114830F}">
  <sheetPr>
    <tabColor rgb="FF0070C0"/>
  </sheetPr>
  <dimension ref="A2:B13"/>
  <sheetViews>
    <sheetView workbookViewId="0">
      <selection activeCell="L8" sqref="L8"/>
    </sheetView>
  </sheetViews>
  <sheetFormatPr defaultRowHeight="14.5" x14ac:dyDescent="0.35"/>
  <cols>
    <col min="1" max="1" width="12.453125" bestFit="1" customWidth="1"/>
    <col min="2" max="2" width="13.90625" bestFit="1" customWidth="1"/>
  </cols>
  <sheetData>
    <row r="2" spans="1:2" x14ac:dyDescent="0.35">
      <c r="A2" s="10" t="s">
        <v>604</v>
      </c>
    </row>
    <row r="3" spans="1:2" x14ac:dyDescent="0.35">
      <c r="A3" s="13" t="s">
        <v>597</v>
      </c>
      <c r="B3" t="s">
        <v>601</v>
      </c>
    </row>
    <row r="4" spans="1:2" x14ac:dyDescent="0.35">
      <c r="A4" s="14">
        <v>2010</v>
      </c>
      <c r="B4" s="16">
        <v>1</v>
      </c>
    </row>
    <row r="5" spans="1:2" x14ac:dyDescent="0.35">
      <c r="A5" s="14">
        <v>2011</v>
      </c>
      <c r="B5" s="16">
        <v>3</v>
      </c>
    </row>
    <row r="6" spans="1:2" x14ac:dyDescent="0.35">
      <c r="A6" s="14">
        <v>2012</v>
      </c>
      <c r="B6" s="16">
        <v>8</v>
      </c>
    </row>
    <row r="7" spans="1:2" x14ac:dyDescent="0.35">
      <c r="A7" s="14">
        <v>2013</v>
      </c>
      <c r="B7" s="16">
        <v>13</v>
      </c>
    </row>
    <row r="8" spans="1:2" x14ac:dyDescent="0.35">
      <c r="A8" s="14">
        <v>2014</v>
      </c>
      <c r="B8" s="16">
        <v>13</v>
      </c>
    </row>
    <row r="9" spans="1:2" x14ac:dyDescent="0.35">
      <c r="A9" s="14">
        <v>2015</v>
      </c>
      <c r="B9" s="16">
        <v>23</v>
      </c>
    </row>
    <row r="10" spans="1:2" x14ac:dyDescent="0.35">
      <c r="A10" s="14">
        <v>2016</v>
      </c>
      <c r="B10" s="16">
        <v>22</v>
      </c>
    </row>
    <row r="11" spans="1:2" x14ac:dyDescent="0.35">
      <c r="A11" s="14">
        <v>2017</v>
      </c>
      <c r="B11" s="16">
        <v>8</v>
      </c>
    </row>
    <row r="12" spans="1:2" x14ac:dyDescent="0.35">
      <c r="A12" s="14">
        <v>2018</v>
      </c>
      <c r="B12" s="16">
        <v>13</v>
      </c>
    </row>
    <row r="13" spans="1:2" x14ac:dyDescent="0.35">
      <c r="A13" s="14" t="s">
        <v>598</v>
      </c>
      <c r="B13" s="16">
        <v>104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91E6C-60AA-4D9C-BA06-01036EBC2FC1}">
  <sheetPr>
    <tabColor rgb="FFFF0000"/>
  </sheetPr>
  <dimension ref="A2:B8"/>
  <sheetViews>
    <sheetView workbookViewId="0">
      <selection activeCell="B5" sqref="B5"/>
    </sheetView>
  </sheetViews>
  <sheetFormatPr defaultRowHeight="14.5" x14ac:dyDescent="0.35"/>
  <cols>
    <col min="1" max="1" width="17.1796875" bestFit="1" customWidth="1"/>
    <col min="2" max="2" width="21.1796875" bestFit="1" customWidth="1"/>
  </cols>
  <sheetData>
    <row r="2" spans="1:2" x14ac:dyDescent="0.35">
      <c r="A2" s="10" t="s">
        <v>605</v>
      </c>
    </row>
    <row r="3" spans="1:2" x14ac:dyDescent="0.35">
      <c r="A3" s="13" t="s">
        <v>597</v>
      </c>
      <c r="B3" t="s">
        <v>602</v>
      </c>
    </row>
    <row r="4" spans="1:2" x14ac:dyDescent="0.35">
      <c r="A4" s="14" t="s">
        <v>52</v>
      </c>
      <c r="B4" s="11">
        <v>6.1621621621621623</v>
      </c>
    </row>
    <row r="5" spans="1:2" x14ac:dyDescent="0.35">
      <c r="A5" s="14" t="s">
        <v>61</v>
      </c>
      <c r="B5" s="11">
        <v>5.2345679012345681</v>
      </c>
    </row>
    <row r="6" spans="1:2" x14ac:dyDescent="0.35">
      <c r="A6" s="14" t="s">
        <v>122</v>
      </c>
      <c r="B6" s="11">
        <v>5.2222222222222223</v>
      </c>
    </row>
    <row r="7" spans="1:2" x14ac:dyDescent="0.35">
      <c r="A7" s="14" t="s">
        <v>195</v>
      </c>
      <c r="B7" s="11">
        <v>4.9230769230769234</v>
      </c>
    </row>
    <row r="8" spans="1:2" x14ac:dyDescent="0.35">
      <c r="A8" s="14" t="s">
        <v>598</v>
      </c>
      <c r="B8" s="11">
        <v>5.3311897106109321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C86B-D96B-4DC9-9596-1D714872047C}">
  <sheetPr>
    <tabColor rgb="FFFFFF00"/>
  </sheetPr>
  <dimension ref="A2:F14"/>
  <sheetViews>
    <sheetView topLeftCell="C1" workbookViewId="0">
      <selection activeCell="L13" sqref="L13"/>
    </sheetView>
  </sheetViews>
  <sheetFormatPr defaultRowHeight="14.5" x14ac:dyDescent="0.35"/>
  <cols>
    <col min="1" max="1" width="13.90625" bestFit="1" customWidth="1"/>
    <col min="2" max="2" width="15.6328125" bestFit="1" customWidth="1"/>
    <col min="3" max="3" width="10.26953125" bestFit="1" customWidth="1"/>
    <col min="4" max="4" width="17.81640625" bestFit="1" customWidth="1"/>
    <col min="5" max="5" width="3.54296875" bestFit="1" customWidth="1"/>
    <col min="6" max="6" width="10.36328125" bestFit="1" customWidth="1"/>
  </cols>
  <sheetData>
    <row r="2" spans="1:6" x14ac:dyDescent="0.35">
      <c r="A2" s="10" t="s">
        <v>607</v>
      </c>
    </row>
    <row r="3" spans="1:6" x14ac:dyDescent="0.35">
      <c r="A3" s="13" t="s">
        <v>601</v>
      </c>
      <c r="B3" s="13" t="s">
        <v>606</v>
      </c>
    </row>
    <row r="4" spans="1:6" x14ac:dyDescent="0.35">
      <c r="A4" s="13" t="s">
        <v>597</v>
      </c>
      <c r="B4" t="s">
        <v>52</v>
      </c>
      <c r="C4" t="s">
        <v>61</v>
      </c>
      <c r="D4" t="s">
        <v>122</v>
      </c>
      <c r="E4" t="s">
        <v>195</v>
      </c>
      <c r="F4" t="s">
        <v>598</v>
      </c>
    </row>
    <row r="5" spans="1:6" x14ac:dyDescent="0.35">
      <c r="A5" s="14" t="s">
        <v>60</v>
      </c>
      <c r="B5" s="16">
        <v>12</v>
      </c>
      <c r="C5" s="16">
        <v>66</v>
      </c>
      <c r="D5" s="16">
        <v>4</v>
      </c>
      <c r="E5" s="16">
        <v>5</v>
      </c>
      <c r="F5" s="16">
        <v>87</v>
      </c>
    </row>
    <row r="6" spans="1:6" x14ac:dyDescent="0.35">
      <c r="A6" s="14" t="s">
        <v>496</v>
      </c>
      <c r="B6" s="16">
        <v>9</v>
      </c>
      <c r="C6" s="16">
        <v>61</v>
      </c>
      <c r="D6" s="16">
        <v>3</v>
      </c>
      <c r="E6" s="16">
        <v>3</v>
      </c>
      <c r="F6" s="16">
        <v>76</v>
      </c>
    </row>
    <row r="7" spans="1:6" x14ac:dyDescent="0.35">
      <c r="A7" s="14" t="s">
        <v>73</v>
      </c>
      <c r="B7" s="16">
        <v>2</v>
      </c>
      <c r="C7" s="16">
        <v>43</v>
      </c>
      <c r="D7" s="16">
        <v>3</v>
      </c>
      <c r="E7" s="16">
        <v>1</v>
      </c>
      <c r="F7" s="16">
        <v>49</v>
      </c>
    </row>
    <row r="8" spans="1:6" x14ac:dyDescent="0.35">
      <c r="A8" s="14" t="s">
        <v>625</v>
      </c>
      <c r="B8" s="16">
        <v>5</v>
      </c>
      <c r="C8" s="16">
        <v>25</v>
      </c>
      <c r="D8" s="16"/>
      <c r="E8" s="16">
        <v>1</v>
      </c>
      <c r="F8" s="16">
        <v>31</v>
      </c>
    </row>
    <row r="9" spans="1:6" x14ac:dyDescent="0.35">
      <c r="A9" s="14" t="s">
        <v>624</v>
      </c>
      <c r="B9" s="16">
        <v>6</v>
      </c>
      <c r="C9" s="16">
        <v>18</v>
      </c>
      <c r="D9" s="16">
        <v>4</v>
      </c>
      <c r="E9" s="16">
        <v>1</v>
      </c>
      <c r="F9" s="16">
        <v>29</v>
      </c>
    </row>
    <row r="10" spans="1:6" x14ac:dyDescent="0.35">
      <c r="A10" s="14" t="s">
        <v>508</v>
      </c>
      <c r="B10" s="16">
        <v>2</v>
      </c>
      <c r="C10" s="16">
        <v>17</v>
      </c>
      <c r="D10" s="16">
        <v>4</v>
      </c>
      <c r="E10" s="16"/>
      <c r="F10" s="16">
        <v>23</v>
      </c>
    </row>
    <row r="11" spans="1:6" x14ac:dyDescent="0.35">
      <c r="A11" s="14" t="s">
        <v>205</v>
      </c>
      <c r="B11" s="16">
        <v>1</v>
      </c>
      <c r="C11" s="16">
        <v>10</v>
      </c>
      <c r="D11" s="16"/>
      <c r="E11" s="16">
        <v>2</v>
      </c>
      <c r="F11" s="16">
        <v>13</v>
      </c>
    </row>
    <row r="12" spans="1:6" x14ac:dyDescent="0.35">
      <c r="A12" s="14" t="s">
        <v>240</v>
      </c>
      <c r="B12" s="16"/>
      <c r="C12" s="16">
        <v>2</v>
      </c>
      <c r="D12" s="16"/>
      <c r="E12" s="16"/>
      <c r="F12" s="16">
        <v>2</v>
      </c>
    </row>
    <row r="13" spans="1:6" x14ac:dyDescent="0.35">
      <c r="A13" s="14" t="s">
        <v>623</v>
      </c>
      <c r="B13" s="16"/>
      <c r="C13" s="16">
        <v>1</v>
      </c>
      <c r="D13" s="16"/>
      <c r="E13" s="16"/>
      <c r="F13" s="16">
        <v>1</v>
      </c>
    </row>
    <row r="14" spans="1:6" x14ac:dyDescent="0.35">
      <c r="A14" s="14" t="s">
        <v>598</v>
      </c>
      <c r="B14" s="16">
        <v>37</v>
      </c>
      <c r="C14" s="16">
        <v>243</v>
      </c>
      <c r="D14" s="16">
        <v>18</v>
      </c>
      <c r="E14" s="16">
        <v>13</v>
      </c>
      <c r="F14" s="16">
        <v>311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9BCF-2FC0-4A13-92FF-316594485925}">
  <sheetPr>
    <tabColor rgb="FF92D050"/>
  </sheetPr>
  <dimension ref="A2:B6"/>
  <sheetViews>
    <sheetView topLeftCell="A8" workbookViewId="0">
      <selection activeCell="D22" sqref="D22:J37"/>
    </sheetView>
  </sheetViews>
  <sheetFormatPr defaultRowHeight="14.5" x14ac:dyDescent="0.35"/>
  <cols>
    <col min="1" max="1" width="12.453125" bestFit="1" customWidth="1"/>
    <col min="2" max="2" width="15" bestFit="1" customWidth="1"/>
  </cols>
  <sheetData>
    <row r="2" spans="1:2" x14ac:dyDescent="0.35">
      <c r="A2" s="10" t="s">
        <v>608</v>
      </c>
    </row>
    <row r="3" spans="1:2" x14ac:dyDescent="0.35">
      <c r="A3" s="13" t="s">
        <v>597</v>
      </c>
      <c r="B3" t="s">
        <v>609</v>
      </c>
    </row>
    <row r="4" spans="1:2" x14ac:dyDescent="0.35">
      <c r="A4" s="14" t="s">
        <v>618</v>
      </c>
      <c r="B4" s="12">
        <v>67786.727272727279</v>
      </c>
    </row>
    <row r="5" spans="1:2" x14ac:dyDescent="0.35">
      <c r="A5" s="14" t="s">
        <v>617</v>
      </c>
      <c r="B5" s="12">
        <v>70629.399999999994</v>
      </c>
    </row>
    <row r="6" spans="1:2" x14ac:dyDescent="0.35">
      <c r="A6" s="14" t="s">
        <v>598</v>
      </c>
      <c r="B6" s="12">
        <v>69020.684887459807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43D9C-6BA0-4BA1-8E9D-E43BD244E64C}">
  <sheetPr>
    <tabColor rgb="FF00B0F0"/>
  </sheetPr>
  <dimension ref="A2:F27"/>
  <sheetViews>
    <sheetView topLeftCell="A2" workbookViewId="0">
      <selection activeCell="D19" sqref="D19"/>
    </sheetView>
  </sheetViews>
  <sheetFormatPr defaultRowHeight="14.5" x14ac:dyDescent="0.35"/>
  <cols>
    <col min="1" max="1" width="17.81640625" bestFit="1" customWidth="1"/>
    <col min="2" max="2" width="26" bestFit="1" customWidth="1"/>
    <col min="3" max="3" width="23.81640625" bestFit="1" customWidth="1"/>
    <col min="4" max="4" width="26" bestFit="1" customWidth="1"/>
    <col min="5" max="5" width="17.81640625" bestFit="1" customWidth="1"/>
    <col min="6" max="6" width="21.1796875" bestFit="1" customWidth="1"/>
  </cols>
  <sheetData>
    <row r="2" spans="1:6" ht="15.5" x14ac:dyDescent="0.35">
      <c r="A2" s="23" t="s">
        <v>616</v>
      </c>
    </row>
    <row r="3" spans="1:6" x14ac:dyDescent="0.35">
      <c r="A3" s="13" t="s">
        <v>597</v>
      </c>
      <c r="B3" t="s">
        <v>614</v>
      </c>
    </row>
    <row r="4" spans="1:6" x14ac:dyDescent="0.35">
      <c r="A4" s="14" t="s">
        <v>41</v>
      </c>
      <c r="B4" s="17">
        <v>0.3298245614035088</v>
      </c>
    </row>
    <row r="5" spans="1:6" x14ac:dyDescent="0.35">
      <c r="A5" s="15" t="s">
        <v>130</v>
      </c>
      <c r="B5" s="17">
        <v>0.22222222222222221</v>
      </c>
    </row>
    <row r="6" spans="1:6" x14ac:dyDescent="0.35">
      <c r="A6" s="15" t="s">
        <v>306</v>
      </c>
      <c r="B6" s="17">
        <v>0</v>
      </c>
    </row>
    <row r="7" spans="1:6" x14ac:dyDescent="0.35">
      <c r="A7" s="15" t="s">
        <v>499</v>
      </c>
      <c r="B7" s="17">
        <v>0.20833333333333334</v>
      </c>
    </row>
    <row r="8" spans="1:6" x14ac:dyDescent="0.35">
      <c r="A8" s="15" t="s">
        <v>495</v>
      </c>
      <c r="B8" s="17">
        <v>0.38624338624338622</v>
      </c>
    </row>
    <row r="9" spans="1:6" x14ac:dyDescent="0.35">
      <c r="A9" s="15" t="s">
        <v>145</v>
      </c>
      <c r="B9" s="17">
        <v>0.18518518518518517</v>
      </c>
    </row>
    <row r="10" spans="1:6" x14ac:dyDescent="0.35">
      <c r="A10" s="15" t="s">
        <v>78</v>
      </c>
      <c r="B10" s="17">
        <v>0.36363636363636365</v>
      </c>
    </row>
    <row r="11" spans="1:6" x14ac:dyDescent="0.35">
      <c r="A11" s="14" t="s">
        <v>96</v>
      </c>
      <c r="B11" s="17">
        <v>0.38461538461538464</v>
      </c>
    </row>
    <row r="12" spans="1:6" x14ac:dyDescent="0.35">
      <c r="A12" s="15" t="s">
        <v>499</v>
      </c>
      <c r="B12" s="17">
        <v>0</v>
      </c>
    </row>
    <row r="13" spans="1:6" x14ac:dyDescent="0.35">
      <c r="A13" s="15" t="s">
        <v>495</v>
      </c>
      <c r="B13" s="17">
        <v>0.5</v>
      </c>
    </row>
    <row r="14" spans="1:6" x14ac:dyDescent="0.35">
      <c r="A14" s="15" t="s">
        <v>145</v>
      </c>
      <c r="B14" s="17">
        <v>0</v>
      </c>
    </row>
    <row r="15" spans="1:6" ht="18.5" x14ac:dyDescent="0.35">
      <c r="A15" s="14" t="s">
        <v>598</v>
      </c>
      <c r="B15" s="17">
        <v>0.33440514469453375</v>
      </c>
      <c r="F15" s="21" t="s">
        <v>626</v>
      </c>
    </row>
    <row r="16" spans="1:6" x14ac:dyDescent="0.35">
      <c r="E16" s="13" t="s">
        <v>10</v>
      </c>
      <c r="F16" s="14">
        <v>1</v>
      </c>
    </row>
    <row r="17" spans="1:6" ht="18.5" x14ac:dyDescent="0.35">
      <c r="B17" s="21" t="s">
        <v>627</v>
      </c>
    </row>
    <row r="18" spans="1:6" x14ac:dyDescent="0.35">
      <c r="A18" s="13" t="s">
        <v>597</v>
      </c>
      <c r="B18" t="s">
        <v>613</v>
      </c>
      <c r="C18" t="s">
        <v>610</v>
      </c>
      <c r="E18" s="13" t="s">
        <v>597</v>
      </c>
      <c r="F18" t="s">
        <v>602</v>
      </c>
    </row>
    <row r="19" spans="1:6" x14ac:dyDescent="0.35">
      <c r="A19" s="14" t="s">
        <v>130</v>
      </c>
      <c r="B19" s="11">
        <v>4.3933333333333335</v>
      </c>
      <c r="C19" s="11">
        <v>3.5555555555555554</v>
      </c>
      <c r="E19" s="14" t="s">
        <v>78</v>
      </c>
      <c r="F19" s="11">
        <v>3.75</v>
      </c>
    </row>
    <row r="20" spans="1:6" x14ac:dyDescent="0.35">
      <c r="A20" s="14" t="s">
        <v>306</v>
      </c>
      <c r="B20" s="11">
        <v>4.83</v>
      </c>
      <c r="C20" s="11">
        <v>3</v>
      </c>
      <c r="E20" s="14" t="s">
        <v>495</v>
      </c>
      <c r="F20" s="11">
        <v>3.7228915662650603</v>
      </c>
    </row>
    <row r="21" spans="1:6" x14ac:dyDescent="0.35">
      <c r="A21" s="14" t="s">
        <v>499</v>
      </c>
      <c r="B21" s="11">
        <v>4.1539999999999999</v>
      </c>
      <c r="C21" s="11">
        <v>3.96</v>
      </c>
      <c r="E21" s="14" t="s">
        <v>145</v>
      </c>
      <c r="F21" s="11">
        <v>2.4</v>
      </c>
    </row>
    <row r="22" spans="1:6" x14ac:dyDescent="0.35">
      <c r="A22" s="14" t="s">
        <v>495</v>
      </c>
      <c r="B22" s="11">
        <v>4.129569377990431</v>
      </c>
      <c r="C22" s="11">
        <v>3.861244019138756</v>
      </c>
      <c r="E22" s="14" t="s">
        <v>499</v>
      </c>
      <c r="F22" s="11">
        <v>1.7</v>
      </c>
    </row>
    <row r="23" spans="1:6" x14ac:dyDescent="0.35">
      <c r="A23" s="14" t="s">
        <v>145</v>
      </c>
      <c r="B23" s="11">
        <v>3.818709677419355</v>
      </c>
      <c r="C23" s="11">
        <v>4.032258064516129</v>
      </c>
      <c r="E23" s="14" t="s">
        <v>130</v>
      </c>
      <c r="F23" s="11">
        <v>1</v>
      </c>
    </row>
    <row r="24" spans="1:6" x14ac:dyDescent="0.35">
      <c r="A24" s="14" t="s">
        <v>78</v>
      </c>
      <c r="B24" s="11">
        <v>4.0618181818181824</v>
      </c>
      <c r="C24" s="11">
        <v>4.0909090909090908</v>
      </c>
      <c r="E24" s="14" t="s">
        <v>598</v>
      </c>
      <c r="F24" s="11">
        <v>3.4134615384615383</v>
      </c>
    </row>
    <row r="25" spans="1:6" x14ac:dyDescent="0.35">
      <c r="A25" s="14" t="s">
        <v>598</v>
      </c>
      <c r="B25" s="16">
        <v>4.1099999999999985</v>
      </c>
      <c r="C25" s="11">
        <v>3.8906752411575565</v>
      </c>
    </row>
    <row r="26" spans="1:6" x14ac:dyDescent="0.35">
      <c r="E26" s="22" t="s">
        <v>628</v>
      </c>
    </row>
    <row r="27" spans="1:6" x14ac:dyDescent="0.35">
      <c r="B27" s="22" t="s">
        <v>629</v>
      </c>
    </row>
  </sheetData>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E3B3E-711A-4BE5-ACAE-21860297FE25}">
  <sheetPr>
    <tabColor rgb="FF1F3A64"/>
  </sheetPr>
  <dimension ref="A9"/>
  <sheetViews>
    <sheetView showGridLines="0" showRowColHeaders="0" tabSelected="1" zoomScale="70" zoomScaleNormal="70" workbookViewId="0">
      <selection activeCell="AD41" sqref="AD41"/>
    </sheetView>
  </sheetViews>
  <sheetFormatPr defaultRowHeight="14.5" x14ac:dyDescent="0.35"/>
  <cols>
    <col min="1" max="16384" width="8.7265625" style="19"/>
  </cols>
  <sheetData>
    <row r="9" spans="1:1" x14ac:dyDescent="0.35">
      <c r="A9" s="19"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4CCD14-3928-47C0-848E-6DD7061B1C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HR_DATASET</vt:lpstr>
      <vt:lpstr>Cleaned_Data</vt:lpstr>
      <vt:lpstr>PT_KPISummary</vt:lpstr>
      <vt:lpstr>PT1_TurnoverByDept1</vt:lpstr>
      <vt:lpstr>PT2_TerminationTrend</vt:lpstr>
      <vt:lpstr>PT3_TenureByPerformance</vt:lpstr>
      <vt:lpstr> PT4_RecruitmentSource</vt:lpstr>
      <vt:lpstr>PT5_SalaryByGender</vt:lpstr>
      <vt:lpstr>PT6_AgeGroupEngagement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AMARACHI FLORENCE ONYEDINMA-NWAMAGHIRO</dc:creator>
  <cp:lastModifiedBy>Ijeoma Okeke</cp:lastModifiedBy>
  <dcterms:created xsi:type="dcterms:W3CDTF">2026-05-18T19:04:08Z</dcterms:created>
  <dcterms:modified xsi:type="dcterms:W3CDTF">2026-07-16T19:37:09Z</dcterms:modified>
</cp:coreProperties>
</file>