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BEA1A89-7EEC-4857-9BD5-03B8762149DA}" xr6:coauthVersionLast="47" xr6:coauthVersionMax="47" xr10:uidLastSave="{00000000-0000-0000-0000-000000000000}"/>
  <bookViews>
    <workbookView xWindow="-110" yWindow="-110" windowWidth="19420" windowHeight="10420" xr2:uid="{779A0CCD-32E6-474C-AE6A-AD41BCB379DC}"/>
  </bookViews>
  <sheets>
    <sheet name="Clean_Dataset" sheetId="1" r:id="rId1"/>
  </sheets>
  <definedNames>
    <definedName name="ExternalData_1" localSheetId="0" hidden="1">Clean_Dataset!$A$1:$AL$312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12" i="1" l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C81A3-A51F-4BE2-9A59-50891A3F1CB1}" keepAlive="1" name="Query - hrdata" description="Connection to the 'hrdata' query in the workbook." type="5" refreshedVersion="8" background="1" saveData="1">
    <dbPr connection="Provider=Microsoft.Mashup.OleDb.1;Data Source=$Workbook$;Location=hrdata;Extended Properties=&quot;&quot;" command="SELECT * FROM [hrdata]"/>
  </connection>
  <connection id="2" xr16:uid="{1931C84F-05B8-4B44-B5D9-14EFA1BCBB49}" keepAlive="1" name="Query - ManagerLookup" description="Connection to the 'ManagerLookup' query in the workbook." type="5" refreshedVersion="0" background="1">
    <dbPr connection="Provider=Microsoft.Mashup.OleDb.1;Data Source=$Workbook$;Location=ManagerLookup;Extended Properties=&quot;&quot;" command="SELECT * FROM [ManagerLookup]"/>
  </connection>
</connections>
</file>

<file path=xl/sharedStrings.xml><?xml version="1.0" encoding="utf-8"?>
<sst xmlns="http://schemas.openxmlformats.org/spreadsheetml/2006/main" count="4705" uniqueCount="493">
  <si>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</si>
  <si>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</si>
  <si>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</si>
  <si>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</si>
  <si>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</si>
  <si>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</si>
  <si>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</si>
  <si>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</si>
  <si>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</si>
  <si>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</si>
  <si>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</si>
  <si>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</si>
  <si>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</si>
  <si>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</si>
  <si>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</si>
  <si>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</si>
  <si>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Age Group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</si>
  <si>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</si>
  <si>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</si>
  <si>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</si>
  <si>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</si>
  <si>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</si>
  <si>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</si>
  <si>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</si>
  <si>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</si>
  <si>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</si>
  <si>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</si>
  <si>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</si>
  <si>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</si>
  <si>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</si>
  <si>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</si>
  <si>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</si>
  <si>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</si>
  <si>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</si>
  <si>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Absences</t>
  </si>
  <si>
    <t>Age</t>
  </si>
  <si>
    <t>Tenure_Years</t>
  </si>
  <si>
    <t>ManagerID</t>
  </si>
  <si>
    <t>Term_Year</t>
  </si>
  <si>
    <t>Head_Count</t>
  </si>
  <si>
    <t>Adinolfi, Wilson  K</t>
  </si>
  <si>
    <t>Production Technician I</t>
  </si>
  <si>
    <t>MA</t>
  </si>
  <si>
    <t>Adult</t>
  </si>
  <si>
    <t>Male</t>
  </si>
  <si>
    <t>Single</t>
  </si>
  <si>
    <t>US Citizen</t>
  </si>
  <si>
    <t>No</t>
  </si>
  <si>
    <t>White</t>
  </si>
  <si>
    <t>N/A-StillEmployed</t>
  </si>
  <si>
    <t>Active</t>
  </si>
  <si>
    <t>Production</t>
  </si>
  <si>
    <t>Michael Albert</t>
  </si>
  <si>
    <t>Linkedin</t>
  </si>
  <si>
    <t>Exceeds</t>
  </si>
  <si>
    <t>Barton, Nader</t>
  </si>
  <si>
    <t>Divorced</t>
  </si>
  <si>
    <t>Another position</t>
  </si>
  <si>
    <t>Voluntarily Terminated</t>
  </si>
  <si>
    <t>On-Line Web</t>
  </si>
  <si>
    <t>Fully Meets</t>
  </si>
  <si>
    <t>Ait Sidi, Karthikeyan</t>
  </si>
  <si>
    <t>Sr. Dba</t>
  </si>
  <si>
    <t>Married</t>
  </si>
  <si>
    <t>career change</t>
  </si>
  <si>
    <t>It/Is</t>
  </si>
  <si>
    <t>Simon Roup</t>
  </si>
  <si>
    <t>Indeed</t>
  </si>
  <si>
    <t>Barbossa, Hector</t>
  </si>
  <si>
    <t>Data Analyst</t>
  </si>
  <si>
    <t>TX</t>
  </si>
  <si>
    <t>Black or African American</t>
  </si>
  <si>
    <t>Diversity Fair</t>
  </si>
  <si>
    <t>Becker, Renee</t>
  </si>
  <si>
    <t>Database Administrator</t>
  </si>
  <si>
    <t>Female</t>
  </si>
  <si>
    <t>Yes</t>
  </si>
  <si>
    <t>performance</t>
  </si>
  <si>
    <t>Terminated for Cause</t>
  </si>
  <si>
    <t>Google Search</t>
  </si>
  <si>
    <t>Akinkuolie, Sarah</t>
  </si>
  <si>
    <t>Production Technician Ii</t>
  </si>
  <si>
    <t>hours</t>
  </si>
  <si>
    <t>Kissy Sullivan</t>
  </si>
  <si>
    <t>Barbara, Thomas</t>
  </si>
  <si>
    <t>Senior</t>
  </si>
  <si>
    <t>unhappy</t>
  </si>
  <si>
    <t>Alagbe,Trina</t>
  </si>
  <si>
    <t>Elijiah Gray</t>
  </si>
  <si>
    <t>Beatrice, Courtney</t>
  </si>
  <si>
    <t>Eligible NonCitizen</t>
  </si>
  <si>
    <t>Anderson, Carol</t>
  </si>
  <si>
    <t>return to school</t>
  </si>
  <si>
    <t>Webster Butler</t>
  </si>
  <si>
    <t>Becker, Scott</t>
  </si>
  <si>
    <t>Asian</t>
  </si>
  <si>
    <t>Anderson, Linda</t>
  </si>
  <si>
    <t>Amy Dunn</t>
  </si>
  <si>
    <t>Bernstein, Sean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</si>
  <si>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</si>
  <si>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</si>
  <si>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</si>
  <si>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</si>
  <si>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</si>
  <si>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</si>
  <si>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</si>
  <si>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</t>
  </si>
  <si>
    <t>Biden, Lowan  M</t>
  </si>
  <si>
    <t>Bachiochi, Linda</t>
  </si>
  <si>
    <t>Brannon Miller</t>
  </si>
  <si>
    <t>Bacong, Alejandro</t>
  </si>
  <si>
    <t>It Support</t>
  </si>
  <si>
    <t>Peter Monroe</t>
  </si>
  <si>
    <t>Baczenski, Rachael</t>
  </si>
  <si>
    <t>David Stanley</t>
  </si>
  <si>
    <t>Barone, Francesco  A</t>
  </si>
  <si>
    <t>Two or more races</t>
  </si>
  <si>
    <t>Kelley Spirea</t>
  </si>
  <si>
    <t>Bates, Norman</t>
  </si>
  <si>
    <t>attendance</t>
  </si>
  <si>
    <t>Beak, Kimberly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</si>
  <si>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</si>
  <si>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</si>
  <si>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</si>
  <si>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</si>
  <si>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</si>
  <si>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</si>
  <si>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</si>
  <si>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</si>
  <si>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</si>
  <si>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</si>
  <si>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</si>
  <si>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</si>
  <si>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</si>
  <si>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</si>
  <si>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</si>
  <si>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</si>
  <si>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</si>
  <si>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</si>
  <si>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</si>
  <si>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</si>
  <si>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>Buccheri, Joseph</t>
  </si>
  <si>
    <t>Bugali, Josephine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</si>
  <si>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</si>
  <si>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</si>
  <si>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</si>
  <si>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</si>
  <si>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</si>
  <si>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</si>
  <si>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</si>
  <si>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>Burkett, Benjamin</t>
  </si>
  <si>
    <t>Cady, Max</t>
  </si>
  <si>
    <t>Software Engineering Manager</t>
  </si>
  <si>
    <t>Jennifer Zamora</t>
  </si>
  <si>
    <t>Candie, Calvin</t>
  </si>
  <si>
    <t>Carabbio, Judith</t>
  </si>
  <si>
    <t>Carey, Michael</t>
  </si>
  <si>
    <t>Carr, Claudia  N</t>
  </si>
  <si>
    <t>Carter, Michelle</t>
  </si>
  <si>
    <t>VT</t>
  </si>
  <si>
    <t>Chace, Beatrice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</si>
  <si>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</si>
  <si>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</si>
  <si>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</si>
  <si>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</si>
  <si>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</si>
  <si>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</si>
  <si>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</si>
  <si>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</si>
  <si>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>Cierpiszewski, Caroline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</si>
  <si>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</si>
  <si>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</si>
  <si>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</si>
  <si>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</si>
  <si>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</si>
  <si>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</si>
  <si>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</si>
  <si>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</si>
  <si>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</si>
  <si>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</si>
  <si>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</si>
  <si>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>Cornett, Lisa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</si>
  <si>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</si>
  <si>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</si>
  <si>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</si>
  <si>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</si>
  <si>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</si>
  <si>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</si>
  <si>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</si>
  <si>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>Daniele, Ann</t>
  </si>
  <si>
    <t>Darson, Jene'Ya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</si>
  <si>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</si>
  <si>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</si>
  <si>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</si>
  <si>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</si>
  <si>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</si>
  <si>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</si>
  <si>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</si>
  <si>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</si>
  <si>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</si>
  <si>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>Desimone, Carl</t>
  </si>
  <si>
    <t>Devito, Tommy</t>
  </si>
  <si>
    <t>Bi Developer</t>
  </si>
  <si>
    <t>Brian Champaigne</t>
  </si>
  <si>
    <t>Dickinson, Geoff</t>
  </si>
  <si>
    <t>Dietrich, Jenna</t>
  </si>
  <si>
    <t>WA</t>
  </si>
  <si>
    <t>Website</t>
  </si>
  <si>
    <t>Dinocco, Lily</t>
  </si>
  <si>
    <t>Dobrin, Denisa  S</t>
  </si>
  <si>
    <t>Dolan, Linda</t>
  </si>
  <si>
    <t>Dougall, Eric</t>
  </si>
  <si>
    <t>It Manager - Support</t>
  </si>
  <si>
    <t>Driver, Elle</t>
  </si>
  <si>
    <t>CA</t>
  </si>
  <si>
    <t>Dunn, Amy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</si>
  <si>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</si>
  <si>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</si>
  <si>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</si>
  <si>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</si>
  <si>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</si>
  <si>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</si>
  <si>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</si>
  <si>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</si>
  <si>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</si>
  <si>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</si>
  <si>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>Faller, Megan</t>
  </si>
  <si>
    <t>Fancett, Nicole</t>
  </si>
  <si>
    <t>Ferguson, Susan</t>
  </si>
  <si>
    <t>Fernandes, Nilson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</si>
  <si>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</si>
  <si>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</si>
  <si>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</si>
  <si>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</si>
  <si>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</si>
  <si>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</si>
  <si>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</si>
  <si>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</si>
  <si>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</si>
  <si>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</si>
  <si>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</si>
  <si>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</si>
  <si>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</si>
  <si>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>Fraval, Maruk</t>
  </si>
  <si>
    <t>Galia, Lisa</t>
  </si>
  <si>
    <t>Garcia, Raul</t>
  </si>
  <si>
    <t>Gaul, Barbara</t>
  </si>
  <si>
    <t>Gentry, Mildred</t>
  </si>
  <si>
    <t>Gerke, Melisa</t>
  </si>
  <si>
    <t>Gill, Whitney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</si>
  <si>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</si>
  <si>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</si>
  <si>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</si>
  <si>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</si>
  <si>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</si>
  <si>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</si>
  <si>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</si>
  <si>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>Gold, Shenice</t>
  </si>
  <si>
    <t>Gonzalez, Cayo</t>
  </si>
  <si>
    <t>Gonzalez, Juan</t>
  </si>
  <si>
    <t>Gonzalez, Maria</t>
  </si>
  <si>
    <t>Good, Susan</t>
  </si>
  <si>
    <t>Gordon, David</t>
  </si>
  <si>
    <t>Gosciminski, Phylicia</t>
  </si>
  <si>
    <t>American Indian or Alaska Native</t>
  </si>
  <si>
    <t>Goyal, Roxana</t>
  </si>
  <si>
    <t>Gray, Elijiah</t>
  </si>
  <si>
    <t>Gross, Paula</t>
  </si>
  <si>
    <t>Gruber, Hans</t>
  </si>
  <si>
    <t>Guilianno, Mike</t>
  </si>
  <si>
    <t>TN</t>
  </si>
  <si>
    <t>Handschiegl, Joanne</t>
  </si>
  <si>
    <t>Hankard, Earnest</t>
  </si>
  <si>
    <t>Harrington, Christie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</si>
  <si>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</si>
  <si>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</si>
  <si>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</si>
  <si>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</si>
  <si>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</si>
  <si>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</si>
  <si>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</si>
  <si>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</si>
  <si>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</si>
  <si>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</si>
  <si>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</si>
  <si>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</si>
  <si>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</si>
  <si>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</si>
  <si>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</si>
  <si>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</si>
  <si>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</si>
  <si>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>Ivey, Rose</t>
  </si>
  <si>
    <t>Jackson, Maryellen</t>
  </si>
  <si>
    <t>Jacobi, Hannah</t>
  </si>
  <si>
    <t>Jeannite, Tayana</t>
  </si>
  <si>
    <t>Jhaveri, Sneha</t>
  </si>
  <si>
    <t>Johnson, George</t>
  </si>
  <si>
    <t>Johnson, Noelle</t>
  </si>
  <si>
    <t>Johnston, Yen</t>
  </si>
  <si>
    <t>Jung, Judy</t>
  </si>
  <si>
    <t>Kampew, Donysha</t>
  </si>
  <si>
    <t>PA</t>
  </si>
  <si>
    <t>maternity leave - did not return</t>
  </si>
  <si>
    <t>Keatts, Kramer</t>
  </si>
  <si>
    <t>Khemmich, Bartholemew</t>
  </si>
  <si>
    <t>CO</t>
  </si>
  <si>
    <t>King, Janet</t>
  </si>
  <si>
    <t>President &amp; Ceo</t>
  </si>
  <si>
    <t>Executive Office</t>
  </si>
  <si>
    <t>Kinsella, Kathleen</t>
  </si>
  <si>
    <t>Kirill, Alexandra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</si>
  <si>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</si>
  <si>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</si>
  <si>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</si>
  <si>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</si>
  <si>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</si>
  <si>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</si>
  <si>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</si>
  <si>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</si>
  <si>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>Larotonda, William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</si>
  <si>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</si>
  <si>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</si>
  <si>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</si>
  <si>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</si>
  <si>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</si>
  <si>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</si>
  <si>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</si>
  <si>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</si>
  <si>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</si>
  <si>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</si>
  <si>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>Linares, Marilyn</t>
  </si>
  <si>
    <t>Linden, Mathew</t>
  </si>
  <si>
    <t>Lindsay, Leonara</t>
  </si>
  <si>
    <t>Lundy, Susan</t>
  </si>
  <si>
    <t>Lunquist, Lisa</t>
  </si>
  <si>
    <t>Lydon, Allison</t>
  </si>
  <si>
    <t>Lynch, Lindsay</t>
  </si>
  <si>
    <t>Maclennan, Samuel</t>
  </si>
  <si>
    <t>Mahoney, Lauren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</si>
  <si>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</si>
  <si>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</si>
  <si>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</si>
  <si>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</si>
  <si>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</si>
  <si>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</si>
  <si>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</si>
  <si>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</si>
  <si>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</si>
  <si>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</si>
  <si>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</si>
  <si>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</si>
  <si>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</si>
  <si>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</si>
  <si>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</si>
  <si>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</si>
  <si>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</si>
  <si>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</si>
  <si>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</si>
  <si>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</si>
  <si>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</si>
  <si>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>Moumanil, Maliki</t>
  </si>
  <si>
    <t>Myers, Michael</t>
  </si>
  <si>
    <t>Navathe, Kurt</t>
  </si>
  <si>
    <t>Ndzi, Colombui</t>
  </si>
  <si>
    <t>Ndzi, Horia</t>
  </si>
  <si>
    <t>Newman, Richard</t>
  </si>
  <si>
    <t>Ngodup, Shari</t>
  </si>
  <si>
    <t>Nguyen, Dheepa</t>
  </si>
  <si>
    <t>GA</t>
  </si>
  <si>
    <t>Nguyen, Lei-Ming</t>
  </si>
  <si>
    <t>Nowlan, Kristie</t>
  </si>
  <si>
    <t>O'Hare, Lynn</t>
  </si>
  <si>
    <t>Oliver, Brooke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</si>
  <si>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</si>
  <si>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</si>
  <si>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</si>
  <si>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</si>
  <si>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</si>
  <si>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</si>
  <si>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</si>
  <si>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</si>
  <si>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</si>
  <si>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</si>
  <si>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</si>
  <si>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</si>
  <si>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</si>
  <si>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</si>
  <si>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>Peterson, Ebonee</t>
  </si>
  <si>
    <t>Petingill, Shana</t>
  </si>
  <si>
    <t>Petrowsky, Thelma</t>
  </si>
  <si>
    <t>Pham, Hong</t>
  </si>
  <si>
    <t>Pitt, Brad</t>
  </si>
  <si>
    <t>Potts, Xana</t>
  </si>
  <si>
    <t>KY</t>
  </si>
  <si>
    <t>Power, Morissa</t>
  </si>
  <si>
    <t>Punjabhi, Louis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</si>
  <si>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</si>
  <si>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</si>
  <si>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</si>
  <si>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</si>
  <si>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</si>
  <si>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</si>
  <si>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</si>
  <si>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>Rivera, Haley</t>
  </si>
  <si>
    <t>Roberson, May</t>
  </si>
  <si>
    <t>Robertson, Peter</t>
  </si>
  <si>
    <t>Robinson, Alain</t>
  </si>
  <si>
    <t>Robinson, Cherly</t>
  </si>
  <si>
    <t>Robinson, Elias</t>
  </si>
  <si>
    <t>Roby, Lori</t>
  </si>
  <si>
    <t>Roehrich, Bianca</t>
  </si>
  <si>
    <t>Principal Data Architect</t>
  </si>
  <si>
    <t>Roper, Katie</t>
  </si>
  <si>
    <t>Data Architect</t>
  </si>
  <si>
    <t>Rose, Ashley</t>
  </si>
  <si>
    <t>Rossetti, Bruno</t>
  </si>
  <si>
    <t>Roup,Simon</t>
  </si>
  <si>
    <t>It Manager - Db</t>
  </si>
  <si>
    <t>Ruiz, Ricardo</t>
  </si>
  <si>
    <t>Saada, Adell</t>
  </si>
  <si>
    <t>Saar-Beckles, Melinda</t>
  </si>
  <si>
    <t>Sadki, Nore</t>
  </si>
  <si>
    <t>Sahoo, Adil</t>
  </si>
  <si>
    <t>Salter, Jason</t>
  </si>
  <si>
    <t>Sander, Kamrin</t>
  </si>
  <si>
    <t>Sewkumar, Nori</t>
  </si>
  <si>
    <t>Shepard, Anita</t>
  </si>
  <si>
    <t>Shields, Seffi</t>
  </si>
  <si>
    <t>Simard, Kramer</t>
  </si>
  <si>
    <t>Singh, Nan</t>
  </si>
  <si>
    <t>Sloan, Constance</t>
  </si>
  <si>
    <t>Smith, Joe</t>
  </si>
  <si>
    <t>Smith, John</t>
  </si>
  <si>
    <t>Smith, Leigh Ann</t>
  </si>
  <si>
    <t>Smith, Sade</t>
  </si>
  <si>
    <t>Soto, Julia</t>
  </si>
  <si>
    <t>Soze, Keyser</t>
  </si>
  <si>
    <t>Sparks, Taylor</t>
  </si>
  <si>
    <t>Spirea, Kelley</t>
  </si>
  <si>
    <t>Squatrito, Kristen</t>
  </si>
  <si>
    <t>Stanford,Barbara  M</t>
  </si>
  <si>
    <t>Stansfield, Norman</t>
  </si>
  <si>
    <t>NV</t>
  </si>
  <si>
    <t>Steans, Tyrone</t>
  </si>
  <si>
    <t>Stoica, Rick</t>
  </si>
  <si>
    <t>Strong, Caitrin</t>
  </si>
  <si>
    <t>MT</t>
  </si>
  <si>
    <t>Sullivan, Kissy</t>
  </si>
  <si>
    <t>Sullivan, Timothy</t>
  </si>
  <si>
    <t>Sutwell, Barbara</t>
  </si>
  <si>
    <t>Szabo, Andrew</t>
  </si>
  <si>
    <t>Tannen, Biff</t>
  </si>
  <si>
    <t>Tavares, Desiree</t>
  </si>
  <si>
    <t>Tejeda, Lenora</t>
  </si>
  <si>
    <t>Terry, Sharlene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</si>
  <si>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</si>
  <si>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</si>
  <si>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</si>
  <si>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</si>
  <si>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</si>
  <si>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</si>
  <si>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</si>
  <si>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>Tredinnick, Neville</t>
  </si>
  <si>
    <t>True, Edward</t>
  </si>
  <si>
    <t>Trzeciak, Cybil</t>
  </si>
  <si>
    <t>Turpin, Jumil</t>
  </si>
  <si>
    <t>Valentin,Jackie</t>
  </si>
  <si>
    <t>AZ</t>
  </si>
  <si>
    <t>Veera, Abdellah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</si>
  <si>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</si>
  <si>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</si>
  <si>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</si>
  <si>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</si>
  <si>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</si>
  <si>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</si>
  <si>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</si>
  <si>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</si>
  <si>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</si>
  <si>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</si>
  <si>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</si>
  <si>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</si>
  <si>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</si>
  <si>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</si>
  <si>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</si>
  <si>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>Williams, Jacquelyn</t>
  </si>
  <si>
    <t>Winthrop, Jordan</t>
  </si>
  <si>
    <t>Wolk, Hang  T</t>
  </si>
  <si>
    <t>Woodson, Jason</t>
  </si>
  <si>
    <t>Ybarra, Catherine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</si>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</sst>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117FA0-9B82-4326-ABD3-9A9129C5DA85}" autoFormatId="16" applyNumberFormats="0" applyBorderFormats="0" applyFontFormats="0" applyPatternFormats="0" applyAlignmentFormats="0" applyWidthHeightFormats="0">
  <queryTableRefresh nextId="41" unboundColumnsRight="2">
    <queryTableFields count="40">
      <queryTableField id="1" name="Employee_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11" name="Termd" tableColumnId="11"/>
      <queryTableField id="12" name="PositionID" tableColumnId="12"/>
      <queryTableField id="13" name="Position" tableColumnId="13"/>
      <queryTableField id="14" name="State" tableColumnId="14"/>
      <queryTableField id="15" name="Zip" tableColumnId="15"/>
      <queryTableField id="16" name="DOB" tableColumnId="16"/>
      <queryTableField id="17" name="Age Group" tableColumnId="17"/>
      <queryTableField id="18" name="Sex" tableColumnId="18"/>
      <queryTableField id="19" name="MaritalDesc" tableColumnId="19"/>
      <queryTableField id="20" name="CitizenDesc" tableColumnId="20"/>
      <queryTableField id="21" name="HispanicLatino" tableColumnId="21"/>
      <queryTableField id="22" name="RaceDesc" tableColumnId="22"/>
      <queryTableField id="23" name="DateofHire" tableColumnId="23"/>
      <queryTableField id="24" name="DateofTermination" tableColumnId="24"/>
      <queryTableField id="25" name="TermReason" tableColumnId="25"/>
      <queryTableField id="26" name="EmploymentStatus" tableColumnId="26"/>
      <queryTableField id="27" name="Department" tableColumnId="27"/>
      <queryTableField id="28" name="ManagerName" tableColumnId="28"/>
      <queryTableField id="29" name="RecruitmentSource" tableColumnId="29"/>
      <queryTableField id="30" name="PerformanceScore" tableColumnId="30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Absences" tableColumnId="35"/>
      <queryTableField id="36" name="Age" tableColumnId="36"/>
      <queryTableField id="37" name="Tenure_Years" tableColumnId="37"/>
      <queryTableField id="38" name="ManagerID" tableColumnId="38"/>
      <queryTableField id="39" dataBound="0" tableColumnId="39"/>
      <queryTableField id="40" dataBound="0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2D44A-6085-42F4-B706-CB572A8789BF}" name="Cleaned_Data" displayName="Cleaned_Data" ref="A1:AN312" tableType="queryTable" totalsRowShown="0">
  <autoFilter ref="A1:AN312" xr:uid="{C0D2D44A-6085-42F4-B706-CB572A8789BF}"/>
  <tableColumns count="40">
    <tableColumn id="1" xr3:uid="{240A74AB-4FDA-4CF0-A86C-29D80F97A776}" uniqueName="1" name="Employee_Name" queryTableFieldId="1" dataDxfId="18"/>
    <tableColumn id="2" xr3:uid="{A77B12A9-79D6-4A73-ACF9-AEFBDF4B6EAC}" uniqueName="2" name="EmpID" queryTableFieldId="2"/>
    <tableColumn id="3" xr3:uid="{8022AFF2-138F-43EF-A725-DF6B40C53BFA}" uniqueName="3" name="MarriedID" queryTableFieldId="3"/>
    <tableColumn id="4" xr3:uid="{7B1467F1-0935-483E-8E1A-F999D157B51F}" uniqueName="4" name="MaritalStatusID" queryTableFieldId="4"/>
    <tableColumn id="5" xr3:uid="{BC8864CA-D147-477A-AAA1-ACE388F96042}" uniqueName="5" name="GenderID" queryTableFieldId="5"/>
    <tableColumn id="6" xr3:uid="{4D4C2B2E-7515-4E30-9700-3B38C9005050}" uniqueName="6" name="EmpStatusID" queryTableFieldId="6"/>
    <tableColumn id="7" xr3:uid="{C208B2C6-58CB-4C9A-9FAE-8C3E356FE590}" uniqueName="7" name="DeptID" queryTableFieldId="7"/>
    <tableColumn id="8" xr3:uid="{E7A46B38-18D2-4D53-9903-30B79DCB4626}" uniqueName="8" name="PerfScoreID" queryTableFieldId="8"/>
    <tableColumn id="9" xr3:uid="{B197C28E-6A38-4988-8662-C8F6B6662BCE}" uniqueName="9" name="FromDiversityJobFairID" queryTableFieldId="9"/>
    <tableColumn id="10" xr3:uid="{D3CE993E-18C8-4BC8-8320-8CC7AC4B908A}" uniqueName="10" name="Salary" queryTableFieldId="10"/>
    <tableColumn id="11" xr3:uid="{DBFC7DC1-6626-42E6-975A-242A635EFAE1}" uniqueName="11" name="Termd" queryTableFieldId="11"/>
    <tableColumn id="12" xr3:uid="{A31252E7-4AFB-4D0D-90BA-ED4E0CB9C09E}" uniqueName="12" name="PositionID" queryTableFieldId="12"/>
    <tableColumn id="13" xr3:uid="{8BAA7402-0120-4FFC-9D65-E33A68C9CEA7}" uniqueName="13" name="Position" queryTableFieldId="13" dataDxfId="17"/>
    <tableColumn id="14" xr3:uid="{0CB4CFE2-D7B5-46F6-8D79-884C64C74FE2}" uniqueName="14" name="State" queryTableFieldId="14" dataDxfId="16"/>
    <tableColumn id="15" xr3:uid="{6D86CBC6-CF90-4CCF-931F-25BAAC120F2D}" uniqueName="15" name="Zip" queryTableFieldId="15"/>
    <tableColumn id="16" xr3:uid="{7152CB2C-5852-445C-AEF0-FAB70613861D}" uniqueName="16" name="DOB" queryTableFieldId="16" dataDxfId="15"/>
    <tableColumn id="17" xr3:uid="{AADF3521-CD22-4547-977A-232CB0A59DC6}" uniqueName="17" name="Age Group" queryTableFieldId="17"/>
    <tableColumn id="18" xr3:uid="{E711DCF9-A6A3-4659-A756-793114D1A64F}" uniqueName="18" name="Sex" queryTableFieldId="18" dataDxfId="14"/>
    <tableColumn id="19" xr3:uid="{A55C07B7-C00D-40A6-94D3-773C38BAFFC3}" uniqueName="19" name="MaritalDesc" queryTableFieldId="19" dataDxfId="13"/>
    <tableColumn id="20" xr3:uid="{62463B14-F8F1-4712-95CB-9CAB3286B3EE}" uniqueName="20" name="CitizenDesc" queryTableFieldId="20" dataDxfId="12"/>
    <tableColumn id="21" xr3:uid="{163396DF-5F5C-4DD4-857F-87DBB37AA1DD}" uniqueName="21" name="HispanicLatino" queryTableFieldId="21" dataDxfId="11"/>
    <tableColumn id="22" xr3:uid="{7EAE920E-1352-4FF2-8878-F7BF3A6F69D2}" uniqueName="22" name="RaceDesc" queryTableFieldId="22" dataDxfId="10"/>
    <tableColumn id="23" xr3:uid="{9FFC0553-F3D0-421D-8456-E39E3D839DD4}" uniqueName="23" name="DateofHire" queryTableFieldId="23" dataDxfId="9"/>
    <tableColumn id="24" xr3:uid="{5426CDE4-B898-4FB9-9D64-C0D3DA3F2691}" uniqueName="24" name="DateofTermination" queryTableFieldId="24" dataDxfId="8"/>
    <tableColumn id="25" xr3:uid="{539D7DE1-F16B-4EE8-B57B-65DCC9999F31}" uniqueName="25" name="TermReason" queryTableFieldId="25" dataDxfId="7"/>
    <tableColumn id="26" xr3:uid="{A505B79C-382C-4BA7-9E7D-C2B7533B9F61}" uniqueName="26" name="EmploymentStatus" queryTableFieldId="26" dataDxfId="6"/>
    <tableColumn id="27" xr3:uid="{FCFBA7E3-7D0D-4A91-ADD7-3E770A2C7356}" uniqueName="27" name="Department" queryTableFieldId="27" dataDxfId="5"/>
    <tableColumn id="28" xr3:uid="{A4BCF88E-9ED1-4037-AE28-3D8A2070A7AE}" uniqueName="28" name="ManagerName" queryTableFieldId="28" dataDxfId="4"/>
    <tableColumn id="29" xr3:uid="{707E56B6-1987-482B-BA6B-E5CCE850B792}" uniqueName="29" name="RecruitmentSource" queryTableFieldId="29" dataDxfId="3"/>
    <tableColumn id="30" xr3:uid="{D0B2C4AD-4C73-4A52-A2C3-41FC7F953BF6}" uniqueName="30" name="PerformanceScore" queryTableFieldId="30" dataDxfId="2"/>
    <tableColumn id="31" xr3:uid="{8811F2BD-F0B3-4E5C-A4A1-0C26873936E0}" uniqueName="31" name="EngagementSurvey" queryTableFieldId="31"/>
    <tableColumn id="32" xr3:uid="{465A8BEE-B930-435A-BBD0-B7A34A1B70E2}" uniqueName="32" name="EmpSatisfaction" queryTableFieldId="32"/>
    <tableColumn id="33" xr3:uid="{85CA61B0-7965-42A9-B7F8-9E0FCA840571}" uniqueName="33" name="SpecialProjectsCount" queryTableFieldId="33"/>
    <tableColumn id="34" xr3:uid="{F651336C-ABFB-4AD1-ACF5-9A6CBA9A7490}" uniqueName="34" name="LastPerformanceReview_Date" queryTableFieldId="34" dataDxfId="1"/>
    <tableColumn id="35" xr3:uid="{6EF2373F-9F70-48D1-AFF8-90FD3B3FA594}" uniqueName="35" name="Absences" queryTableFieldId="35"/>
    <tableColumn id="36" xr3:uid="{5AB0DFC4-1327-4282-9E9D-181F2F392664}" uniqueName="36" name="Age" queryTableFieldId="36"/>
    <tableColumn id="37" xr3:uid="{BAF1FA9C-8381-4D34-8A81-7B9B66F5D8DD}" uniqueName="37" name="Tenure_Years" queryTableFieldId="37"/>
    <tableColumn id="38" xr3:uid="{835A6716-C3AF-47ED-8A18-CE4241528D9C}" uniqueName="38" name="ManagerID" queryTableFieldId="38"/>
    <tableColumn id="39" xr3:uid="{F594D7B4-611A-44E6-ACD8-108CDE5C9765}" uniqueName="39" name="Term_Year" queryTableFieldId="39" dataDxfId="0">
      <calculatedColumnFormula>IF(Cleaned_Data[[#This Row],[DateofTermination]]="","",YEAR(Cleaned_Data[[#This Row],[DateofTermination]]))</calculatedColumnFormula>
    </tableColumn>
    <tableColumn id="40" xr3:uid="{4EFC8D51-8860-4A38-9CB2-06C09F6E41C5}" uniqueName="40" name="Head_Count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0073-8F3A-4EDE-83C8-630252A6DFF2}">
  <dimension ref="A1:AN312"/>
  <sheetViews>
    <sheetView tabSelected="1" workbookViewId="0">
      <selection activeCell="D21" sqref="D21"/>
    </sheetView>
  </sheetViews>
  <sheetFormatPr defaultRowHeight="14.5" x14ac:dyDescent="0.35"/>
  <cols>
    <col min="1" max="1" width="21.1796875" bestFit="1" customWidth="1"/>
    <col min="2" max="2" width="8.6328125" bestFit="1" customWidth="1"/>
    <col min="3" max="3" width="11.26953125" bestFit="1" customWidth="1"/>
    <col min="4" max="4" width="16.1796875" bestFit="1" customWidth="1"/>
    <col min="5" max="5" width="11" bestFit="1" customWidth="1"/>
    <col min="6" max="6" width="14" bestFit="1" customWidth="1"/>
    <col min="7" max="7" width="8.90625" bestFit="1" customWidth="1"/>
    <col min="8" max="8" width="13" bestFit="1" customWidth="1"/>
    <col min="9" max="9" width="22.6328125" bestFit="1" customWidth="1"/>
    <col min="10" max="10" width="8.26953125" bestFit="1" customWidth="1"/>
    <col min="11" max="11" width="8.36328125" bestFit="1" customWidth="1"/>
    <col min="12" max="12" width="11.7265625" bestFit="1" customWidth="1"/>
    <col min="13" max="13" width="25.36328125" bestFit="1" customWidth="1"/>
    <col min="14" max="14" width="7.453125" bestFit="1" customWidth="1"/>
    <col min="15" max="15" width="5.81640625" bestFit="1" customWidth="1"/>
    <col min="16" max="16" width="10.08984375" bestFit="1" customWidth="1"/>
    <col min="17" max="17" width="11.54296875" bestFit="1" customWidth="1"/>
    <col min="18" max="18" width="6.81640625" bestFit="1" customWidth="1"/>
    <col min="19" max="19" width="13.08984375" bestFit="1" customWidth="1"/>
    <col min="20" max="20" width="15.90625" bestFit="1" customWidth="1"/>
    <col min="21" max="21" width="15.81640625" bestFit="1" customWidth="1"/>
    <col min="22" max="22" width="27.453125" bestFit="1" customWidth="1"/>
    <col min="23" max="23" width="12.08984375" bestFit="1" customWidth="1"/>
    <col min="24" max="24" width="18.81640625" bestFit="1" customWidth="1"/>
    <col min="25" max="25" width="25.6328125" bestFit="1" customWidth="1"/>
    <col min="26" max="26" width="19.08984375" bestFit="1" customWidth="1"/>
    <col min="27" max="27" width="17.81640625" bestFit="1" customWidth="1"/>
    <col min="28" max="28" width="16.36328125" bestFit="1" customWidth="1"/>
    <col min="29" max="29" width="20.81640625" bestFit="1" customWidth="1"/>
    <col min="30" max="30" width="18.6328125" bestFit="1" customWidth="1"/>
    <col min="31" max="31" width="19.08984375" bestFit="1" customWidth="1"/>
    <col min="32" max="32" width="17" bestFit="1" customWidth="1"/>
    <col min="33" max="33" width="21.453125" bestFit="1" customWidth="1"/>
    <col min="34" max="34" width="28.36328125" bestFit="1" customWidth="1"/>
    <col min="35" max="35" width="11.1796875" bestFit="1" customWidth="1"/>
    <col min="36" max="36" width="6.08984375" bestFit="1" customWidth="1"/>
    <col min="37" max="37" width="14.26953125" bestFit="1" customWidth="1"/>
    <col min="38" max="38" width="12" bestFit="1" customWidth="1"/>
    <col min="39" max="39" width="11.81640625" bestFit="1" customWidth="1"/>
    <col min="40" max="40" width="13.363281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41</v>
      </c>
      <c r="N2" t="s">
        <v>42</v>
      </c>
      <c r="O2">
        <v>1960</v>
      </c>
      <c r="P2" s="1">
        <v>30596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s="1">
        <v>40670</v>
      </c>
      <c r="X2" s="1"/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>
        <v>4.5999999999999996</v>
      </c>
      <c r="AF2">
        <v>5</v>
      </c>
      <c r="AG2">
        <v>0</v>
      </c>
      <c r="AH2" s="1">
        <v>43482</v>
      </c>
      <c r="AI2">
        <v>1</v>
      </c>
      <c r="AJ2">
        <v>36</v>
      </c>
      <c r="AK2">
        <v>9</v>
      </c>
      <c r="AL2">
        <v>22</v>
      </c>
      <c r="AM2" t="str">
        <f>IF(Cleaned_Data[[#This Row],[DateofTermination]]="","",YEAR(Cleaned_Data[[#This Row],[DateofTermination]]))</f>
        <v/>
      </c>
      <c r="AN2">
        <v>1</v>
      </c>
    </row>
    <row r="3" spans="1:40" x14ac:dyDescent="0.35">
      <c r="A3" t="s">
        <v>55</v>
      </c>
      <c r="B3">
        <v>10066</v>
      </c>
      <c r="C3">
        <v>0</v>
      </c>
      <c r="D3">
        <v>2</v>
      </c>
      <c r="E3">
        <v>1</v>
      </c>
      <c r="F3">
        <v>5</v>
      </c>
      <c r="G3">
        <v>5</v>
      </c>
      <c r="H3">
        <v>3</v>
      </c>
      <c r="I3">
        <v>0</v>
      </c>
      <c r="J3">
        <v>52505</v>
      </c>
      <c r="K3">
        <v>1</v>
      </c>
      <c r="L3">
        <v>19</v>
      </c>
      <c r="M3" t="s">
        <v>41</v>
      </c>
      <c r="N3" t="s">
        <v>42</v>
      </c>
      <c r="O3">
        <v>2747</v>
      </c>
      <c r="P3" s="1">
        <v>30552</v>
      </c>
      <c r="Q3" t="s">
        <v>43</v>
      </c>
      <c r="R3" t="s">
        <v>44</v>
      </c>
      <c r="S3" t="s">
        <v>56</v>
      </c>
      <c r="T3" t="s">
        <v>46</v>
      </c>
      <c r="U3" t="s">
        <v>47</v>
      </c>
      <c r="V3" t="s">
        <v>48</v>
      </c>
      <c r="W3" s="1">
        <v>41176</v>
      </c>
      <c r="X3" s="1">
        <v>42890</v>
      </c>
      <c r="Y3" t="s">
        <v>57</v>
      </c>
      <c r="Z3" t="s">
        <v>58</v>
      </c>
      <c r="AA3" t="s">
        <v>51</v>
      </c>
      <c r="AB3" t="s">
        <v>52</v>
      </c>
      <c r="AC3" t="s">
        <v>59</v>
      </c>
      <c r="AD3" t="s">
        <v>60</v>
      </c>
      <c r="AE3">
        <v>5</v>
      </c>
      <c r="AF3">
        <v>5</v>
      </c>
      <c r="AG3">
        <v>0</v>
      </c>
      <c r="AH3" s="1">
        <v>42769</v>
      </c>
      <c r="AI3">
        <v>1</v>
      </c>
      <c r="AJ3">
        <v>34</v>
      </c>
      <c r="AK3">
        <v>5</v>
      </c>
      <c r="AL3">
        <v>22</v>
      </c>
      <c r="AM3">
        <f>IF(Cleaned_Data[[#This Row],[DateofTermination]]="","",YEAR(Cleaned_Data[[#This Row],[DateofTermination]]))</f>
        <v>2017</v>
      </c>
      <c r="AN3">
        <v>1</v>
      </c>
    </row>
    <row r="4" spans="1:40" x14ac:dyDescent="0.35">
      <c r="A4" t="s">
        <v>61</v>
      </c>
      <c r="B4">
        <v>10084</v>
      </c>
      <c r="C4">
        <v>1</v>
      </c>
      <c r="D4">
        <v>1</v>
      </c>
      <c r="E4">
        <v>1</v>
      </c>
      <c r="F4">
        <v>5</v>
      </c>
      <c r="G4">
        <v>3</v>
      </c>
      <c r="H4">
        <v>3</v>
      </c>
      <c r="I4">
        <v>0</v>
      </c>
      <c r="J4">
        <v>104437</v>
      </c>
      <c r="K4">
        <v>1</v>
      </c>
      <c r="L4">
        <v>27</v>
      </c>
      <c r="M4" t="s">
        <v>62</v>
      </c>
      <c r="N4" t="s">
        <v>42</v>
      </c>
      <c r="O4">
        <v>2148</v>
      </c>
      <c r="P4" s="1">
        <v>27519</v>
      </c>
      <c r="Q4" t="s">
        <v>43</v>
      </c>
      <c r="R4" t="s">
        <v>44</v>
      </c>
      <c r="S4" t="s">
        <v>63</v>
      </c>
      <c r="T4" t="s">
        <v>46</v>
      </c>
      <c r="U4" t="s">
        <v>47</v>
      </c>
      <c r="V4" t="s">
        <v>48</v>
      </c>
      <c r="W4" s="1">
        <v>42093</v>
      </c>
      <c r="X4" s="1">
        <v>42537</v>
      </c>
      <c r="Y4" t="s">
        <v>64</v>
      </c>
      <c r="Z4" t="s">
        <v>58</v>
      </c>
      <c r="AA4" t="s">
        <v>65</v>
      </c>
      <c r="AB4" t="s">
        <v>66</v>
      </c>
      <c r="AC4" t="s">
        <v>67</v>
      </c>
      <c r="AD4" t="s">
        <v>60</v>
      </c>
      <c r="AE4">
        <v>4.96</v>
      </c>
      <c r="AF4">
        <v>3</v>
      </c>
      <c r="AG4">
        <v>6</v>
      </c>
      <c r="AH4" s="1">
        <v>42424</v>
      </c>
      <c r="AI4">
        <v>17</v>
      </c>
      <c r="AJ4">
        <v>41</v>
      </c>
      <c r="AK4">
        <v>1</v>
      </c>
      <c r="AL4">
        <v>4</v>
      </c>
      <c r="AM4">
        <f>IF(Cleaned_Data[[#This Row],[DateofTermination]]="","",YEAR(Cleaned_Data[[#This Row],[DateofTermination]]))</f>
        <v>2016</v>
      </c>
      <c r="AN4">
        <v>1</v>
      </c>
    </row>
    <row r="5" spans="1:40" x14ac:dyDescent="0.35">
      <c r="A5" t="s">
        <v>68</v>
      </c>
      <c r="B5">
        <v>10012</v>
      </c>
      <c r="C5">
        <v>0</v>
      </c>
      <c r="D5">
        <v>2</v>
      </c>
      <c r="E5">
        <v>1</v>
      </c>
      <c r="F5">
        <v>1</v>
      </c>
      <c r="G5">
        <v>3</v>
      </c>
      <c r="H5">
        <v>4</v>
      </c>
      <c r="I5">
        <v>1</v>
      </c>
      <c r="J5">
        <v>92328</v>
      </c>
      <c r="K5">
        <v>0</v>
      </c>
      <c r="L5">
        <v>9</v>
      </c>
      <c r="M5" t="s">
        <v>69</v>
      </c>
      <c r="N5" t="s">
        <v>70</v>
      </c>
      <c r="O5">
        <v>78230</v>
      </c>
      <c r="P5" s="1">
        <v>33109</v>
      </c>
      <c r="Q5" t="s">
        <v>43</v>
      </c>
      <c r="R5" t="s">
        <v>44</v>
      </c>
      <c r="S5" t="s">
        <v>56</v>
      </c>
      <c r="T5" t="s">
        <v>46</v>
      </c>
      <c r="U5" t="s">
        <v>47</v>
      </c>
      <c r="V5" t="s">
        <v>71</v>
      </c>
      <c r="W5" s="1">
        <v>41923</v>
      </c>
      <c r="X5" s="1"/>
      <c r="Y5" t="s">
        <v>49</v>
      </c>
      <c r="Z5" t="s">
        <v>50</v>
      </c>
      <c r="AA5" t="s">
        <v>65</v>
      </c>
      <c r="AB5" t="s">
        <v>66</v>
      </c>
      <c r="AC5" t="s">
        <v>72</v>
      </c>
      <c r="AD5" t="s">
        <v>54</v>
      </c>
      <c r="AE5">
        <v>4.28</v>
      </c>
      <c r="AF5">
        <v>4</v>
      </c>
      <c r="AG5">
        <v>5</v>
      </c>
      <c r="AH5" s="1">
        <v>43521</v>
      </c>
      <c r="AI5">
        <v>9</v>
      </c>
      <c r="AJ5">
        <v>29</v>
      </c>
      <c r="AK5">
        <v>5</v>
      </c>
      <c r="AL5">
        <v>4</v>
      </c>
      <c r="AM5" t="str">
        <f>IF(Cleaned_Data[[#This Row],[DateofTermination]]="","",YEAR(Cleaned_Data[[#This Row],[DateofTermination]]))</f>
        <v/>
      </c>
      <c r="AN5">
        <v>1</v>
      </c>
    </row>
    <row r="6" spans="1:40" x14ac:dyDescent="0.35">
      <c r="A6" t="s">
        <v>73</v>
      </c>
      <c r="B6">
        <v>10245</v>
      </c>
      <c r="C6">
        <v>0</v>
      </c>
      <c r="D6">
        <v>0</v>
      </c>
      <c r="E6">
        <v>0</v>
      </c>
      <c r="F6">
        <v>4</v>
      </c>
      <c r="G6">
        <v>3</v>
      </c>
      <c r="H6">
        <v>3</v>
      </c>
      <c r="I6">
        <v>0</v>
      </c>
      <c r="J6">
        <v>110000</v>
      </c>
      <c r="K6">
        <v>1</v>
      </c>
      <c r="L6">
        <v>8</v>
      </c>
      <c r="M6" t="s">
        <v>74</v>
      </c>
      <c r="N6" t="s">
        <v>42</v>
      </c>
      <c r="O6">
        <v>2026</v>
      </c>
      <c r="P6" s="1">
        <v>30394</v>
      </c>
      <c r="Q6" t="s">
        <v>43</v>
      </c>
      <c r="R6" t="s">
        <v>75</v>
      </c>
      <c r="S6" t="s">
        <v>45</v>
      </c>
      <c r="T6" t="s">
        <v>46</v>
      </c>
      <c r="U6" t="s">
        <v>76</v>
      </c>
      <c r="V6" t="s">
        <v>48</v>
      </c>
      <c r="W6" s="1">
        <v>41827</v>
      </c>
      <c r="X6" s="1">
        <v>42347</v>
      </c>
      <c r="Y6" t="s">
        <v>77</v>
      </c>
      <c r="Z6" t="s">
        <v>78</v>
      </c>
      <c r="AA6" t="s">
        <v>65</v>
      </c>
      <c r="AB6" t="s">
        <v>66</v>
      </c>
      <c r="AC6" t="s">
        <v>79</v>
      </c>
      <c r="AD6" t="s">
        <v>60</v>
      </c>
      <c r="AE6">
        <v>4.5</v>
      </c>
      <c r="AF6">
        <v>4</v>
      </c>
      <c r="AG6">
        <v>5</v>
      </c>
      <c r="AH6" s="1">
        <v>42019</v>
      </c>
      <c r="AI6">
        <v>8</v>
      </c>
      <c r="AJ6">
        <v>33</v>
      </c>
      <c r="AK6">
        <v>1</v>
      </c>
      <c r="AL6">
        <v>4</v>
      </c>
      <c r="AM6">
        <f>IF(Cleaned_Data[[#This Row],[DateofTermination]]="","",YEAR(Cleaned_Data[[#This Row],[DateofTermination]]))</f>
        <v>2015</v>
      </c>
      <c r="AN6">
        <v>1</v>
      </c>
    </row>
    <row r="7" spans="1:40" x14ac:dyDescent="0.35">
      <c r="A7" t="s">
        <v>80</v>
      </c>
      <c r="B7">
        <v>10196</v>
      </c>
      <c r="C7">
        <v>1</v>
      </c>
      <c r="D7">
        <v>1</v>
      </c>
      <c r="E7">
        <v>0</v>
      </c>
      <c r="F7">
        <v>5</v>
      </c>
      <c r="G7">
        <v>5</v>
      </c>
      <c r="H7">
        <v>3</v>
      </c>
      <c r="I7">
        <v>0</v>
      </c>
      <c r="J7">
        <v>64955</v>
      </c>
      <c r="K7">
        <v>1</v>
      </c>
      <c r="L7">
        <v>20</v>
      </c>
      <c r="M7" t="s">
        <v>81</v>
      </c>
      <c r="N7" t="s">
        <v>42</v>
      </c>
      <c r="O7">
        <v>1810</v>
      </c>
      <c r="P7" s="1">
        <v>36057</v>
      </c>
      <c r="Q7" t="s">
        <v>43</v>
      </c>
      <c r="R7" t="s">
        <v>75</v>
      </c>
      <c r="S7" t="s">
        <v>63</v>
      </c>
      <c r="T7" t="s">
        <v>46</v>
      </c>
      <c r="U7" t="s">
        <v>47</v>
      </c>
      <c r="V7" t="s">
        <v>48</v>
      </c>
      <c r="W7" s="1">
        <v>40670</v>
      </c>
      <c r="X7" s="1">
        <v>41176</v>
      </c>
      <c r="Y7" t="s">
        <v>82</v>
      </c>
      <c r="Z7" t="s">
        <v>58</v>
      </c>
      <c r="AA7" t="s">
        <v>51</v>
      </c>
      <c r="AB7" t="s">
        <v>83</v>
      </c>
      <c r="AC7" t="s">
        <v>53</v>
      </c>
      <c r="AD7" t="s">
        <v>60</v>
      </c>
      <c r="AE7">
        <v>3.02</v>
      </c>
      <c r="AF7">
        <v>3</v>
      </c>
      <c r="AG7">
        <v>0</v>
      </c>
      <c r="AH7" s="1">
        <v>41044</v>
      </c>
      <c r="AI7">
        <v>3</v>
      </c>
      <c r="AJ7">
        <v>14</v>
      </c>
      <c r="AK7">
        <v>1</v>
      </c>
      <c r="AL7">
        <v>20</v>
      </c>
      <c r="AM7">
        <f>IF(Cleaned_Data[[#This Row],[DateofTermination]]="","",YEAR(Cleaned_Data[[#This Row],[DateofTermination]]))</f>
        <v>2012</v>
      </c>
      <c r="AN7">
        <v>1</v>
      </c>
    </row>
    <row r="8" spans="1:40" x14ac:dyDescent="0.35">
      <c r="A8" t="s">
        <v>84</v>
      </c>
      <c r="B8">
        <v>10242</v>
      </c>
      <c r="C8">
        <v>1</v>
      </c>
      <c r="D8">
        <v>1</v>
      </c>
      <c r="E8">
        <v>1</v>
      </c>
      <c r="F8">
        <v>5</v>
      </c>
      <c r="G8">
        <v>5</v>
      </c>
      <c r="H8">
        <v>3</v>
      </c>
      <c r="I8">
        <v>1</v>
      </c>
      <c r="J8">
        <v>47211</v>
      </c>
      <c r="K8">
        <v>1</v>
      </c>
      <c r="L8">
        <v>19</v>
      </c>
      <c r="M8" t="s">
        <v>41</v>
      </c>
      <c r="N8" t="s">
        <v>42</v>
      </c>
      <c r="O8">
        <v>2062</v>
      </c>
      <c r="P8" s="1">
        <v>23588</v>
      </c>
      <c r="Q8" t="s">
        <v>85</v>
      </c>
      <c r="R8" t="s">
        <v>44</v>
      </c>
      <c r="S8" t="s">
        <v>63</v>
      </c>
      <c r="T8" t="s">
        <v>46</v>
      </c>
      <c r="U8" t="s">
        <v>76</v>
      </c>
      <c r="V8" t="s">
        <v>71</v>
      </c>
      <c r="W8" s="1">
        <v>40943</v>
      </c>
      <c r="X8" s="1">
        <v>42632</v>
      </c>
      <c r="Y8" t="s">
        <v>86</v>
      </c>
      <c r="Z8" t="s">
        <v>58</v>
      </c>
      <c r="AA8" t="s">
        <v>51</v>
      </c>
      <c r="AB8" t="s">
        <v>83</v>
      </c>
      <c r="AC8" t="s">
        <v>72</v>
      </c>
      <c r="AD8" t="s">
        <v>60</v>
      </c>
      <c r="AE8">
        <v>4.2</v>
      </c>
      <c r="AF8">
        <v>3</v>
      </c>
      <c r="AG8">
        <v>0</v>
      </c>
      <c r="AH8" s="1">
        <v>42526</v>
      </c>
      <c r="AI8">
        <v>15</v>
      </c>
      <c r="AJ8">
        <v>52</v>
      </c>
      <c r="AK8">
        <v>5</v>
      </c>
      <c r="AL8">
        <v>20</v>
      </c>
      <c r="AM8">
        <f>IF(Cleaned_Data[[#This Row],[DateofTermination]]="","",YEAR(Cleaned_Data[[#This Row],[DateofTermination]]))</f>
        <v>2016</v>
      </c>
      <c r="AN8">
        <v>1</v>
      </c>
    </row>
    <row r="9" spans="1:40" x14ac:dyDescent="0.35">
      <c r="A9" t="s">
        <v>87</v>
      </c>
      <c r="B9">
        <v>10088</v>
      </c>
      <c r="C9">
        <v>1</v>
      </c>
      <c r="D9">
        <v>1</v>
      </c>
      <c r="E9">
        <v>0</v>
      </c>
      <c r="F9">
        <v>1</v>
      </c>
      <c r="G9">
        <v>5</v>
      </c>
      <c r="H9">
        <v>3</v>
      </c>
      <c r="I9">
        <v>0</v>
      </c>
      <c r="J9">
        <v>64991</v>
      </c>
      <c r="K9">
        <v>0</v>
      </c>
      <c r="L9">
        <v>19</v>
      </c>
      <c r="M9" t="s">
        <v>41</v>
      </c>
      <c r="N9" t="s">
        <v>42</v>
      </c>
      <c r="O9">
        <v>1886</v>
      </c>
      <c r="P9" s="1">
        <v>32413</v>
      </c>
      <c r="Q9" t="s">
        <v>43</v>
      </c>
      <c r="R9" t="s">
        <v>75</v>
      </c>
      <c r="S9" t="s">
        <v>63</v>
      </c>
      <c r="T9" t="s">
        <v>46</v>
      </c>
      <c r="U9" t="s">
        <v>47</v>
      </c>
      <c r="V9" t="s">
        <v>48</v>
      </c>
      <c r="W9" s="1">
        <v>39630</v>
      </c>
      <c r="X9" s="1"/>
      <c r="Y9" t="s">
        <v>49</v>
      </c>
      <c r="Z9" t="s">
        <v>50</v>
      </c>
      <c r="AA9" t="s">
        <v>51</v>
      </c>
      <c r="AB9" t="s">
        <v>88</v>
      </c>
      <c r="AC9" t="s">
        <v>67</v>
      </c>
      <c r="AD9" t="s">
        <v>60</v>
      </c>
      <c r="AE9">
        <v>4.84</v>
      </c>
      <c r="AF9">
        <v>5</v>
      </c>
      <c r="AG9">
        <v>0</v>
      </c>
      <c r="AH9" s="1">
        <v>43525</v>
      </c>
      <c r="AI9">
        <v>15</v>
      </c>
      <c r="AJ9">
        <v>31</v>
      </c>
      <c r="AK9">
        <v>11</v>
      </c>
      <c r="AL9">
        <v>16</v>
      </c>
      <c r="AM9" t="str">
        <f>IF(Cleaned_Data[[#This Row],[DateofTermination]]="","",YEAR(Cleaned_Data[[#This Row],[DateofTermination]]))</f>
        <v/>
      </c>
      <c r="AN9">
        <v>1</v>
      </c>
    </row>
    <row r="10" spans="1:40" x14ac:dyDescent="0.35">
      <c r="A10" t="s">
        <v>89</v>
      </c>
      <c r="B10">
        <v>10055</v>
      </c>
      <c r="C10">
        <v>0</v>
      </c>
      <c r="D10">
        <v>0</v>
      </c>
      <c r="E10">
        <v>0</v>
      </c>
      <c r="F10">
        <v>1</v>
      </c>
      <c r="G10">
        <v>5</v>
      </c>
      <c r="H10">
        <v>3</v>
      </c>
      <c r="I10">
        <v>0</v>
      </c>
      <c r="J10">
        <v>59026</v>
      </c>
      <c r="K10">
        <v>0</v>
      </c>
      <c r="L10">
        <v>19</v>
      </c>
      <c r="M10" t="s">
        <v>41</v>
      </c>
      <c r="N10" t="s">
        <v>42</v>
      </c>
      <c r="O10">
        <v>1915</v>
      </c>
      <c r="P10" s="1">
        <v>27745</v>
      </c>
      <c r="Q10" t="s">
        <v>43</v>
      </c>
      <c r="R10" t="s">
        <v>75</v>
      </c>
      <c r="S10" t="s">
        <v>45</v>
      </c>
      <c r="T10" t="s">
        <v>90</v>
      </c>
      <c r="U10" t="s">
        <v>47</v>
      </c>
      <c r="V10" t="s">
        <v>48</v>
      </c>
      <c r="W10" s="1">
        <v>40637</v>
      </c>
      <c r="X10" s="1"/>
      <c r="Y10" t="s">
        <v>49</v>
      </c>
      <c r="Z10" t="s">
        <v>50</v>
      </c>
      <c r="AA10" t="s">
        <v>51</v>
      </c>
      <c r="AB10" t="s">
        <v>88</v>
      </c>
      <c r="AC10" t="s">
        <v>79</v>
      </c>
      <c r="AD10" t="s">
        <v>60</v>
      </c>
      <c r="AE10">
        <v>5</v>
      </c>
      <c r="AF10">
        <v>5</v>
      </c>
      <c r="AG10">
        <v>0</v>
      </c>
      <c r="AH10" s="1">
        <v>43479</v>
      </c>
      <c r="AI10">
        <v>12</v>
      </c>
      <c r="AJ10">
        <v>44</v>
      </c>
      <c r="AK10">
        <v>9</v>
      </c>
      <c r="AL10">
        <v>16</v>
      </c>
      <c r="AM10" t="str">
        <f>IF(Cleaned_Data[[#This Row],[DateofTermination]]="","",YEAR(Cleaned_Data[[#This Row],[DateofTermination]]))</f>
        <v/>
      </c>
      <c r="AN10">
        <v>1</v>
      </c>
    </row>
    <row r="11" spans="1:40" x14ac:dyDescent="0.35">
      <c r="A11" t="s">
        <v>91</v>
      </c>
      <c r="B11">
        <v>10069</v>
      </c>
      <c r="C11">
        <v>0</v>
      </c>
      <c r="D11">
        <v>2</v>
      </c>
      <c r="E11">
        <v>0</v>
      </c>
      <c r="F11">
        <v>5</v>
      </c>
      <c r="G11">
        <v>5</v>
      </c>
      <c r="H11">
        <v>3</v>
      </c>
      <c r="I11">
        <v>0</v>
      </c>
      <c r="J11">
        <v>50825</v>
      </c>
      <c r="K11">
        <v>1</v>
      </c>
      <c r="L11">
        <v>19</v>
      </c>
      <c r="M11" t="s">
        <v>41</v>
      </c>
      <c r="N11" t="s">
        <v>42</v>
      </c>
      <c r="O11">
        <v>2169</v>
      </c>
      <c r="P11" s="1">
        <v>32729</v>
      </c>
      <c r="Q11" t="s">
        <v>43</v>
      </c>
      <c r="R11" t="s">
        <v>75</v>
      </c>
      <c r="S11" t="s">
        <v>56</v>
      </c>
      <c r="T11" t="s">
        <v>46</v>
      </c>
      <c r="U11" t="s">
        <v>47</v>
      </c>
      <c r="V11" t="s">
        <v>48</v>
      </c>
      <c r="W11" s="1">
        <v>40854</v>
      </c>
      <c r="X11" s="1">
        <v>42530</v>
      </c>
      <c r="Y11" t="s">
        <v>92</v>
      </c>
      <c r="Z11" t="s">
        <v>58</v>
      </c>
      <c r="AA11" t="s">
        <v>51</v>
      </c>
      <c r="AB11" t="s">
        <v>93</v>
      </c>
      <c r="AC11" t="s">
        <v>79</v>
      </c>
      <c r="AD11" t="s">
        <v>60</v>
      </c>
      <c r="AE11">
        <v>5</v>
      </c>
      <c r="AF11">
        <v>4</v>
      </c>
      <c r="AG11">
        <v>0</v>
      </c>
      <c r="AH11" s="1">
        <v>42371</v>
      </c>
      <c r="AI11">
        <v>2</v>
      </c>
      <c r="AJ11">
        <v>27</v>
      </c>
      <c r="AK11">
        <v>5</v>
      </c>
      <c r="AL11">
        <v>39</v>
      </c>
      <c r="AM11">
        <f>IF(Cleaned_Data[[#This Row],[DateofTermination]]="","",YEAR(Cleaned_Data[[#This Row],[DateofTermination]]))</f>
        <v>2016</v>
      </c>
      <c r="AN11">
        <v>1</v>
      </c>
    </row>
    <row r="12" spans="1:40" x14ac:dyDescent="0.35">
      <c r="A12" t="s">
        <v>94</v>
      </c>
      <c r="B12">
        <v>10277</v>
      </c>
      <c r="C12">
        <v>0</v>
      </c>
      <c r="D12">
        <v>0</v>
      </c>
      <c r="E12">
        <v>1</v>
      </c>
      <c r="F12">
        <v>3</v>
      </c>
      <c r="G12">
        <v>5</v>
      </c>
      <c r="H12">
        <v>3</v>
      </c>
      <c r="I12">
        <v>0</v>
      </c>
      <c r="J12">
        <v>53250</v>
      </c>
      <c r="K12">
        <v>0</v>
      </c>
      <c r="L12">
        <v>19</v>
      </c>
      <c r="M12" t="s">
        <v>41</v>
      </c>
      <c r="N12" t="s">
        <v>42</v>
      </c>
      <c r="O12">
        <v>2452</v>
      </c>
      <c r="P12" s="1">
        <v>28215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95</v>
      </c>
      <c r="W12" s="1">
        <v>41493</v>
      </c>
      <c r="X12" s="1"/>
      <c r="Y12" t="s">
        <v>49</v>
      </c>
      <c r="Z12" t="s">
        <v>50</v>
      </c>
      <c r="AA12" t="s">
        <v>51</v>
      </c>
      <c r="AB12" t="s">
        <v>93</v>
      </c>
      <c r="AC12" t="s">
        <v>53</v>
      </c>
      <c r="AD12" t="s">
        <v>60</v>
      </c>
      <c r="AE12">
        <v>4.2</v>
      </c>
      <c r="AF12">
        <v>4</v>
      </c>
      <c r="AG12">
        <v>0</v>
      </c>
      <c r="AH12" s="1">
        <v>43770</v>
      </c>
      <c r="AI12">
        <v>13</v>
      </c>
      <c r="AJ12">
        <v>43</v>
      </c>
      <c r="AK12">
        <v>6</v>
      </c>
      <c r="AL12">
        <v>39</v>
      </c>
      <c r="AM12" t="str">
        <f>IF(Cleaned_Data[[#This Row],[DateofTermination]]="","",YEAR(Cleaned_Data[[#This Row],[DateofTermination]]))</f>
        <v/>
      </c>
      <c r="AN12">
        <v>1</v>
      </c>
    </row>
    <row r="13" spans="1:40" x14ac:dyDescent="0.35">
      <c r="A13" t="s">
        <v>96</v>
      </c>
      <c r="B13">
        <v>10002</v>
      </c>
      <c r="C13">
        <v>0</v>
      </c>
      <c r="D13">
        <v>0</v>
      </c>
      <c r="E13">
        <v>0</v>
      </c>
      <c r="F13">
        <v>1</v>
      </c>
      <c r="G13">
        <v>5</v>
      </c>
      <c r="H13">
        <v>4</v>
      </c>
      <c r="I13">
        <v>0</v>
      </c>
      <c r="J13">
        <v>57568</v>
      </c>
      <c r="K13">
        <v>0</v>
      </c>
      <c r="L13">
        <v>19</v>
      </c>
      <c r="M13" t="s">
        <v>41</v>
      </c>
      <c r="N13" t="s">
        <v>42</v>
      </c>
      <c r="O13">
        <v>1844</v>
      </c>
      <c r="P13" s="1">
        <v>28267</v>
      </c>
      <c r="Q13" t="s">
        <v>43</v>
      </c>
      <c r="R13" t="s">
        <v>75</v>
      </c>
      <c r="S13" t="s">
        <v>45</v>
      </c>
      <c r="T13" t="s">
        <v>46</v>
      </c>
      <c r="U13" t="s">
        <v>47</v>
      </c>
      <c r="V13" t="s">
        <v>48</v>
      </c>
      <c r="W13" s="1">
        <v>41153</v>
      </c>
      <c r="X13" s="1"/>
      <c r="Y13" t="s">
        <v>49</v>
      </c>
      <c r="Z13" t="s">
        <v>50</v>
      </c>
      <c r="AA13" t="s">
        <v>51</v>
      </c>
      <c r="AB13" t="s">
        <v>97</v>
      </c>
      <c r="AC13" t="s">
        <v>53</v>
      </c>
      <c r="AD13" t="s">
        <v>54</v>
      </c>
      <c r="AE13">
        <v>5</v>
      </c>
      <c r="AF13">
        <v>5</v>
      </c>
      <c r="AG13">
        <v>0</v>
      </c>
      <c r="AH13" s="1">
        <v>43647</v>
      </c>
      <c r="AI13">
        <v>15</v>
      </c>
      <c r="AJ13">
        <v>43</v>
      </c>
      <c r="AK13">
        <v>7</v>
      </c>
      <c r="AL13">
        <v>11</v>
      </c>
      <c r="AM13" t="str">
        <f>IF(Cleaned_Data[[#This Row],[DateofTermination]]="","",YEAR(Cleaned_Data[[#This Row],[DateofTermination]]))</f>
        <v/>
      </c>
      <c r="AN13">
        <v>1</v>
      </c>
    </row>
    <row r="14" spans="1:40" x14ac:dyDescent="0.35">
      <c r="A14" t="s">
        <v>98</v>
      </c>
      <c r="B14">
        <v>10046</v>
      </c>
      <c r="C14">
        <v>0</v>
      </c>
      <c r="D14">
        <v>0</v>
      </c>
      <c r="E14">
        <v>1</v>
      </c>
      <c r="F14">
        <v>1</v>
      </c>
      <c r="G14">
        <v>5</v>
      </c>
      <c r="H14">
        <v>3</v>
      </c>
      <c r="I14">
        <v>0</v>
      </c>
      <c r="J14">
        <v>51044</v>
      </c>
      <c r="K14">
        <v>0</v>
      </c>
      <c r="L14">
        <v>19</v>
      </c>
      <c r="M14" t="s">
        <v>41</v>
      </c>
      <c r="N14" t="s">
        <v>42</v>
      </c>
      <c r="O14">
        <v>2072</v>
      </c>
      <c r="P14" s="1">
        <v>19011</v>
      </c>
      <c r="Q14" t="s">
        <v>85</v>
      </c>
      <c r="R14" t="s">
        <v>44</v>
      </c>
      <c r="S14" t="s">
        <v>45</v>
      </c>
      <c r="T14" t="s">
        <v>46</v>
      </c>
      <c r="U14" t="s">
        <v>76</v>
      </c>
      <c r="V14" t="s">
        <v>48</v>
      </c>
      <c r="W14" s="1">
        <v>40943</v>
      </c>
      <c r="X14" s="1"/>
      <c r="Y14" t="s">
        <v>49</v>
      </c>
      <c r="Z14" t="s">
        <v>50</v>
      </c>
      <c r="AA14" t="s">
        <v>51</v>
      </c>
      <c r="AB14" t="s">
        <v>97</v>
      </c>
      <c r="AC14" t="s">
        <v>79</v>
      </c>
      <c r="AD14" t="s">
        <v>60</v>
      </c>
      <c r="AE14">
        <v>5</v>
      </c>
      <c r="AF14">
        <v>3</v>
      </c>
      <c r="AG14">
        <v>0</v>
      </c>
      <c r="AH14" s="1">
        <v>43479</v>
      </c>
      <c r="AI14">
        <v>13</v>
      </c>
      <c r="AJ14">
        <v>68</v>
      </c>
      <c r="AK14">
        <v>8</v>
      </c>
      <c r="AL14">
        <v>11</v>
      </c>
      <c r="AM14" t="str">
        <f>IF(Cleaned_Data[[#This Row],[DateofTermination]]="","",YEAR(Cleaned_Data[[#This Row],[DateofTermination]]))</f>
        <v/>
      </c>
      <c r="AN14">
        <v>1</v>
      </c>
    </row>
    <row r="15" spans="1:40" x14ac:dyDescent="0.35">
      <c r="A15" t="s">
        <v>99</v>
      </c>
      <c r="B15">
        <v>10194</v>
      </c>
      <c r="C15">
        <v>0</v>
      </c>
      <c r="D15">
        <v>0</v>
      </c>
      <c r="E15">
        <v>0</v>
      </c>
      <c r="F15">
        <v>1</v>
      </c>
      <c r="G15">
        <v>4</v>
      </c>
      <c r="H15">
        <v>3</v>
      </c>
      <c r="I15">
        <v>0</v>
      </c>
      <c r="J15">
        <v>95660</v>
      </c>
      <c r="K15">
        <v>0</v>
      </c>
      <c r="L15">
        <v>24</v>
      </c>
      <c r="M15" t="s">
        <v>100</v>
      </c>
      <c r="N15" t="s">
        <v>42</v>
      </c>
      <c r="O15">
        <v>2110</v>
      </c>
      <c r="P15" s="1">
        <v>28999</v>
      </c>
      <c r="Q15" t="s">
        <v>43</v>
      </c>
      <c r="R15" t="s">
        <v>75</v>
      </c>
      <c r="S15" t="s">
        <v>45</v>
      </c>
      <c r="T15" t="s">
        <v>46</v>
      </c>
      <c r="U15" t="s">
        <v>47</v>
      </c>
      <c r="V15" t="s">
        <v>48</v>
      </c>
      <c r="W15" s="1">
        <v>41923</v>
      </c>
      <c r="X15" s="1"/>
      <c r="Y15" t="s">
        <v>49</v>
      </c>
      <c r="Z15" t="s">
        <v>50</v>
      </c>
      <c r="AA15" t="s">
        <v>101</v>
      </c>
      <c r="AB15" t="s">
        <v>102</v>
      </c>
      <c r="AC15" t="s">
        <v>53</v>
      </c>
      <c r="AD15" t="s">
        <v>60</v>
      </c>
      <c r="AE15">
        <v>3.04</v>
      </c>
      <c r="AF15">
        <v>3</v>
      </c>
      <c r="AG15">
        <v>4</v>
      </c>
      <c r="AH15" s="1">
        <v>43497</v>
      </c>
      <c r="AI15">
        <v>19</v>
      </c>
      <c r="AJ15">
        <v>41</v>
      </c>
      <c r="AK15">
        <v>5</v>
      </c>
      <c r="AL15">
        <v>10</v>
      </c>
      <c r="AM15" t="str">
        <f>IF(Cleaned_Data[[#This Row],[DateofTermination]]="","",YEAR(Cleaned_Data[[#This Row],[DateofTermination]]))</f>
        <v/>
      </c>
      <c r="AN15">
        <v>1</v>
      </c>
    </row>
    <row r="16" spans="1:40" x14ac:dyDescent="0.35">
      <c r="A16" t="s">
        <v>103</v>
      </c>
      <c r="B16">
        <v>10062</v>
      </c>
      <c r="C16">
        <v>0</v>
      </c>
      <c r="D16">
        <v>4</v>
      </c>
      <c r="E16">
        <v>1</v>
      </c>
      <c r="F16">
        <v>1</v>
      </c>
      <c r="G16">
        <v>5</v>
      </c>
      <c r="H16">
        <v>3</v>
      </c>
      <c r="I16">
        <v>0</v>
      </c>
      <c r="J16">
        <v>59365</v>
      </c>
      <c r="K16">
        <v>0</v>
      </c>
      <c r="L16">
        <v>19</v>
      </c>
      <c r="M16" t="s">
        <v>41</v>
      </c>
      <c r="N16" t="s">
        <v>42</v>
      </c>
      <c r="O16">
        <v>2199</v>
      </c>
      <c r="P16" s="1">
        <v>30365</v>
      </c>
      <c r="Q16" t="s">
        <v>43</v>
      </c>
      <c r="R16" t="s">
        <v>44</v>
      </c>
      <c r="S16" t="s">
        <v>104</v>
      </c>
      <c r="T16" t="s">
        <v>46</v>
      </c>
      <c r="U16" t="s">
        <v>47</v>
      </c>
      <c r="V16" t="s">
        <v>48</v>
      </c>
      <c r="W16" s="1">
        <v>41547</v>
      </c>
      <c r="X16" s="1"/>
      <c r="Y16" t="s">
        <v>49</v>
      </c>
      <c r="Z16" t="s">
        <v>50</v>
      </c>
      <c r="AA16" t="s">
        <v>51</v>
      </c>
      <c r="AB16" t="s">
        <v>105</v>
      </c>
      <c r="AC16" t="s">
        <v>106</v>
      </c>
      <c r="AD16" t="s">
        <v>60</v>
      </c>
      <c r="AE16">
        <v>5</v>
      </c>
      <c r="AF16">
        <v>4</v>
      </c>
      <c r="AG16">
        <v>0</v>
      </c>
      <c r="AH16" s="1">
        <v>43521</v>
      </c>
      <c r="AI16">
        <v>19</v>
      </c>
      <c r="AJ16">
        <v>37</v>
      </c>
      <c r="AK16">
        <v>6</v>
      </c>
      <c r="AL16">
        <v>19</v>
      </c>
      <c r="AM16" t="str">
        <f>IF(Cleaned_Data[[#This Row],[DateofTermination]]="","",YEAR(Cleaned_Data[[#This Row],[DateofTermination]]))</f>
        <v/>
      </c>
      <c r="AN16">
        <v>1</v>
      </c>
    </row>
    <row r="17" spans="1:40" x14ac:dyDescent="0.35">
      <c r="A17" t="s">
        <v>107</v>
      </c>
      <c r="B17">
        <v>10226</v>
      </c>
      <c r="C17">
        <v>0</v>
      </c>
      <c r="D17">
        <v>2</v>
      </c>
      <c r="E17">
        <v>0</v>
      </c>
      <c r="F17">
        <v>1</v>
      </c>
      <c r="G17">
        <v>5</v>
      </c>
      <c r="H17">
        <v>3</v>
      </c>
      <c r="I17">
        <v>0</v>
      </c>
      <c r="J17">
        <v>64919</v>
      </c>
      <c r="K17">
        <v>0</v>
      </c>
      <c r="L17">
        <v>19</v>
      </c>
      <c r="M17" t="s">
        <v>41</v>
      </c>
      <c r="N17" t="s">
        <v>42</v>
      </c>
      <c r="O17">
        <v>2027</v>
      </c>
      <c r="P17" s="1">
        <v>29112</v>
      </c>
      <c r="Q17" t="s">
        <v>43</v>
      </c>
      <c r="R17" t="s">
        <v>75</v>
      </c>
      <c r="S17" t="s">
        <v>56</v>
      </c>
      <c r="T17" t="s">
        <v>46</v>
      </c>
      <c r="U17" t="s">
        <v>47</v>
      </c>
      <c r="V17" t="s">
        <v>95</v>
      </c>
      <c r="W17" s="1">
        <v>41535</v>
      </c>
      <c r="X17" s="1"/>
      <c r="Y17" t="s">
        <v>49</v>
      </c>
      <c r="Z17" t="s">
        <v>50</v>
      </c>
      <c r="AA17" t="s">
        <v>51</v>
      </c>
      <c r="AB17" t="s">
        <v>105</v>
      </c>
      <c r="AC17" t="s">
        <v>67</v>
      </c>
      <c r="AD17" t="s">
        <v>60</v>
      </c>
      <c r="AE17">
        <v>4.2</v>
      </c>
      <c r="AF17">
        <v>3</v>
      </c>
      <c r="AG17">
        <v>0</v>
      </c>
      <c r="AH17" s="1">
        <v>43739</v>
      </c>
      <c r="AI17">
        <v>2</v>
      </c>
      <c r="AJ17">
        <v>40</v>
      </c>
      <c r="AK17">
        <v>6</v>
      </c>
      <c r="AL17">
        <v>19</v>
      </c>
      <c r="AM17" t="str">
        <f>IF(Cleaned_Data[[#This Row],[DateofTermination]]="","",YEAR(Cleaned_Data[[#This Row],[DateofTermination]]))</f>
        <v/>
      </c>
      <c r="AN17">
        <v>1</v>
      </c>
    </row>
    <row r="18" spans="1:40" x14ac:dyDescent="0.35">
      <c r="A18" t="s">
        <v>108</v>
      </c>
      <c r="B18">
        <v>10114</v>
      </c>
      <c r="C18">
        <v>0</v>
      </c>
      <c r="D18">
        <v>0</v>
      </c>
      <c r="E18">
        <v>0</v>
      </c>
      <c r="F18">
        <v>3</v>
      </c>
      <c r="G18">
        <v>5</v>
      </c>
      <c r="H18">
        <v>3</v>
      </c>
      <c r="I18">
        <v>1</v>
      </c>
      <c r="J18">
        <v>47837</v>
      </c>
      <c r="K18">
        <v>0</v>
      </c>
      <c r="L18">
        <v>19</v>
      </c>
      <c r="M18" t="s">
        <v>41</v>
      </c>
      <c r="N18" t="s">
        <v>42</v>
      </c>
      <c r="O18">
        <v>1902</v>
      </c>
      <c r="P18" s="1">
        <v>29877</v>
      </c>
      <c r="Q18" t="s">
        <v>43</v>
      </c>
      <c r="R18" t="s">
        <v>75</v>
      </c>
      <c r="S18" t="s">
        <v>45</v>
      </c>
      <c r="T18" t="s">
        <v>46</v>
      </c>
      <c r="U18" t="s">
        <v>47</v>
      </c>
      <c r="V18" t="s">
        <v>71</v>
      </c>
      <c r="W18" s="1">
        <v>39971</v>
      </c>
      <c r="X18" s="1"/>
      <c r="Y18" t="s">
        <v>49</v>
      </c>
      <c r="Z18" t="s">
        <v>50</v>
      </c>
      <c r="AA18" t="s">
        <v>51</v>
      </c>
      <c r="AB18" t="s">
        <v>109</v>
      </c>
      <c r="AC18" t="s">
        <v>72</v>
      </c>
      <c r="AD18" t="s">
        <v>60</v>
      </c>
      <c r="AE18">
        <v>4.46</v>
      </c>
      <c r="AF18">
        <v>3</v>
      </c>
      <c r="AG18">
        <v>0</v>
      </c>
      <c r="AH18" s="1">
        <v>43490</v>
      </c>
      <c r="AI18">
        <v>4</v>
      </c>
      <c r="AJ18">
        <v>38</v>
      </c>
      <c r="AK18">
        <v>11</v>
      </c>
      <c r="AL18">
        <v>12</v>
      </c>
      <c r="AM18" t="str">
        <f>IF(Cleaned_Data[[#This Row],[DateofTermination]]="","",YEAR(Cleaned_Data[[#This Row],[DateofTermination]]))</f>
        <v/>
      </c>
      <c r="AN18">
        <v>1</v>
      </c>
    </row>
    <row r="19" spans="1:40" x14ac:dyDescent="0.35">
      <c r="A19" t="s">
        <v>110</v>
      </c>
      <c r="B19">
        <v>10250</v>
      </c>
      <c r="C19">
        <v>0</v>
      </c>
      <c r="D19">
        <v>2</v>
      </c>
      <c r="E19">
        <v>1</v>
      </c>
      <c r="F19">
        <v>1</v>
      </c>
      <c r="G19">
        <v>3</v>
      </c>
      <c r="H19">
        <v>3</v>
      </c>
      <c r="I19">
        <v>0</v>
      </c>
      <c r="J19">
        <v>50178</v>
      </c>
      <c r="K19">
        <v>0</v>
      </c>
      <c r="L19">
        <v>14</v>
      </c>
      <c r="M19" t="s">
        <v>111</v>
      </c>
      <c r="N19" t="s">
        <v>42</v>
      </c>
      <c r="O19">
        <v>1886</v>
      </c>
      <c r="P19" s="1">
        <v>25868</v>
      </c>
      <c r="Q19" t="s">
        <v>43</v>
      </c>
      <c r="R19" t="s">
        <v>44</v>
      </c>
      <c r="S19" t="s">
        <v>56</v>
      </c>
      <c r="T19" t="s">
        <v>46</v>
      </c>
      <c r="U19" t="s">
        <v>47</v>
      </c>
      <c r="V19" t="s">
        <v>48</v>
      </c>
      <c r="W19" s="1">
        <v>42125</v>
      </c>
      <c r="X19" s="1"/>
      <c r="Y19" t="s">
        <v>49</v>
      </c>
      <c r="Z19" t="s">
        <v>50</v>
      </c>
      <c r="AA19" t="s">
        <v>65</v>
      </c>
      <c r="AB19" t="s">
        <v>112</v>
      </c>
      <c r="AC19" t="s">
        <v>67</v>
      </c>
      <c r="AD19" t="s">
        <v>60</v>
      </c>
      <c r="AE19">
        <v>5</v>
      </c>
      <c r="AF19">
        <v>5</v>
      </c>
      <c r="AG19">
        <v>6</v>
      </c>
      <c r="AH19" s="1">
        <v>43514</v>
      </c>
      <c r="AI19">
        <v>16</v>
      </c>
      <c r="AJ19">
        <v>49</v>
      </c>
      <c r="AK19">
        <v>5</v>
      </c>
      <c r="AL19">
        <v>7</v>
      </c>
      <c r="AM19" t="str">
        <f>IF(Cleaned_Data[[#This Row],[DateofTermination]]="","",YEAR(Cleaned_Data[[#This Row],[DateofTermination]]))</f>
        <v/>
      </c>
      <c r="AN19">
        <v>1</v>
      </c>
    </row>
    <row r="20" spans="1:40" x14ac:dyDescent="0.35">
      <c r="A20" t="s">
        <v>113</v>
      </c>
      <c r="B20">
        <v>10252</v>
      </c>
      <c r="C20">
        <v>1</v>
      </c>
      <c r="D20">
        <v>1</v>
      </c>
      <c r="E20">
        <v>0</v>
      </c>
      <c r="F20">
        <v>5</v>
      </c>
      <c r="G20">
        <v>5</v>
      </c>
      <c r="H20">
        <v>3</v>
      </c>
      <c r="I20">
        <v>1</v>
      </c>
      <c r="J20">
        <v>54670</v>
      </c>
      <c r="K20">
        <v>1</v>
      </c>
      <c r="L20">
        <v>19</v>
      </c>
      <c r="M20" t="s">
        <v>41</v>
      </c>
      <c r="N20" t="s">
        <v>42</v>
      </c>
      <c r="O20">
        <v>1902</v>
      </c>
      <c r="P20" s="1">
        <v>33137</v>
      </c>
      <c r="Q20" t="s">
        <v>43</v>
      </c>
      <c r="R20" t="s">
        <v>75</v>
      </c>
      <c r="S20" t="s">
        <v>63</v>
      </c>
      <c r="T20" t="s">
        <v>46</v>
      </c>
      <c r="U20" t="s">
        <v>76</v>
      </c>
      <c r="V20" t="s">
        <v>71</v>
      </c>
      <c r="W20" s="1">
        <v>40817</v>
      </c>
      <c r="X20" s="1">
        <v>43070</v>
      </c>
      <c r="Y20" t="s">
        <v>57</v>
      </c>
      <c r="Z20" t="s">
        <v>58</v>
      </c>
      <c r="AA20" t="s">
        <v>51</v>
      </c>
      <c r="AB20" t="s">
        <v>114</v>
      </c>
      <c r="AC20" t="s">
        <v>72</v>
      </c>
      <c r="AD20" t="s">
        <v>60</v>
      </c>
      <c r="AE20">
        <v>4.2</v>
      </c>
      <c r="AF20">
        <v>4</v>
      </c>
      <c r="AG20">
        <v>0</v>
      </c>
      <c r="AH20" s="1">
        <v>42399</v>
      </c>
      <c r="AI20">
        <v>12</v>
      </c>
      <c r="AJ20">
        <v>27</v>
      </c>
      <c r="AK20">
        <v>6</v>
      </c>
      <c r="AL20">
        <v>14</v>
      </c>
      <c r="AM20">
        <f>IF(Cleaned_Data[[#This Row],[DateofTermination]]="","",YEAR(Cleaned_Data[[#This Row],[DateofTermination]]))</f>
        <v>2017</v>
      </c>
      <c r="AN20">
        <v>1</v>
      </c>
    </row>
    <row r="21" spans="1:40" x14ac:dyDescent="0.35">
      <c r="A21" t="s">
        <v>115</v>
      </c>
      <c r="B21">
        <v>10265</v>
      </c>
      <c r="C21">
        <v>0</v>
      </c>
      <c r="D21">
        <v>0</v>
      </c>
      <c r="E21">
        <v>1</v>
      </c>
      <c r="F21">
        <v>1</v>
      </c>
      <c r="G21">
        <v>5</v>
      </c>
      <c r="H21">
        <v>3</v>
      </c>
      <c r="I21">
        <v>0</v>
      </c>
      <c r="J21">
        <v>58709</v>
      </c>
      <c r="K21">
        <v>0</v>
      </c>
      <c r="L21">
        <v>19</v>
      </c>
      <c r="M21" t="s">
        <v>41</v>
      </c>
      <c r="N21" t="s">
        <v>42</v>
      </c>
      <c r="O21">
        <v>1810</v>
      </c>
      <c r="P21" s="1">
        <v>32105</v>
      </c>
      <c r="Q21" t="s">
        <v>43</v>
      </c>
      <c r="R21" t="s">
        <v>44</v>
      </c>
      <c r="S21" t="s">
        <v>45</v>
      </c>
      <c r="T21" t="s">
        <v>46</v>
      </c>
      <c r="U21" t="s">
        <v>47</v>
      </c>
      <c r="V21" t="s">
        <v>116</v>
      </c>
      <c r="W21" s="1">
        <v>40959</v>
      </c>
      <c r="X21" s="1"/>
      <c r="Y21" t="s">
        <v>49</v>
      </c>
      <c r="Z21" t="s">
        <v>50</v>
      </c>
      <c r="AA21" t="s">
        <v>51</v>
      </c>
      <c r="AB21" t="s">
        <v>117</v>
      </c>
      <c r="AC21" t="s">
        <v>79</v>
      </c>
      <c r="AD21" t="s">
        <v>60</v>
      </c>
      <c r="AE21">
        <v>4.5999999999999996</v>
      </c>
      <c r="AF21">
        <v>4</v>
      </c>
      <c r="AG21">
        <v>0</v>
      </c>
      <c r="AH21" s="1">
        <v>43510</v>
      </c>
      <c r="AI21">
        <v>7</v>
      </c>
      <c r="AJ21">
        <v>32</v>
      </c>
      <c r="AK21">
        <v>8</v>
      </c>
      <c r="AL21">
        <v>18</v>
      </c>
      <c r="AM21" t="str">
        <f>IF(Cleaned_Data[[#This Row],[DateofTermination]]="","",YEAR(Cleaned_Data[[#This Row],[DateofTermination]]))</f>
        <v/>
      </c>
      <c r="AN21">
        <v>1</v>
      </c>
    </row>
    <row r="22" spans="1:40" x14ac:dyDescent="0.35">
      <c r="A22" t="s">
        <v>118</v>
      </c>
      <c r="B22">
        <v>10061</v>
      </c>
      <c r="C22">
        <v>0</v>
      </c>
      <c r="D22">
        <v>0</v>
      </c>
      <c r="E22">
        <v>1</v>
      </c>
      <c r="F22">
        <v>4</v>
      </c>
      <c r="G22">
        <v>5</v>
      </c>
      <c r="H22">
        <v>3</v>
      </c>
      <c r="I22">
        <v>0</v>
      </c>
      <c r="J22">
        <v>57834</v>
      </c>
      <c r="K22">
        <v>1</v>
      </c>
      <c r="L22">
        <v>19</v>
      </c>
      <c r="M22" t="s">
        <v>41</v>
      </c>
      <c r="N22" t="s">
        <v>42</v>
      </c>
      <c r="O22">
        <v>2050</v>
      </c>
      <c r="P22" s="1">
        <v>32294</v>
      </c>
      <c r="Q22" t="s">
        <v>43</v>
      </c>
      <c r="R22" t="s">
        <v>44</v>
      </c>
      <c r="S22" t="s">
        <v>45</v>
      </c>
      <c r="T22" t="s">
        <v>46</v>
      </c>
      <c r="U22" t="s">
        <v>47</v>
      </c>
      <c r="V22" t="s">
        <v>48</v>
      </c>
      <c r="W22" s="1">
        <v>40595</v>
      </c>
      <c r="X22" s="1">
        <v>42833</v>
      </c>
      <c r="Y22" t="s">
        <v>119</v>
      </c>
      <c r="Z22" t="s">
        <v>78</v>
      </c>
      <c r="AA22" t="s">
        <v>51</v>
      </c>
      <c r="AB22" t="s">
        <v>117</v>
      </c>
      <c r="AC22" t="s">
        <v>79</v>
      </c>
      <c r="AD22" t="s">
        <v>60</v>
      </c>
      <c r="AE22">
        <v>5</v>
      </c>
      <c r="AF22">
        <v>4</v>
      </c>
      <c r="AG22">
        <v>0</v>
      </c>
      <c r="AH22" s="1">
        <v>42859</v>
      </c>
      <c r="AI22">
        <v>20</v>
      </c>
      <c r="AJ22">
        <v>29</v>
      </c>
      <c r="AK22">
        <v>6</v>
      </c>
      <c r="AL22">
        <v>18</v>
      </c>
      <c r="AM22">
        <f>IF(Cleaned_Data[[#This Row],[DateofTermination]]="","",YEAR(Cleaned_Data[[#This Row],[DateofTermination]]))</f>
        <v>2017</v>
      </c>
      <c r="AN22">
        <v>1</v>
      </c>
    </row>
    <row r="23" spans="1:40" x14ac:dyDescent="0.35">
      <c r="A23" t="s">
        <v>120</v>
      </c>
      <c r="B23">
        <v>10023</v>
      </c>
      <c r="C23">
        <v>1</v>
      </c>
      <c r="D23">
        <v>1</v>
      </c>
      <c r="E23">
        <v>0</v>
      </c>
      <c r="F23">
        <v>2</v>
      </c>
      <c r="G23">
        <v>5</v>
      </c>
      <c r="H23">
        <v>4</v>
      </c>
      <c r="I23">
        <v>0</v>
      </c>
      <c r="J23">
        <v>70131</v>
      </c>
      <c r="K23">
        <v>0</v>
      </c>
      <c r="L23">
        <v>20</v>
      </c>
      <c r="M23" t="s">
        <v>81</v>
      </c>
      <c r="N23" t="s">
        <v>42</v>
      </c>
      <c r="O23">
        <v>2145</v>
      </c>
      <c r="P23" s="1">
        <v>29459</v>
      </c>
      <c r="Q23" t="s">
        <v>43</v>
      </c>
      <c r="R23" t="s">
        <v>75</v>
      </c>
      <c r="S23" t="s">
        <v>63</v>
      </c>
      <c r="T23" t="s">
        <v>46</v>
      </c>
      <c r="U23" t="s">
        <v>47</v>
      </c>
      <c r="V23" t="s">
        <v>48</v>
      </c>
      <c r="W23" s="1">
        <v>42572</v>
      </c>
      <c r="X23" s="1"/>
      <c r="Y23" t="s">
        <v>49</v>
      </c>
      <c r="Z23" t="s">
        <v>50</v>
      </c>
      <c r="AA23" t="s">
        <v>51</v>
      </c>
      <c r="AB23" t="s">
        <v>117</v>
      </c>
      <c r="AC23" t="s">
        <v>106</v>
      </c>
      <c r="AD23" t="s">
        <v>54</v>
      </c>
      <c r="AE23">
        <v>4.4000000000000004</v>
      </c>
      <c r="AF23">
        <v>3</v>
      </c>
      <c r="AG23">
        <v>0</v>
      </c>
      <c r="AH23" s="1">
        <v>43479</v>
      </c>
      <c r="AI23">
        <v>16</v>
      </c>
      <c r="AJ23">
        <v>39</v>
      </c>
      <c r="AK23">
        <v>3</v>
      </c>
      <c r="AL23">
        <v>18</v>
      </c>
      <c r="AM23" t="str">
        <f>IF(Cleaned_Data[[#This Row],[DateofTermination]]="","",YEAR(Cleaned_Data[[#This Row],[DateofTermination]]))</f>
        <v/>
      </c>
      <c r="AN23">
        <v>1</v>
      </c>
    </row>
    <row r="24" spans="1:40" x14ac:dyDescent="0.35">
      <c r="A24" t="s">
        <v>121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41</v>
      </c>
      <c r="N24" t="s">
        <v>42</v>
      </c>
      <c r="O24">
        <v>2031</v>
      </c>
      <c r="P24" s="1">
        <v>30270</v>
      </c>
      <c r="Q24" t="s">
        <v>43</v>
      </c>
      <c r="R24" t="s">
        <v>75</v>
      </c>
      <c r="S24" t="s">
        <v>63</v>
      </c>
      <c r="T24" t="s">
        <v>46</v>
      </c>
      <c r="U24" t="s">
        <v>47</v>
      </c>
      <c r="V24" t="s">
        <v>48</v>
      </c>
      <c r="W24" s="1">
        <v>41827</v>
      </c>
      <c r="X24" s="1"/>
      <c r="Y24" t="s">
        <v>49</v>
      </c>
      <c r="Z24" t="s">
        <v>50</v>
      </c>
      <c r="AA24" t="s">
        <v>51</v>
      </c>
      <c r="AB24" t="s">
        <v>109</v>
      </c>
      <c r="AC24" t="s">
        <v>67</v>
      </c>
      <c r="AD24" t="s">
        <v>54</v>
      </c>
      <c r="AE24">
        <v>5</v>
      </c>
      <c r="AF24">
        <v>3</v>
      </c>
      <c r="AG24">
        <v>0</v>
      </c>
      <c r="AH24" s="1">
        <v>43523</v>
      </c>
      <c r="AI24">
        <v>19</v>
      </c>
      <c r="AJ24">
        <v>37</v>
      </c>
      <c r="AK24">
        <v>5</v>
      </c>
      <c r="AL24">
        <v>12</v>
      </c>
      <c r="AM24" t="str">
        <f>IF(Cleaned_Data[[#This Row],[DateofTermination]]="","",YEAR(Cleaned_Data[[#This Row],[DateofTermination]]))</f>
        <v/>
      </c>
      <c r="AN24">
        <v>1</v>
      </c>
    </row>
    <row r="25" spans="1:40" x14ac:dyDescent="0.35">
      <c r="A25" t="s">
        <v>122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81</v>
      </c>
      <c r="N25" t="s">
        <v>42</v>
      </c>
      <c r="O25">
        <v>2171</v>
      </c>
      <c r="P25" s="1">
        <v>26930</v>
      </c>
      <c r="Q25" t="s">
        <v>43</v>
      </c>
      <c r="R25" t="s">
        <v>75</v>
      </c>
      <c r="S25" t="s">
        <v>45</v>
      </c>
      <c r="T25" t="s">
        <v>46</v>
      </c>
      <c r="U25" t="s">
        <v>47</v>
      </c>
      <c r="V25" t="s">
        <v>48</v>
      </c>
      <c r="W25" s="1">
        <v>40637</v>
      </c>
      <c r="X25" s="1"/>
      <c r="Y25" t="s">
        <v>49</v>
      </c>
      <c r="Z25" t="s">
        <v>50</v>
      </c>
      <c r="AA25" t="s">
        <v>51</v>
      </c>
      <c r="AB25" t="s">
        <v>52</v>
      </c>
      <c r="AC25" t="s">
        <v>123</v>
      </c>
      <c r="AD25" t="s">
        <v>124</v>
      </c>
      <c r="AE25">
        <v>2</v>
      </c>
      <c r="AF25">
        <v>3</v>
      </c>
      <c r="AG25">
        <v>0</v>
      </c>
      <c r="AH25" s="1">
        <v>43523</v>
      </c>
      <c r="AI25">
        <v>3</v>
      </c>
      <c r="AJ25">
        <v>46</v>
      </c>
      <c r="AK25">
        <v>9</v>
      </c>
      <c r="AL25">
        <v>22</v>
      </c>
      <c r="AM25" t="str">
        <f>IF(Cleaned_Data[[#This Row],[DateofTermination]]="","",YEAR(Cleaned_Data[[#This Row],[DateofTermination]]))</f>
        <v/>
      </c>
      <c r="AN25">
        <v>1</v>
      </c>
    </row>
    <row r="26" spans="1:40" x14ac:dyDescent="0.35">
      <c r="A26" t="s">
        <v>125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81</v>
      </c>
      <c r="N26" t="s">
        <v>42</v>
      </c>
      <c r="O26">
        <v>2210</v>
      </c>
      <c r="P26" s="1">
        <v>28727</v>
      </c>
      <c r="Q26" t="s">
        <v>43</v>
      </c>
      <c r="R26" t="s">
        <v>75</v>
      </c>
      <c r="S26" t="s">
        <v>45</v>
      </c>
      <c r="T26" t="s">
        <v>46</v>
      </c>
      <c r="U26" t="s">
        <v>47</v>
      </c>
      <c r="V26" t="s">
        <v>48</v>
      </c>
      <c r="W26" s="1">
        <v>40817</v>
      </c>
      <c r="X26" s="1">
        <v>41733</v>
      </c>
      <c r="Y26" t="s">
        <v>64</v>
      </c>
      <c r="Z26" t="s">
        <v>58</v>
      </c>
      <c r="AA26" t="s">
        <v>51</v>
      </c>
      <c r="AB26" t="s">
        <v>88</v>
      </c>
      <c r="AC26" t="s">
        <v>79</v>
      </c>
      <c r="AD26" t="s">
        <v>60</v>
      </c>
      <c r="AE26">
        <v>4.8</v>
      </c>
      <c r="AF26">
        <v>5</v>
      </c>
      <c r="AG26">
        <v>0</v>
      </c>
      <c r="AH26" s="1">
        <v>41732</v>
      </c>
      <c r="AI26">
        <v>5</v>
      </c>
      <c r="AJ26">
        <v>36</v>
      </c>
      <c r="AK26">
        <v>3</v>
      </c>
      <c r="AL26">
        <v>16</v>
      </c>
      <c r="AM26">
        <f>IF(Cleaned_Data[[#This Row],[DateofTermination]]="","",YEAR(Cleaned_Data[[#This Row],[DateofTermination]]))</f>
        <v>2014</v>
      </c>
      <c r="AN26">
        <v>1</v>
      </c>
    </row>
    <row r="27" spans="1:40" x14ac:dyDescent="0.35">
      <c r="A27" t="s">
        <v>126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127</v>
      </c>
      <c r="N27" t="s">
        <v>128</v>
      </c>
      <c r="O27">
        <v>6033</v>
      </c>
      <c r="P27" s="1">
        <v>32745</v>
      </c>
      <c r="Q27" t="s">
        <v>43</v>
      </c>
      <c r="R27" t="s">
        <v>44</v>
      </c>
      <c r="S27" t="s">
        <v>45</v>
      </c>
      <c r="T27" t="s">
        <v>46</v>
      </c>
      <c r="U27" t="s">
        <v>47</v>
      </c>
      <c r="V27" t="s">
        <v>71</v>
      </c>
      <c r="W27" s="1">
        <v>41687</v>
      </c>
      <c r="X27" s="1">
        <v>42419</v>
      </c>
      <c r="Y27" t="s">
        <v>129</v>
      </c>
      <c r="Z27" t="s">
        <v>78</v>
      </c>
      <c r="AA27" t="s">
        <v>65</v>
      </c>
      <c r="AB27" t="s">
        <v>66</v>
      </c>
      <c r="AC27" t="s">
        <v>53</v>
      </c>
      <c r="AD27" t="s">
        <v>60</v>
      </c>
      <c r="AE27">
        <v>3.5</v>
      </c>
      <c r="AF27">
        <v>5</v>
      </c>
      <c r="AG27">
        <v>7</v>
      </c>
      <c r="AH27" s="1">
        <v>42644</v>
      </c>
      <c r="AI27">
        <v>2</v>
      </c>
      <c r="AJ27">
        <v>26</v>
      </c>
      <c r="AK27">
        <v>2</v>
      </c>
      <c r="AL27">
        <v>4</v>
      </c>
      <c r="AM27">
        <f>IF(Cleaned_Data[[#This Row],[DateofTermination]]="","",YEAR(Cleaned_Data[[#This Row],[DateofTermination]]))</f>
        <v>2016</v>
      </c>
      <c r="AN27">
        <v>1</v>
      </c>
    </row>
    <row r="28" spans="1:40" x14ac:dyDescent="0.35">
      <c r="A28" t="s">
        <v>130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131</v>
      </c>
      <c r="N28" t="s">
        <v>42</v>
      </c>
      <c r="O28">
        <v>2468</v>
      </c>
      <c r="P28" s="1">
        <v>28755</v>
      </c>
      <c r="Q28" t="s">
        <v>43</v>
      </c>
      <c r="R28" t="s">
        <v>75</v>
      </c>
      <c r="S28" t="s">
        <v>63</v>
      </c>
      <c r="T28" t="s">
        <v>46</v>
      </c>
      <c r="U28" t="s">
        <v>47</v>
      </c>
      <c r="V28" t="s">
        <v>71</v>
      </c>
      <c r="W28" s="1">
        <v>42051</v>
      </c>
      <c r="X28" s="1"/>
      <c r="Y28" t="s">
        <v>49</v>
      </c>
      <c r="Z28" t="s">
        <v>50</v>
      </c>
      <c r="AA28" t="s">
        <v>132</v>
      </c>
      <c r="AB28" t="s">
        <v>133</v>
      </c>
      <c r="AC28" t="s">
        <v>72</v>
      </c>
      <c r="AD28" t="s">
        <v>60</v>
      </c>
      <c r="AE28">
        <v>5</v>
      </c>
      <c r="AF28">
        <v>4</v>
      </c>
      <c r="AG28">
        <v>3</v>
      </c>
      <c r="AH28" s="1">
        <v>43514</v>
      </c>
      <c r="AI28">
        <v>4</v>
      </c>
      <c r="AJ28">
        <v>41</v>
      </c>
      <c r="AK28">
        <v>5</v>
      </c>
      <c r="AL28">
        <v>3</v>
      </c>
      <c r="AM28" t="str">
        <f>IF(Cleaned_Data[[#This Row],[DateofTermination]]="","",YEAR(Cleaned_Data[[#This Row],[DateofTermination]]))</f>
        <v/>
      </c>
      <c r="AN28">
        <v>1</v>
      </c>
    </row>
    <row r="29" spans="1:40" x14ac:dyDescent="0.35">
      <c r="A29" t="s">
        <v>134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135</v>
      </c>
      <c r="N29" t="s">
        <v>42</v>
      </c>
      <c r="O29">
        <v>1901</v>
      </c>
      <c r="P29" s="1">
        <v>32047</v>
      </c>
      <c r="Q29" t="s">
        <v>43</v>
      </c>
      <c r="R29" t="s">
        <v>44</v>
      </c>
      <c r="S29" t="s">
        <v>45</v>
      </c>
      <c r="T29" t="s">
        <v>46</v>
      </c>
      <c r="U29" t="s">
        <v>47</v>
      </c>
      <c r="V29" t="s">
        <v>95</v>
      </c>
      <c r="W29" s="1">
        <v>41547</v>
      </c>
      <c r="X29" s="1">
        <v>41828</v>
      </c>
      <c r="Y29" t="s">
        <v>136</v>
      </c>
      <c r="Z29" t="s">
        <v>58</v>
      </c>
      <c r="AA29" t="s">
        <v>51</v>
      </c>
      <c r="AB29" t="s">
        <v>137</v>
      </c>
      <c r="AC29" t="s">
        <v>67</v>
      </c>
      <c r="AD29" t="s">
        <v>60</v>
      </c>
      <c r="AE29">
        <v>3.39</v>
      </c>
      <c r="AF29">
        <v>3</v>
      </c>
      <c r="AG29">
        <v>0</v>
      </c>
      <c r="AH29" s="1">
        <v>41690</v>
      </c>
      <c r="AI29">
        <v>14</v>
      </c>
      <c r="AJ29">
        <v>27</v>
      </c>
      <c r="AK29">
        <v>1</v>
      </c>
      <c r="AL29">
        <v>2</v>
      </c>
      <c r="AM29">
        <f>IF(Cleaned_Data[[#This Row],[DateofTermination]]="","",YEAR(Cleaned_Data[[#This Row],[DateofTermination]]))</f>
        <v>2014</v>
      </c>
      <c r="AN29">
        <v>1</v>
      </c>
    </row>
    <row r="30" spans="1:40" x14ac:dyDescent="0.35">
      <c r="A30" t="s">
        <v>138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41</v>
      </c>
      <c r="N30" t="s">
        <v>42</v>
      </c>
      <c r="O30">
        <v>1701</v>
      </c>
      <c r="P30" s="1">
        <v>20193</v>
      </c>
      <c r="Q30" t="s">
        <v>85</v>
      </c>
      <c r="R30" t="s">
        <v>75</v>
      </c>
      <c r="S30" t="s">
        <v>63</v>
      </c>
      <c r="T30" t="s">
        <v>46</v>
      </c>
      <c r="U30" t="s">
        <v>47</v>
      </c>
      <c r="V30" t="s">
        <v>48</v>
      </c>
      <c r="W30" s="1">
        <v>40943</v>
      </c>
      <c r="X30" s="1">
        <v>41440</v>
      </c>
      <c r="Y30" t="s">
        <v>57</v>
      </c>
      <c r="Z30" t="s">
        <v>58</v>
      </c>
      <c r="AA30" t="s">
        <v>51</v>
      </c>
      <c r="AB30" t="s">
        <v>114</v>
      </c>
      <c r="AC30" t="s">
        <v>79</v>
      </c>
      <c r="AD30" t="s">
        <v>60</v>
      </c>
      <c r="AE30">
        <v>3.35</v>
      </c>
      <c r="AF30">
        <v>4</v>
      </c>
      <c r="AG30">
        <v>0</v>
      </c>
      <c r="AH30" s="1">
        <v>41367</v>
      </c>
      <c r="AI30">
        <v>6</v>
      </c>
      <c r="AJ30">
        <v>58</v>
      </c>
      <c r="AK30">
        <v>1</v>
      </c>
      <c r="AL30">
        <v>14</v>
      </c>
      <c r="AM30">
        <f>IF(Cleaned_Data[[#This Row],[DateofTermination]]="","",YEAR(Cleaned_Data[[#This Row],[DateofTermination]]))</f>
        <v>2013</v>
      </c>
      <c r="AN30">
        <v>1</v>
      </c>
    </row>
    <row r="31" spans="1:40" x14ac:dyDescent="0.35">
      <c r="A31" t="s">
        <v>139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140</v>
      </c>
      <c r="N31" t="s">
        <v>42</v>
      </c>
      <c r="O31">
        <v>1450</v>
      </c>
      <c r="P31" s="1">
        <v>29661</v>
      </c>
      <c r="Q31" t="s">
        <v>43</v>
      </c>
      <c r="R31" t="s">
        <v>75</v>
      </c>
      <c r="S31" t="s">
        <v>63</v>
      </c>
      <c r="T31" t="s">
        <v>46</v>
      </c>
      <c r="U31" t="s">
        <v>47</v>
      </c>
      <c r="V31" t="s">
        <v>71</v>
      </c>
      <c r="W31" s="1">
        <v>39748</v>
      </c>
      <c r="X31" s="1"/>
      <c r="Y31" t="s">
        <v>49</v>
      </c>
      <c r="Z31" t="s">
        <v>50</v>
      </c>
      <c r="AA31" t="s">
        <v>132</v>
      </c>
      <c r="AB31" t="s">
        <v>133</v>
      </c>
      <c r="AC31" t="s">
        <v>72</v>
      </c>
      <c r="AD31" t="s">
        <v>60</v>
      </c>
      <c r="AE31">
        <v>4.5</v>
      </c>
      <c r="AF31">
        <v>2</v>
      </c>
      <c r="AG31">
        <v>6</v>
      </c>
      <c r="AH31" s="1">
        <v>43480</v>
      </c>
      <c r="AI31">
        <v>14</v>
      </c>
      <c r="AJ31">
        <v>39</v>
      </c>
      <c r="AK31">
        <v>11</v>
      </c>
      <c r="AL31">
        <v>1</v>
      </c>
      <c r="AM31" t="str">
        <f>IF(Cleaned_Data[[#This Row],[DateofTermination]]="","",YEAR(Cleaned_Data[[#This Row],[DateofTermination]]))</f>
        <v/>
      </c>
      <c r="AN31">
        <v>1</v>
      </c>
    </row>
    <row r="32" spans="1:40" x14ac:dyDescent="0.35">
      <c r="A32" t="s">
        <v>141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81</v>
      </c>
      <c r="N32" t="s">
        <v>42</v>
      </c>
      <c r="O32">
        <v>1013</v>
      </c>
      <c r="P32" s="1">
        <v>28961</v>
      </c>
      <c r="Q32" t="s">
        <v>43</v>
      </c>
      <c r="R32" t="s">
        <v>44</v>
      </c>
      <c r="S32" t="s">
        <v>45</v>
      </c>
      <c r="T32" t="s">
        <v>46</v>
      </c>
      <c r="U32" t="s">
        <v>47</v>
      </c>
      <c r="V32" t="s">
        <v>48</v>
      </c>
      <c r="W32" s="1">
        <v>41911</v>
      </c>
      <c r="X32" s="1"/>
      <c r="Y32" t="s">
        <v>49</v>
      </c>
      <c r="Z32" t="s">
        <v>50</v>
      </c>
      <c r="AA32" t="s">
        <v>51</v>
      </c>
      <c r="AB32" t="s">
        <v>93</v>
      </c>
      <c r="AC32" t="s">
        <v>79</v>
      </c>
      <c r="AD32" t="s">
        <v>60</v>
      </c>
      <c r="AE32">
        <v>3.19</v>
      </c>
      <c r="AF32">
        <v>3</v>
      </c>
      <c r="AG32">
        <v>0</v>
      </c>
      <c r="AH32" s="1">
        <v>43467</v>
      </c>
      <c r="AI32">
        <v>9</v>
      </c>
      <c r="AJ32">
        <v>41</v>
      </c>
      <c r="AK32">
        <v>5</v>
      </c>
      <c r="AL32">
        <v>39</v>
      </c>
      <c r="AM32" t="str">
        <f>IF(Cleaned_Data[[#This Row],[DateofTermination]]="","",YEAR(Cleaned_Data[[#This Row],[DateofTermination]]))</f>
        <v/>
      </c>
      <c r="AN32">
        <v>1</v>
      </c>
    </row>
    <row r="33" spans="1:40" x14ac:dyDescent="0.35">
      <c r="A33" t="s">
        <v>142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41</v>
      </c>
      <c r="N33" t="s">
        <v>42</v>
      </c>
      <c r="O33">
        <v>2043</v>
      </c>
      <c r="P33" s="1">
        <v>23251</v>
      </c>
      <c r="Q33" t="s">
        <v>85</v>
      </c>
      <c r="R33" t="s">
        <v>75</v>
      </c>
      <c r="S33" t="s">
        <v>143</v>
      </c>
      <c r="T33" t="s">
        <v>46</v>
      </c>
      <c r="U33" t="s">
        <v>47</v>
      </c>
      <c r="V33" t="s">
        <v>71</v>
      </c>
      <c r="W33" s="1">
        <v>41589</v>
      </c>
      <c r="X33" s="1"/>
      <c r="Y33" t="s">
        <v>49</v>
      </c>
      <c r="Z33" t="s">
        <v>50</v>
      </c>
      <c r="AA33" t="s">
        <v>51</v>
      </c>
      <c r="AB33" t="s">
        <v>83</v>
      </c>
      <c r="AC33" t="s">
        <v>72</v>
      </c>
      <c r="AD33" t="s">
        <v>60</v>
      </c>
      <c r="AE33">
        <v>3.5</v>
      </c>
      <c r="AF33">
        <v>5</v>
      </c>
      <c r="AG33">
        <v>0</v>
      </c>
      <c r="AH33" s="1">
        <v>43486</v>
      </c>
      <c r="AI33">
        <v>17</v>
      </c>
      <c r="AJ33">
        <v>56</v>
      </c>
      <c r="AK33">
        <v>6</v>
      </c>
      <c r="AL33">
        <v>20</v>
      </c>
      <c r="AM33" t="str">
        <f>IF(Cleaned_Data[[#This Row],[DateofTermination]]="","",YEAR(Cleaned_Data[[#This Row],[DateofTermination]]))</f>
        <v/>
      </c>
      <c r="AN33">
        <v>1</v>
      </c>
    </row>
    <row r="34" spans="1:40" x14ac:dyDescent="0.35">
      <c r="A34" t="s">
        <v>144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145</v>
      </c>
      <c r="N34" t="s">
        <v>146</v>
      </c>
      <c r="O34">
        <v>21851</v>
      </c>
      <c r="P34" s="1">
        <v>31305</v>
      </c>
      <c r="Q34" t="s">
        <v>43</v>
      </c>
      <c r="R34" t="s">
        <v>75</v>
      </c>
      <c r="S34" t="s">
        <v>63</v>
      </c>
      <c r="T34" t="s">
        <v>90</v>
      </c>
      <c r="U34" t="s">
        <v>47</v>
      </c>
      <c r="V34" t="s">
        <v>71</v>
      </c>
      <c r="W34" s="1">
        <v>40770</v>
      </c>
      <c r="X34" s="1">
        <v>41678</v>
      </c>
      <c r="Y34" t="s">
        <v>57</v>
      </c>
      <c r="Z34" t="s">
        <v>58</v>
      </c>
      <c r="AA34" t="s">
        <v>147</v>
      </c>
      <c r="AB34" t="s">
        <v>148</v>
      </c>
      <c r="AC34" t="s">
        <v>79</v>
      </c>
      <c r="AD34" t="s">
        <v>60</v>
      </c>
      <c r="AE34">
        <v>3.14</v>
      </c>
      <c r="AF34">
        <v>5</v>
      </c>
      <c r="AG34">
        <v>0</v>
      </c>
      <c r="AH34" s="1">
        <v>41549</v>
      </c>
      <c r="AI34">
        <v>19</v>
      </c>
      <c r="AJ34">
        <v>28</v>
      </c>
      <c r="AK34">
        <v>2</v>
      </c>
      <c r="AL34">
        <v>17</v>
      </c>
      <c r="AM34">
        <f>IF(Cleaned_Data[[#This Row],[DateofTermination]]="","",YEAR(Cleaned_Data[[#This Row],[DateofTermination]]))</f>
        <v>2014</v>
      </c>
      <c r="AN34">
        <v>1</v>
      </c>
    </row>
    <row r="35" spans="1:40" x14ac:dyDescent="0.35">
      <c r="A35" t="s">
        <v>149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81</v>
      </c>
      <c r="N35" t="s">
        <v>42</v>
      </c>
      <c r="O35">
        <v>2148</v>
      </c>
      <c r="P35" s="1">
        <v>26229</v>
      </c>
      <c r="Q35" t="s">
        <v>43</v>
      </c>
      <c r="R35" t="s">
        <v>75</v>
      </c>
      <c r="S35" t="s">
        <v>45</v>
      </c>
      <c r="T35" t="s">
        <v>46</v>
      </c>
      <c r="U35" t="s">
        <v>47</v>
      </c>
      <c r="V35" t="s">
        <v>71</v>
      </c>
      <c r="W35" s="1">
        <v>41032</v>
      </c>
      <c r="X35" s="1"/>
      <c r="Y35" t="s">
        <v>49</v>
      </c>
      <c r="Z35" t="s">
        <v>50</v>
      </c>
      <c r="AA35" t="s">
        <v>51</v>
      </c>
      <c r="AB35" t="s">
        <v>97</v>
      </c>
      <c r="AC35" t="s">
        <v>106</v>
      </c>
      <c r="AD35" t="s">
        <v>60</v>
      </c>
      <c r="AE35">
        <v>4.51</v>
      </c>
      <c r="AF35">
        <v>4</v>
      </c>
      <c r="AG35">
        <v>0</v>
      </c>
      <c r="AH35" s="1">
        <v>43517</v>
      </c>
      <c r="AI35">
        <v>3</v>
      </c>
      <c r="AJ35">
        <v>48</v>
      </c>
      <c r="AK35">
        <v>8</v>
      </c>
      <c r="AL35">
        <v>11</v>
      </c>
      <c r="AM35" t="str">
        <f>IF(Cleaned_Data[[#This Row],[DateofTermination]]="","",YEAR(Cleaned_Data[[#This Row],[DateofTermination]]))</f>
        <v/>
      </c>
      <c r="AN35">
        <v>1</v>
      </c>
    </row>
    <row r="36" spans="1:40" x14ac:dyDescent="0.35">
      <c r="A36" t="s">
        <v>150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81</v>
      </c>
      <c r="N36" t="s">
        <v>42</v>
      </c>
      <c r="O36">
        <v>1890</v>
      </c>
      <c r="P36" s="1">
        <v>32836</v>
      </c>
      <c r="Q36" t="s">
        <v>43</v>
      </c>
      <c r="R36" t="s">
        <v>44</v>
      </c>
      <c r="S36" t="s">
        <v>63</v>
      </c>
      <c r="T36" t="s">
        <v>46</v>
      </c>
      <c r="U36" t="s">
        <v>47</v>
      </c>
      <c r="V36" t="s">
        <v>48</v>
      </c>
      <c r="W36" s="1">
        <v>40637</v>
      </c>
      <c r="X36" s="1"/>
      <c r="Y36" t="s">
        <v>49</v>
      </c>
      <c r="Z36" t="s">
        <v>50</v>
      </c>
      <c r="AA36" t="s">
        <v>51</v>
      </c>
      <c r="AB36" t="s">
        <v>105</v>
      </c>
      <c r="AC36" t="s">
        <v>67</v>
      </c>
      <c r="AD36" t="s">
        <v>60</v>
      </c>
      <c r="AE36">
        <v>3.25</v>
      </c>
      <c r="AF36">
        <v>5</v>
      </c>
      <c r="AG36">
        <v>0</v>
      </c>
      <c r="AH36" s="1">
        <v>43479</v>
      </c>
      <c r="AI36">
        <v>15</v>
      </c>
      <c r="AJ36">
        <v>30</v>
      </c>
      <c r="AK36">
        <v>9</v>
      </c>
      <c r="AL36">
        <v>19</v>
      </c>
      <c r="AM36" t="str">
        <f>IF(Cleaned_Data[[#This Row],[DateofTermination]]="","",YEAR(Cleaned_Data[[#This Row],[DateofTermination]]))</f>
        <v/>
      </c>
      <c r="AN36">
        <v>1</v>
      </c>
    </row>
    <row r="37" spans="1:40" x14ac:dyDescent="0.35">
      <c r="A37" t="s">
        <v>151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152</v>
      </c>
      <c r="N37" t="s">
        <v>42</v>
      </c>
      <c r="O37">
        <v>2184</v>
      </c>
      <c r="P37" s="1">
        <v>25475</v>
      </c>
      <c r="Q37" t="s">
        <v>43</v>
      </c>
      <c r="R37" t="s">
        <v>44</v>
      </c>
      <c r="S37" t="s">
        <v>45</v>
      </c>
      <c r="T37" t="s">
        <v>46</v>
      </c>
      <c r="U37" t="s">
        <v>47</v>
      </c>
      <c r="V37" t="s">
        <v>48</v>
      </c>
      <c r="W37" s="1">
        <v>40770</v>
      </c>
      <c r="X37" s="1"/>
      <c r="Y37" t="s">
        <v>49</v>
      </c>
      <c r="Z37" t="s">
        <v>50</v>
      </c>
      <c r="AA37" t="s">
        <v>101</v>
      </c>
      <c r="AB37" t="s">
        <v>153</v>
      </c>
      <c r="AC37" t="s">
        <v>79</v>
      </c>
      <c r="AD37" t="s">
        <v>60</v>
      </c>
      <c r="AE37">
        <v>3.84</v>
      </c>
      <c r="AF37">
        <v>3</v>
      </c>
      <c r="AG37">
        <v>5</v>
      </c>
      <c r="AH37" s="1">
        <v>43486</v>
      </c>
      <c r="AI37">
        <v>4</v>
      </c>
      <c r="AJ37">
        <v>50</v>
      </c>
      <c r="AK37">
        <v>8</v>
      </c>
      <c r="AL37">
        <v>5</v>
      </c>
      <c r="AM37" t="str">
        <f>IF(Cleaned_Data[[#This Row],[DateofTermination]]="","",YEAR(Cleaned_Data[[#This Row],[DateofTermination]]))</f>
        <v/>
      </c>
      <c r="AN37">
        <v>1</v>
      </c>
    </row>
    <row r="38" spans="1:40" x14ac:dyDescent="0.35">
      <c r="A38" t="s">
        <v>154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135</v>
      </c>
      <c r="N38" t="s">
        <v>42</v>
      </c>
      <c r="O38">
        <v>2169</v>
      </c>
      <c r="P38" s="1">
        <v>29692</v>
      </c>
      <c r="Q38" t="s">
        <v>43</v>
      </c>
      <c r="R38" t="s">
        <v>44</v>
      </c>
      <c r="S38" t="s">
        <v>45</v>
      </c>
      <c r="T38" t="s">
        <v>46</v>
      </c>
      <c r="U38" t="s">
        <v>47</v>
      </c>
      <c r="V38" t="s">
        <v>48</v>
      </c>
      <c r="W38" s="1">
        <v>42397</v>
      </c>
      <c r="X38" s="1"/>
      <c r="Y38" t="s">
        <v>49</v>
      </c>
      <c r="Z38" t="s">
        <v>50</v>
      </c>
      <c r="AA38" t="s">
        <v>51</v>
      </c>
      <c r="AB38" t="s">
        <v>137</v>
      </c>
      <c r="AC38" t="s">
        <v>67</v>
      </c>
      <c r="AD38" t="s">
        <v>54</v>
      </c>
      <c r="AE38">
        <v>5</v>
      </c>
      <c r="AF38">
        <v>3</v>
      </c>
      <c r="AG38">
        <v>0</v>
      </c>
      <c r="AH38" s="1">
        <v>43518</v>
      </c>
      <c r="AI38">
        <v>14</v>
      </c>
      <c r="AJ38">
        <v>39</v>
      </c>
      <c r="AK38">
        <v>4</v>
      </c>
      <c r="AL38">
        <v>2</v>
      </c>
      <c r="AM38" t="str">
        <f>IF(Cleaned_Data[[#This Row],[DateofTermination]]="","",YEAR(Cleaned_Data[[#This Row],[DateofTermination]]))</f>
        <v/>
      </c>
      <c r="AN38">
        <v>1</v>
      </c>
    </row>
    <row r="39" spans="1:40" x14ac:dyDescent="0.35">
      <c r="A39" t="s">
        <v>155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100</v>
      </c>
      <c r="N39" t="s">
        <v>42</v>
      </c>
      <c r="O39">
        <v>2132</v>
      </c>
      <c r="P39" s="1">
        <v>31557</v>
      </c>
      <c r="Q39" t="s">
        <v>43</v>
      </c>
      <c r="R39" t="s">
        <v>75</v>
      </c>
      <c r="S39" t="s">
        <v>45</v>
      </c>
      <c r="T39" t="s">
        <v>46</v>
      </c>
      <c r="U39" t="s">
        <v>47</v>
      </c>
      <c r="V39" t="s">
        <v>48</v>
      </c>
      <c r="W39" s="1">
        <v>41589</v>
      </c>
      <c r="X39" s="1"/>
      <c r="Y39" t="s">
        <v>49</v>
      </c>
      <c r="Z39" t="s">
        <v>50</v>
      </c>
      <c r="AA39" t="s">
        <v>101</v>
      </c>
      <c r="AB39" t="s">
        <v>102</v>
      </c>
      <c r="AC39" t="s">
        <v>67</v>
      </c>
      <c r="AD39" t="s">
        <v>60</v>
      </c>
      <c r="AE39">
        <v>4.96</v>
      </c>
      <c r="AF39">
        <v>4</v>
      </c>
      <c r="AG39">
        <v>6</v>
      </c>
      <c r="AH39" s="1">
        <v>43495</v>
      </c>
      <c r="AI39">
        <v>3</v>
      </c>
      <c r="AJ39">
        <v>34</v>
      </c>
      <c r="AK39">
        <v>6</v>
      </c>
      <c r="AL39">
        <v>10</v>
      </c>
      <c r="AM39" t="str">
        <f>IF(Cleaned_Data[[#This Row],[DateofTermination]]="","",YEAR(Cleaned_Data[[#This Row],[DateofTermination]]))</f>
        <v/>
      </c>
      <c r="AN39">
        <v>1</v>
      </c>
    </row>
    <row r="40" spans="1:40" x14ac:dyDescent="0.35">
      <c r="A40" t="s">
        <v>156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41</v>
      </c>
      <c r="N40" t="s">
        <v>42</v>
      </c>
      <c r="O40">
        <v>1701</v>
      </c>
      <c r="P40" s="1">
        <v>32689</v>
      </c>
      <c r="Q40" t="s">
        <v>43</v>
      </c>
      <c r="R40" t="s">
        <v>44</v>
      </c>
      <c r="S40" t="s">
        <v>45</v>
      </c>
      <c r="T40" t="s">
        <v>46</v>
      </c>
      <c r="U40" t="s">
        <v>47</v>
      </c>
      <c r="V40" t="s">
        <v>71</v>
      </c>
      <c r="W40" s="1">
        <v>41729</v>
      </c>
      <c r="X40" s="1"/>
      <c r="Y40" t="s">
        <v>49</v>
      </c>
      <c r="Z40" t="s">
        <v>50</v>
      </c>
      <c r="AA40" t="s">
        <v>51</v>
      </c>
      <c r="AB40" t="s">
        <v>117</v>
      </c>
      <c r="AC40" t="s">
        <v>53</v>
      </c>
      <c r="AD40" t="s">
        <v>60</v>
      </c>
      <c r="AE40">
        <v>4.43</v>
      </c>
      <c r="AF40">
        <v>3</v>
      </c>
      <c r="AG40">
        <v>0</v>
      </c>
      <c r="AH40" s="1">
        <v>43467</v>
      </c>
      <c r="AI40">
        <v>14</v>
      </c>
      <c r="AJ40">
        <v>31</v>
      </c>
      <c r="AK40">
        <v>6</v>
      </c>
      <c r="AL40">
        <v>18</v>
      </c>
      <c r="AM40" t="str">
        <f>IF(Cleaned_Data[[#This Row],[DateofTermination]]="","",YEAR(Cleaned_Data[[#This Row],[DateofTermination]]))</f>
        <v/>
      </c>
      <c r="AN40">
        <v>1</v>
      </c>
    </row>
    <row r="41" spans="1:40" x14ac:dyDescent="0.35">
      <c r="A41" t="s">
        <v>157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62</v>
      </c>
      <c r="N41" t="s">
        <v>42</v>
      </c>
      <c r="O41">
        <v>1886</v>
      </c>
      <c r="P41" s="1">
        <v>28207</v>
      </c>
      <c r="Q41" t="s">
        <v>43</v>
      </c>
      <c r="R41" t="s">
        <v>75</v>
      </c>
      <c r="S41" t="s">
        <v>45</v>
      </c>
      <c r="T41" t="s">
        <v>46</v>
      </c>
      <c r="U41" t="s">
        <v>47</v>
      </c>
      <c r="V41" t="s">
        <v>71</v>
      </c>
      <c r="W41" s="1">
        <v>42551</v>
      </c>
      <c r="X41" s="1"/>
      <c r="Y41" t="s">
        <v>49</v>
      </c>
      <c r="Z41" t="s">
        <v>50</v>
      </c>
      <c r="AA41" t="s">
        <v>65</v>
      </c>
      <c r="AB41" t="s">
        <v>66</v>
      </c>
      <c r="AC41" t="s">
        <v>53</v>
      </c>
      <c r="AD41" t="s">
        <v>60</v>
      </c>
      <c r="AE41">
        <v>5</v>
      </c>
      <c r="AF41">
        <v>5</v>
      </c>
      <c r="AG41">
        <v>6</v>
      </c>
      <c r="AH41" s="1">
        <v>43514</v>
      </c>
      <c r="AI41">
        <v>7</v>
      </c>
      <c r="AJ41">
        <v>43</v>
      </c>
      <c r="AK41">
        <v>4</v>
      </c>
      <c r="AL41">
        <v>4</v>
      </c>
      <c r="AM41" t="str">
        <f>IF(Cleaned_Data[[#This Row],[DateofTermination]]="","",YEAR(Cleaned_Data[[#This Row],[DateofTermination]]))</f>
        <v/>
      </c>
      <c r="AN41">
        <v>1</v>
      </c>
    </row>
    <row r="42" spans="1:40" x14ac:dyDescent="0.35">
      <c r="A42" t="s">
        <v>158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145</v>
      </c>
      <c r="N42" t="s">
        <v>159</v>
      </c>
      <c r="O42">
        <v>5664</v>
      </c>
      <c r="P42" s="1">
        <v>26538</v>
      </c>
      <c r="Q42" t="s">
        <v>43</v>
      </c>
      <c r="R42" t="s">
        <v>75</v>
      </c>
      <c r="S42" t="s">
        <v>45</v>
      </c>
      <c r="T42" t="s">
        <v>46</v>
      </c>
      <c r="U42" t="s">
        <v>47</v>
      </c>
      <c r="V42" t="s">
        <v>48</v>
      </c>
      <c r="W42" s="1">
        <v>41869</v>
      </c>
      <c r="X42" s="1"/>
      <c r="Y42" t="s">
        <v>49</v>
      </c>
      <c r="Z42" t="s">
        <v>50</v>
      </c>
      <c r="AA42" t="s">
        <v>147</v>
      </c>
      <c r="AB42" t="s">
        <v>148</v>
      </c>
      <c r="AC42" t="s">
        <v>67</v>
      </c>
      <c r="AD42" t="s">
        <v>60</v>
      </c>
      <c r="AE42">
        <v>5</v>
      </c>
      <c r="AF42">
        <v>5</v>
      </c>
      <c r="AG42">
        <v>0</v>
      </c>
      <c r="AH42" s="1">
        <v>43486</v>
      </c>
      <c r="AI42">
        <v>7</v>
      </c>
      <c r="AJ42">
        <v>47</v>
      </c>
      <c r="AK42">
        <v>5</v>
      </c>
      <c r="AL42">
        <v>17</v>
      </c>
      <c r="AM42" t="str">
        <f>IF(Cleaned_Data[[#This Row],[DateofTermination]]="","",YEAR(Cleaned_Data[[#This Row],[DateofTermination]]))</f>
        <v/>
      </c>
      <c r="AN42">
        <v>1</v>
      </c>
    </row>
    <row r="43" spans="1:40" x14ac:dyDescent="0.35">
      <c r="A43" t="s">
        <v>160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41</v>
      </c>
      <c r="N43" t="s">
        <v>42</v>
      </c>
      <c r="O43">
        <v>2763</v>
      </c>
      <c r="P43" s="1">
        <v>32400</v>
      </c>
      <c r="Q43" t="s">
        <v>43</v>
      </c>
      <c r="R43" t="s">
        <v>75</v>
      </c>
      <c r="S43" t="s">
        <v>45</v>
      </c>
      <c r="T43" t="s">
        <v>46</v>
      </c>
      <c r="U43" t="s">
        <v>47</v>
      </c>
      <c r="V43" t="s">
        <v>48</v>
      </c>
      <c r="W43" s="1">
        <v>41911</v>
      </c>
      <c r="X43" s="1"/>
      <c r="Y43" t="s">
        <v>49</v>
      </c>
      <c r="Z43" t="s">
        <v>50</v>
      </c>
      <c r="AA43" t="s">
        <v>51</v>
      </c>
      <c r="AB43" t="s">
        <v>52</v>
      </c>
      <c r="AC43" t="s">
        <v>79</v>
      </c>
      <c r="AD43" t="s">
        <v>60</v>
      </c>
      <c r="AE43">
        <v>5</v>
      </c>
      <c r="AF43">
        <v>4</v>
      </c>
      <c r="AG43">
        <v>0</v>
      </c>
      <c r="AH43" s="1">
        <v>43801</v>
      </c>
      <c r="AI43">
        <v>11</v>
      </c>
      <c r="AJ43">
        <v>31</v>
      </c>
      <c r="AK43">
        <v>5</v>
      </c>
      <c r="AL43">
        <v>22</v>
      </c>
      <c r="AM43" t="str">
        <f>IF(Cleaned_Data[[#This Row],[DateofTermination]]="","",YEAR(Cleaned_Data[[#This Row],[DateofTermination]]))</f>
        <v/>
      </c>
      <c r="AN43">
        <v>1</v>
      </c>
    </row>
    <row r="44" spans="1:40" x14ac:dyDescent="0.35">
      <c r="A44" t="s">
        <v>161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162</v>
      </c>
      <c r="N44" t="s">
        <v>42</v>
      </c>
      <c r="O44">
        <v>2045</v>
      </c>
      <c r="P44" s="1">
        <v>24183</v>
      </c>
      <c r="Q44" t="s">
        <v>43</v>
      </c>
      <c r="R44" t="s">
        <v>44</v>
      </c>
      <c r="S44" t="s">
        <v>63</v>
      </c>
      <c r="T44" t="s">
        <v>46</v>
      </c>
      <c r="U44" t="s">
        <v>47</v>
      </c>
      <c r="V44" t="s">
        <v>48</v>
      </c>
      <c r="W44" s="1">
        <v>42530</v>
      </c>
      <c r="X44" s="1"/>
      <c r="Y44" t="s">
        <v>49</v>
      </c>
      <c r="Z44" t="s">
        <v>50</v>
      </c>
      <c r="AA44" t="s">
        <v>65</v>
      </c>
      <c r="AB44" t="s">
        <v>153</v>
      </c>
      <c r="AC44" t="s">
        <v>67</v>
      </c>
      <c r="AD44" t="s">
        <v>60</v>
      </c>
      <c r="AE44">
        <v>4.5</v>
      </c>
      <c r="AF44">
        <v>5</v>
      </c>
      <c r="AG44">
        <v>7</v>
      </c>
      <c r="AH44" s="1">
        <v>43480</v>
      </c>
      <c r="AI44">
        <v>8</v>
      </c>
      <c r="AJ44">
        <v>54</v>
      </c>
      <c r="AK44">
        <v>4</v>
      </c>
      <c r="AL44">
        <v>5</v>
      </c>
      <c r="AM44" t="str">
        <f>IF(Cleaned_Data[[#This Row],[DateofTermination]]="","",YEAR(Cleaned_Data[[#This Row],[DateofTermination]]))</f>
        <v/>
      </c>
      <c r="AN44">
        <v>1</v>
      </c>
    </row>
    <row r="45" spans="1:40" x14ac:dyDescent="0.35">
      <c r="A45" t="s">
        <v>163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41</v>
      </c>
      <c r="N45" t="s">
        <v>42</v>
      </c>
      <c r="O45">
        <v>2170</v>
      </c>
      <c r="P45" s="1">
        <v>28079</v>
      </c>
      <c r="Q45" t="s">
        <v>43</v>
      </c>
      <c r="R45" t="s">
        <v>75</v>
      </c>
      <c r="S45" t="s">
        <v>45</v>
      </c>
      <c r="T45" t="s">
        <v>46</v>
      </c>
      <c r="U45" t="s">
        <v>47</v>
      </c>
      <c r="V45" t="s">
        <v>48</v>
      </c>
      <c r="W45" s="1">
        <v>41978</v>
      </c>
      <c r="X45" s="1"/>
      <c r="Y45" t="s">
        <v>49</v>
      </c>
      <c r="Z45" t="s">
        <v>50</v>
      </c>
      <c r="AA45" t="s">
        <v>51</v>
      </c>
      <c r="AB45" t="s">
        <v>88</v>
      </c>
      <c r="AC45" t="s">
        <v>67</v>
      </c>
      <c r="AD45" t="s">
        <v>60</v>
      </c>
      <c r="AE45">
        <v>3.3</v>
      </c>
      <c r="AF45">
        <v>4</v>
      </c>
      <c r="AG45">
        <v>0</v>
      </c>
      <c r="AH45" s="1">
        <v>43515</v>
      </c>
      <c r="AI45">
        <v>11</v>
      </c>
      <c r="AJ45">
        <v>43</v>
      </c>
      <c r="AK45">
        <v>5</v>
      </c>
      <c r="AL45">
        <v>16</v>
      </c>
      <c r="AM45" t="str">
        <f>IF(Cleaned_Data[[#This Row],[DateofTermination]]="","",YEAR(Cleaned_Data[[#This Row],[DateofTermination]]))</f>
        <v/>
      </c>
      <c r="AN45">
        <v>1</v>
      </c>
    </row>
    <row r="46" spans="1:40" x14ac:dyDescent="0.35">
      <c r="A46" t="s">
        <v>164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41</v>
      </c>
      <c r="N46" t="s">
        <v>42</v>
      </c>
      <c r="O46">
        <v>1845</v>
      </c>
      <c r="P46" s="1">
        <v>33266</v>
      </c>
      <c r="Q46" t="s">
        <v>43</v>
      </c>
      <c r="R46" t="s">
        <v>44</v>
      </c>
      <c r="S46" t="s">
        <v>45</v>
      </c>
      <c r="T46" t="s">
        <v>46</v>
      </c>
      <c r="U46" t="s">
        <v>47</v>
      </c>
      <c r="V46" t="s">
        <v>48</v>
      </c>
      <c r="W46" s="1">
        <v>41493</v>
      </c>
      <c r="X46" s="1"/>
      <c r="Y46" t="s">
        <v>49</v>
      </c>
      <c r="Z46" t="s">
        <v>50</v>
      </c>
      <c r="AA46" t="s">
        <v>51</v>
      </c>
      <c r="AB46" t="s">
        <v>93</v>
      </c>
      <c r="AC46" t="s">
        <v>53</v>
      </c>
      <c r="AD46" t="s">
        <v>60</v>
      </c>
      <c r="AE46">
        <v>3.8</v>
      </c>
      <c r="AF46">
        <v>5</v>
      </c>
      <c r="AG46">
        <v>0</v>
      </c>
      <c r="AH46" s="1">
        <v>43479</v>
      </c>
      <c r="AI46">
        <v>4</v>
      </c>
      <c r="AJ46">
        <v>29</v>
      </c>
      <c r="AK46">
        <v>6</v>
      </c>
      <c r="AL46">
        <v>39</v>
      </c>
      <c r="AM46" t="str">
        <f>IF(Cleaned_Data[[#This Row],[DateofTermination]]="","",YEAR(Cleaned_Data[[#This Row],[DateofTermination]]))</f>
        <v/>
      </c>
      <c r="AN46">
        <v>1</v>
      </c>
    </row>
    <row r="47" spans="1:40" x14ac:dyDescent="0.35">
      <c r="A47" t="s">
        <v>165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145</v>
      </c>
      <c r="N47" t="s">
        <v>70</v>
      </c>
      <c r="O47">
        <v>78207</v>
      </c>
      <c r="P47" s="1">
        <v>23480</v>
      </c>
      <c r="Q47" t="s">
        <v>85</v>
      </c>
      <c r="R47" t="s">
        <v>44</v>
      </c>
      <c r="S47" t="s">
        <v>45</v>
      </c>
      <c r="T47" t="s">
        <v>90</v>
      </c>
      <c r="U47" t="s">
        <v>47</v>
      </c>
      <c r="V47" t="s">
        <v>71</v>
      </c>
      <c r="W47" s="1">
        <v>41043</v>
      </c>
      <c r="X47" s="1"/>
      <c r="Y47" t="s">
        <v>49</v>
      </c>
      <c r="Z47" t="s">
        <v>50</v>
      </c>
      <c r="AA47" t="s">
        <v>147</v>
      </c>
      <c r="AB47" t="s">
        <v>166</v>
      </c>
      <c r="AC47" t="s">
        <v>106</v>
      </c>
      <c r="AD47" t="s">
        <v>60</v>
      </c>
      <c r="AE47">
        <v>3</v>
      </c>
      <c r="AF47">
        <v>5</v>
      </c>
      <c r="AG47">
        <v>0</v>
      </c>
      <c r="AH47" s="1">
        <v>43484</v>
      </c>
      <c r="AI47">
        <v>17</v>
      </c>
      <c r="AJ47">
        <v>56</v>
      </c>
      <c r="AK47">
        <v>8</v>
      </c>
      <c r="AL47">
        <v>21</v>
      </c>
      <c r="AM47" t="str">
        <f>IF(Cleaned_Data[[#This Row],[DateofTermination]]="","",YEAR(Cleaned_Data[[#This Row],[DateofTermination]]))</f>
        <v/>
      </c>
      <c r="AN47">
        <v>1</v>
      </c>
    </row>
    <row r="48" spans="1:40" x14ac:dyDescent="0.35">
      <c r="A48" t="s">
        <v>167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41</v>
      </c>
      <c r="N48" t="s">
        <v>42</v>
      </c>
      <c r="O48">
        <v>1775</v>
      </c>
      <c r="P48" s="1">
        <v>21781</v>
      </c>
      <c r="Q48" t="s">
        <v>85</v>
      </c>
      <c r="R48" t="s">
        <v>75</v>
      </c>
      <c r="S48" t="s">
        <v>45</v>
      </c>
      <c r="T48" t="s">
        <v>46</v>
      </c>
      <c r="U48" t="s">
        <v>47</v>
      </c>
      <c r="V48" t="s">
        <v>48</v>
      </c>
      <c r="W48" s="1">
        <v>40721</v>
      </c>
      <c r="X48" s="1">
        <v>42323</v>
      </c>
      <c r="Y48" t="s">
        <v>168</v>
      </c>
      <c r="Z48" t="s">
        <v>58</v>
      </c>
      <c r="AA48" t="s">
        <v>51</v>
      </c>
      <c r="AB48" t="s">
        <v>97</v>
      </c>
      <c r="AC48" t="s">
        <v>67</v>
      </c>
      <c r="AD48" t="s">
        <v>60</v>
      </c>
      <c r="AE48">
        <v>4.3</v>
      </c>
      <c r="AF48">
        <v>4</v>
      </c>
      <c r="AG48">
        <v>0</v>
      </c>
      <c r="AH48" s="1">
        <v>42280</v>
      </c>
      <c r="AI48">
        <v>3</v>
      </c>
      <c r="AJ48">
        <v>56</v>
      </c>
      <c r="AK48">
        <v>4</v>
      </c>
      <c r="AL48">
        <v>11</v>
      </c>
      <c r="AM48">
        <f>IF(Cleaned_Data[[#This Row],[DateofTermination]]="","",YEAR(Cleaned_Data[[#This Row],[DateofTermination]]))</f>
        <v>2015</v>
      </c>
      <c r="AN48">
        <v>1</v>
      </c>
    </row>
    <row r="49" spans="1:40" x14ac:dyDescent="0.35">
      <c r="A49" t="s">
        <v>169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41</v>
      </c>
      <c r="N49" t="s">
        <v>42</v>
      </c>
      <c r="O49">
        <v>2044</v>
      </c>
      <c r="P49" s="1">
        <v>31519</v>
      </c>
      <c r="Q49" t="s">
        <v>43</v>
      </c>
      <c r="R49" t="s">
        <v>75</v>
      </c>
      <c r="S49" t="s">
        <v>45</v>
      </c>
      <c r="T49" t="s">
        <v>170</v>
      </c>
      <c r="U49" t="s">
        <v>47</v>
      </c>
      <c r="V49" t="s">
        <v>71</v>
      </c>
      <c r="W49" s="1">
        <v>40612</v>
      </c>
      <c r="X49" s="1"/>
      <c r="Y49" t="s">
        <v>49</v>
      </c>
      <c r="Z49" t="s">
        <v>50</v>
      </c>
      <c r="AA49" t="s">
        <v>51</v>
      </c>
      <c r="AB49" t="s">
        <v>105</v>
      </c>
      <c r="AC49" t="s">
        <v>67</v>
      </c>
      <c r="AD49" t="s">
        <v>60</v>
      </c>
      <c r="AE49">
        <v>3.58</v>
      </c>
      <c r="AF49">
        <v>5</v>
      </c>
      <c r="AG49">
        <v>0</v>
      </c>
      <c r="AH49" s="1">
        <v>43495</v>
      </c>
      <c r="AI49">
        <v>3</v>
      </c>
      <c r="AJ49">
        <v>34</v>
      </c>
      <c r="AK49">
        <v>9</v>
      </c>
      <c r="AL49">
        <v>19</v>
      </c>
      <c r="AM49" t="str">
        <f>IF(Cleaned_Data[[#This Row],[DateofTermination]]="","",YEAR(Cleaned_Data[[#This Row],[DateofTermination]]))</f>
        <v/>
      </c>
      <c r="AN49">
        <v>1</v>
      </c>
    </row>
    <row r="50" spans="1:40" x14ac:dyDescent="0.35">
      <c r="A50" t="s">
        <v>171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111</v>
      </c>
      <c r="N50" t="s">
        <v>42</v>
      </c>
      <c r="O50">
        <v>2170</v>
      </c>
      <c r="P50" s="1">
        <v>19988</v>
      </c>
      <c r="Q50" t="s">
        <v>85</v>
      </c>
      <c r="R50" t="s">
        <v>44</v>
      </c>
      <c r="S50" t="s">
        <v>45</v>
      </c>
      <c r="T50" t="s">
        <v>46</v>
      </c>
      <c r="U50" t="s">
        <v>47</v>
      </c>
      <c r="V50" t="s">
        <v>48</v>
      </c>
      <c r="W50" s="1">
        <v>41038</v>
      </c>
      <c r="X50" s="1"/>
      <c r="Y50" t="s">
        <v>49</v>
      </c>
      <c r="Z50" t="s">
        <v>50</v>
      </c>
      <c r="AA50" t="s">
        <v>65</v>
      </c>
      <c r="AB50" t="s">
        <v>172</v>
      </c>
      <c r="AC50" t="s">
        <v>67</v>
      </c>
      <c r="AD50" t="s">
        <v>60</v>
      </c>
      <c r="AE50">
        <v>4.7</v>
      </c>
      <c r="AF50">
        <v>3</v>
      </c>
      <c r="AG50">
        <v>6</v>
      </c>
      <c r="AH50" s="1">
        <v>43523</v>
      </c>
      <c r="AI50">
        <v>2</v>
      </c>
      <c r="AJ50">
        <v>65</v>
      </c>
      <c r="AK50">
        <v>8</v>
      </c>
      <c r="AL50">
        <v>6</v>
      </c>
      <c r="AM50" t="str">
        <f>IF(Cleaned_Data[[#This Row],[DateofTermination]]="","",YEAR(Cleaned_Data[[#This Row],[DateofTermination]]))</f>
        <v/>
      </c>
      <c r="AN50">
        <v>1</v>
      </c>
    </row>
    <row r="51" spans="1:40" x14ac:dyDescent="0.35">
      <c r="A51" t="s">
        <v>173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81</v>
      </c>
      <c r="N51" t="s">
        <v>42</v>
      </c>
      <c r="O51">
        <v>1752</v>
      </c>
      <c r="P51" s="1">
        <v>25258</v>
      </c>
      <c r="Q51" t="s">
        <v>43</v>
      </c>
      <c r="R51" t="s">
        <v>75</v>
      </c>
      <c r="S51" t="s">
        <v>63</v>
      </c>
      <c r="T51" t="s">
        <v>46</v>
      </c>
      <c r="U51" t="s">
        <v>47</v>
      </c>
      <c r="V51" t="s">
        <v>48</v>
      </c>
      <c r="W51" s="1">
        <v>40679</v>
      </c>
      <c r="X51" s="1">
        <v>41456</v>
      </c>
      <c r="Y51" t="s">
        <v>86</v>
      </c>
      <c r="Z51" t="s">
        <v>58</v>
      </c>
      <c r="AA51" t="s">
        <v>51</v>
      </c>
      <c r="AB51" t="s">
        <v>109</v>
      </c>
      <c r="AC51" t="s">
        <v>79</v>
      </c>
      <c r="AD51" t="s">
        <v>60</v>
      </c>
      <c r="AE51">
        <v>4.2</v>
      </c>
      <c r="AF51">
        <v>5</v>
      </c>
      <c r="AG51">
        <v>0</v>
      </c>
      <c r="AH51" s="1">
        <v>40973</v>
      </c>
      <c r="AI51">
        <v>9</v>
      </c>
      <c r="AJ51">
        <v>44</v>
      </c>
      <c r="AK51">
        <v>2</v>
      </c>
      <c r="AL51">
        <v>12</v>
      </c>
      <c r="AM51">
        <f>IF(Cleaned_Data[[#This Row],[DateofTermination]]="","",YEAR(Cleaned_Data[[#This Row],[DateofTermination]]))</f>
        <v>2013</v>
      </c>
      <c r="AN51">
        <v>1</v>
      </c>
    </row>
    <row r="52" spans="1:40" x14ac:dyDescent="0.35">
      <c r="A52" t="s">
        <v>174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81</v>
      </c>
      <c r="N52" t="s">
        <v>42</v>
      </c>
      <c r="O52">
        <v>2169</v>
      </c>
      <c r="P52" s="1">
        <v>31525</v>
      </c>
      <c r="Q52" t="s">
        <v>43</v>
      </c>
      <c r="R52" t="s">
        <v>44</v>
      </c>
      <c r="S52" t="s">
        <v>63</v>
      </c>
      <c r="T52" t="s">
        <v>46</v>
      </c>
      <c r="U52" t="s">
        <v>47</v>
      </c>
      <c r="V52" t="s">
        <v>48</v>
      </c>
      <c r="W52" s="1">
        <v>40420</v>
      </c>
      <c r="X52" s="1">
        <v>40812</v>
      </c>
      <c r="Y52" t="s">
        <v>64</v>
      </c>
      <c r="Z52" t="s">
        <v>58</v>
      </c>
      <c r="AA52" t="s">
        <v>51</v>
      </c>
      <c r="AB52" t="s">
        <v>114</v>
      </c>
      <c r="AC52" t="s">
        <v>67</v>
      </c>
      <c r="AD52" t="s">
        <v>60</v>
      </c>
      <c r="AE52">
        <v>4.2</v>
      </c>
      <c r="AF52">
        <v>4</v>
      </c>
      <c r="AG52">
        <v>0</v>
      </c>
      <c r="AH52" s="1">
        <v>40638</v>
      </c>
      <c r="AI52">
        <v>6</v>
      </c>
      <c r="AJ52">
        <v>25</v>
      </c>
      <c r="AK52">
        <v>1</v>
      </c>
      <c r="AL52">
        <v>14</v>
      </c>
      <c r="AM52">
        <f>IF(Cleaned_Data[[#This Row],[DateofTermination]]="","",YEAR(Cleaned_Data[[#This Row],[DateofTermination]]))</f>
        <v>2011</v>
      </c>
      <c r="AN52">
        <v>1</v>
      </c>
    </row>
    <row r="53" spans="1:40" x14ac:dyDescent="0.35">
      <c r="A53" t="s">
        <v>175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41</v>
      </c>
      <c r="N53" t="s">
        <v>42</v>
      </c>
      <c r="O53">
        <v>2134</v>
      </c>
      <c r="P53" s="1">
        <v>29061</v>
      </c>
      <c r="Q53" t="s">
        <v>43</v>
      </c>
      <c r="R53" t="s">
        <v>44</v>
      </c>
      <c r="S53" t="s">
        <v>63</v>
      </c>
      <c r="T53" t="s">
        <v>46</v>
      </c>
      <c r="U53" t="s">
        <v>47</v>
      </c>
      <c r="V53" t="s">
        <v>48</v>
      </c>
      <c r="W53" s="1">
        <v>42528</v>
      </c>
      <c r="X53" s="1"/>
      <c r="Y53" t="s">
        <v>49</v>
      </c>
      <c r="Z53" t="s">
        <v>50</v>
      </c>
      <c r="AA53" t="s">
        <v>51</v>
      </c>
      <c r="AB53" t="s">
        <v>109</v>
      </c>
      <c r="AC53" t="s">
        <v>106</v>
      </c>
      <c r="AD53" t="s">
        <v>54</v>
      </c>
      <c r="AE53">
        <v>4.0999999999999996</v>
      </c>
      <c r="AF53">
        <v>4</v>
      </c>
      <c r="AG53">
        <v>0</v>
      </c>
      <c r="AH53" s="1">
        <v>43524</v>
      </c>
      <c r="AI53">
        <v>5</v>
      </c>
      <c r="AJ53">
        <v>40</v>
      </c>
      <c r="AK53">
        <v>4</v>
      </c>
      <c r="AL53">
        <v>12</v>
      </c>
      <c r="AM53" t="str">
        <f>IF(Cleaned_Data[[#This Row],[DateofTermination]]="","",YEAR(Cleaned_Data[[#This Row],[DateofTermination]]))</f>
        <v/>
      </c>
      <c r="AN53">
        <v>1</v>
      </c>
    </row>
    <row r="54" spans="1:40" x14ac:dyDescent="0.35">
      <c r="A54" t="s">
        <v>176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41</v>
      </c>
      <c r="N54" t="s">
        <v>42</v>
      </c>
      <c r="O54">
        <v>2452</v>
      </c>
      <c r="P54" s="1">
        <v>30798</v>
      </c>
      <c r="Q54" t="s">
        <v>43</v>
      </c>
      <c r="R54" t="s">
        <v>44</v>
      </c>
      <c r="S54" t="s">
        <v>45</v>
      </c>
      <c r="T54" t="s">
        <v>46</v>
      </c>
      <c r="U54" t="s">
        <v>47</v>
      </c>
      <c r="V54" t="s">
        <v>48</v>
      </c>
      <c r="W54" s="1">
        <v>41493</v>
      </c>
      <c r="X54" s="1"/>
      <c r="Y54" t="s">
        <v>49</v>
      </c>
      <c r="Z54" t="s">
        <v>50</v>
      </c>
      <c r="AA54" t="s">
        <v>51</v>
      </c>
      <c r="AB54" t="s">
        <v>114</v>
      </c>
      <c r="AC54" t="s">
        <v>106</v>
      </c>
      <c r="AD54" t="s">
        <v>60</v>
      </c>
      <c r="AE54">
        <v>4.4000000000000004</v>
      </c>
      <c r="AF54">
        <v>5</v>
      </c>
      <c r="AG54">
        <v>0</v>
      </c>
      <c r="AH54" s="1">
        <v>43479</v>
      </c>
      <c r="AI54">
        <v>3</v>
      </c>
      <c r="AJ54">
        <v>36</v>
      </c>
      <c r="AK54">
        <v>6</v>
      </c>
      <c r="AL54">
        <v>14</v>
      </c>
      <c r="AM54" t="str">
        <f>IF(Cleaned_Data[[#This Row],[DateofTermination]]="","",YEAR(Cleaned_Data[[#This Row],[DateofTermination]]))</f>
        <v/>
      </c>
      <c r="AN54">
        <v>1</v>
      </c>
    </row>
    <row r="55" spans="1:40" x14ac:dyDescent="0.35">
      <c r="A55" t="s">
        <v>177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41</v>
      </c>
      <c r="N55" t="s">
        <v>42</v>
      </c>
      <c r="O55">
        <v>1880</v>
      </c>
      <c r="P55" s="1">
        <v>31942</v>
      </c>
      <c r="Q55" t="s">
        <v>43</v>
      </c>
      <c r="R55" t="s">
        <v>44</v>
      </c>
      <c r="S55" t="s">
        <v>45</v>
      </c>
      <c r="T55" t="s">
        <v>46</v>
      </c>
      <c r="U55" t="s">
        <v>47</v>
      </c>
      <c r="V55" t="s">
        <v>71</v>
      </c>
      <c r="W55" s="1">
        <v>40854</v>
      </c>
      <c r="X55" s="1">
        <v>42636</v>
      </c>
      <c r="Y55" t="s">
        <v>77</v>
      </c>
      <c r="Z55" t="s">
        <v>78</v>
      </c>
      <c r="AA55" t="s">
        <v>51</v>
      </c>
      <c r="AB55" t="s">
        <v>83</v>
      </c>
      <c r="AC55" t="s">
        <v>53</v>
      </c>
      <c r="AD55" t="s">
        <v>124</v>
      </c>
      <c r="AE55">
        <v>2</v>
      </c>
      <c r="AF55">
        <v>3</v>
      </c>
      <c r="AG55">
        <v>0</v>
      </c>
      <c r="AH55" s="1">
        <v>42374</v>
      </c>
      <c r="AI55">
        <v>16</v>
      </c>
      <c r="AJ55">
        <v>29</v>
      </c>
      <c r="AK55">
        <v>5</v>
      </c>
      <c r="AL55">
        <v>20</v>
      </c>
      <c r="AM55">
        <f>IF(Cleaned_Data[[#This Row],[DateofTermination]]="","",YEAR(Cleaned_Data[[#This Row],[DateofTermination]]))</f>
        <v>2016</v>
      </c>
      <c r="AN55">
        <v>1</v>
      </c>
    </row>
    <row r="56" spans="1:40" x14ac:dyDescent="0.35">
      <c r="A56" t="s">
        <v>178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135</v>
      </c>
      <c r="N56" t="s">
        <v>42</v>
      </c>
      <c r="O56">
        <v>1803</v>
      </c>
      <c r="P56" s="1">
        <v>28872</v>
      </c>
      <c r="Q56" t="s">
        <v>43</v>
      </c>
      <c r="R56" t="s">
        <v>44</v>
      </c>
      <c r="S56" t="s">
        <v>56</v>
      </c>
      <c r="T56" t="s">
        <v>46</v>
      </c>
      <c r="U56" t="s">
        <v>47</v>
      </c>
      <c r="V56" t="s">
        <v>48</v>
      </c>
      <c r="W56" s="1">
        <v>40379</v>
      </c>
      <c r="X56" s="1"/>
      <c r="Y56" t="s">
        <v>49</v>
      </c>
      <c r="Z56" t="s">
        <v>50</v>
      </c>
      <c r="AA56" t="s">
        <v>51</v>
      </c>
      <c r="AB56" t="s">
        <v>137</v>
      </c>
      <c r="AC56" t="s">
        <v>123</v>
      </c>
      <c r="AD56" t="s">
        <v>124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41</v>
      </c>
      <c r="AK56">
        <v>9</v>
      </c>
      <c r="AL56">
        <v>2</v>
      </c>
      <c r="AM56" t="str">
        <f>IF(Cleaned_Data[[#This Row],[DateofTermination]]="","",YEAR(Cleaned_Data[[#This Row],[DateofTermination]]))</f>
        <v/>
      </c>
      <c r="AN56">
        <v>1</v>
      </c>
    </row>
    <row r="57" spans="1:40" x14ac:dyDescent="0.35">
      <c r="A57" t="s">
        <v>179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180</v>
      </c>
      <c r="N57" t="s">
        <v>42</v>
      </c>
      <c r="O57">
        <v>2030</v>
      </c>
      <c r="P57" s="1">
        <v>28120</v>
      </c>
      <c r="Q57" t="s">
        <v>43</v>
      </c>
      <c r="R57" t="s">
        <v>44</v>
      </c>
      <c r="S57" t="s">
        <v>45</v>
      </c>
      <c r="T57" t="s">
        <v>46</v>
      </c>
      <c r="U57" t="s">
        <v>47</v>
      </c>
      <c r="V57" t="s">
        <v>71</v>
      </c>
      <c r="W57" s="1">
        <v>39934</v>
      </c>
      <c r="X57" s="1"/>
      <c r="Y57" t="s">
        <v>49</v>
      </c>
      <c r="Z57" t="s">
        <v>50</v>
      </c>
      <c r="AA57" t="s">
        <v>51</v>
      </c>
      <c r="AB57" t="s">
        <v>137</v>
      </c>
      <c r="AC57" t="s">
        <v>67</v>
      </c>
      <c r="AD57" t="s">
        <v>54</v>
      </c>
      <c r="AE57">
        <v>3.7</v>
      </c>
      <c r="AF57">
        <v>5</v>
      </c>
      <c r="AG57">
        <v>0</v>
      </c>
      <c r="AH57" s="1">
        <v>43557</v>
      </c>
      <c r="AI57">
        <v>15</v>
      </c>
      <c r="AJ57">
        <v>43</v>
      </c>
      <c r="AK57">
        <v>11</v>
      </c>
      <c r="AL57">
        <v>2</v>
      </c>
      <c r="AM57" t="str">
        <f>IF(Cleaned_Data[[#This Row],[DateofTermination]]="","",YEAR(Cleaned_Data[[#This Row],[DateofTermination]]))</f>
        <v/>
      </c>
      <c r="AN57">
        <v>1</v>
      </c>
    </row>
    <row r="58" spans="1:40" x14ac:dyDescent="0.35">
      <c r="A58" t="s">
        <v>181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41</v>
      </c>
      <c r="N58" t="s">
        <v>42</v>
      </c>
      <c r="O58">
        <v>2189</v>
      </c>
      <c r="P58" s="1">
        <v>30038</v>
      </c>
      <c r="Q58" t="s">
        <v>43</v>
      </c>
      <c r="R58" t="s">
        <v>75</v>
      </c>
      <c r="S58" t="s">
        <v>63</v>
      </c>
      <c r="T58" t="s">
        <v>46</v>
      </c>
      <c r="U58" t="s">
        <v>76</v>
      </c>
      <c r="V58" t="s">
        <v>48</v>
      </c>
      <c r="W58" s="1">
        <v>42125</v>
      </c>
      <c r="X58" s="1"/>
      <c r="Y58" t="s">
        <v>49</v>
      </c>
      <c r="Z58" t="s">
        <v>50</v>
      </c>
      <c r="AA58" t="s">
        <v>51</v>
      </c>
      <c r="AB58" t="s">
        <v>117</v>
      </c>
      <c r="AC58" t="s">
        <v>67</v>
      </c>
      <c r="AD58" t="s">
        <v>60</v>
      </c>
      <c r="AE58">
        <v>4.7300000000000004</v>
      </c>
      <c r="AF58">
        <v>5</v>
      </c>
      <c r="AG58">
        <v>0</v>
      </c>
      <c r="AH58" s="1">
        <v>43510</v>
      </c>
      <c r="AI58">
        <v>6</v>
      </c>
      <c r="AJ58">
        <v>38</v>
      </c>
      <c r="AK58">
        <v>5</v>
      </c>
      <c r="AL58">
        <v>18</v>
      </c>
      <c r="AM58" t="str">
        <f>IF(Cleaned_Data[[#This Row],[DateofTermination]]="","",YEAR(Cleaned_Data[[#This Row],[DateofTermination]]))</f>
        <v/>
      </c>
      <c r="AN58">
        <v>1</v>
      </c>
    </row>
    <row r="59" spans="1:40" x14ac:dyDescent="0.35">
      <c r="A59" t="s">
        <v>182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69</v>
      </c>
      <c r="N59" t="s">
        <v>42</v>
      </c>
      <c r="O59">
        <v>1810</v>
      </c>
      <c r="P59" s="1">
        <v>26709</v>
      </c>
      <c r="Q59" t="s">
        <v>43</v>
      </c>
      <c r="R59" t="s">
        <v>44</v>
      </c>
      <c r="S59" t="s">
        <v>63</v>
      </c>
      <c r="T59" t="s">
        <v>46</v>
      </c>
      <c r="U59" t="s">
        <v>47</v>
      </c>
      <c r="V59" t="s">
        <v>48</v>
      </c>
      <c r="W59" s="1">
        <v>42093</v>
      </c>
      <c r="X59" s="1"/>
      <c r="Y59" t="s">
        <v>49</v>
      </c>
      <c r="Z59" t="s">
        <v>50</v>
      </c>
      <c r="AA59" t="s">
        <v>65</v>
      </c>
      <c r="AB59" t="s">
        <v>66</v>
      </c>
      <c r="AC59" t="s">
        <v>67</v>
      </c>
      <c r="AD59" t="s">
        <v>60</v>
      </c>
      <c r="AE59">
        <v>3.04</v>
      </c>
      <c r="AF59">
        <v>3</v>
      </c>
      <c r="AG59">
        <v>6</v>
      </c>
      <c r="AH59" s="1">
        <v>43487</v>
      </c>
      <c r="AI59">
        <v>2</v>
      </c>
      <c r="AJ59">
        <v>47</v>
      </c>
      <c r="AK59">
        <v>5</v>
      </c>
      <c r="AL59">
        <v>4</v>
      </c>
      <c r="AM59" t="str">
        <f>IF(Cleaned_Data[[#This Row],[DateofTermination]]="","",YEAR(Cleaned_Data[[#This Row],[DateofTermination]]))</f>
        <v/>
      </c>
      <c r="AN59">
        <v>1</v>
      </c>
    </row>
    <row r="60" spans="1:40" x14ac:dyDescent="0.35">
      <c r="A60" t="s">
        <v>183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41</v>
      </c>
      <c r="N60" t="s">
        <v>42</v>
      </c>
      <c r="O60">
        <v>1821</v>
      </c>
      <c r="P60" s="1">
        <v>31918</v>
      </c>
      <c r="Q60" t="s">
        <v>43</v>
      </c>
      <c r="R60" t="s">
        <v>75</v>
      </c>
      <c r="S60" t="s">
        <v>45</v>
      </c>
      <c r="T60" t="s">
        <v>46</v>
      </c>
      <c r="U60" t="s">
        <v>47</v>
      </c>
      <c r="V60" t="s">
        <v>48</v>
      </c>
      <c r="W60" s="1">
        <v>42528</v>
      </c>
      <c r="X60" s="1"/>
      <c r="Y60" t="s">
        <v>49</v>
      </c>
      <c r="Z60" t="s">
        <v>50</v>
      </c>
      <c r="AA60" t="s">
        <v>51</v>
      </c>
      <c r="AB60" t="s">
        <v>52</v>
      </c>
      <c r="AC60" t="s">
        <v>53</v>
      </c>
      <c r="AD60" t="s">
        <v>60</v>
      </c>
      <c r="AE60">
        <v>4.12</v>
      </c>
      <c r="AF60">
        <v>5</v>
      </c>
      <c r="AG60">
        <v>0</v>
      </c>
      <c r="AH60" s="1">
        <v>43493</v>
      </c>
      <c r="AI60">
        <v>15</v>
      </c>
      <c r="AJ60">
        <v>33</v>
      </c>
      <c r="AK60">
        <v>4</v>
      </c>
      <c r="AL60">
        <v>22</v>
      </c>
      <c r="AM60" t="str">
        <f>IF(Cleaned_Data[[#This Row],[DateofTermination]]="","",YEAR(Cleaned_Data[[#This Row],[DateofTermination]]))</f>
        <v/>
      </c>
      <c r="AN60">
        <v>1</v>
      </c>
    </row>
    <row r="61" spans="1:40" x14ac:dyDescent="0.35">
      <c r="A61" t="s">
        <v>184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185</v>
      </c>
      <c r="N61" t="s">
        <v>128</v>
      </c>
      <c r="O61">
        <v>6278</v>
      </c>
      <c r="P61" s="1">
        <v>33833</v>
      </c>
      <c r="Q61" t="s">
        <v>43</v>
      </c>
      <c r="R61" t="s">
        <v>44</v>
      </c>
      <c r="S61" t="s">
        <v>45</v>
      </c>
      <c r="T61" t="s">
        <v>46</v>
      </c>
      <c r="U61" t="s">
        <v>47</v>
      </c>
      <c r="V61" t="s">
        <v>48</v>
      </c>
      <c r="W61" s="1">
        <v>41923</v>
      </c>
      <c r="X61" s="1"/>
      <c r="Y61" t="s">
        <v>49</v>
      </c>
      <c r="Z61" t="s">
        <v>50</v>
      </c>
      <c r="AA61" t="s">
        <v>65</v>
      </c>
      <c r="AB61" t="s">
        <v>112</v>
      </c>
      <c r="AC61" t="s">
        <v>106</v>
      </c>
      <c r="AD61" t="s">
        <v>60</v>
      </c>
      <c r="AE61">
        <v>5</v>
      </c>
      <c r="AF61">
        <v>3</v>
      </c>
      <c r="AG61">
        <v>4</v>
      </c>
      <c r="AH61" s="1">
        <v>43497</v>
      </c>
      <c r="AI61">
        <v>5</v>
      </c>
      <c r="AJ61">
        <v>27</v>
      </c>
      <c r="AK61">
        <v>5</v>
      </c>
      <c r="AL61">
        <v>7</v>
      </c>
      <c r="AM61" t="str">
        <f>IF(Cleaned_Data[[#This Row],[DateofTermination]]="","",YEAR(Cleaned_Data[[#This Row],[DateofTermination]]))</f>
        <v/>
      </c>
      <c r="AN61">
        <v>1</v>
      </c>
    </row>
    <row r="62" spans="1:40" x14ac:dyDescent="0.35">
      <c r="A62" t="s">
        <v>186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187</v>
      </c>
      <c r="N62" t="s">
        <v>159</v>
      </c>
      <c r="O62">
        <v>5473</v>
      </c>
      <c r="P62" s="1">
        <v>25682</v>
      </c>
      <c r="Q62" t="s">
        <v>43</v>
      </c>
      <c r="R62" t="s">
        <v>75</v>
      </c>
      <c r="S62" t="s">
        <v>45</v>
      </c>
      <c r="T62" t="s">
        <v>46</v>
      </c>
      <c r="U62" t="s">
        <v>47</v>
      </c>
      <c r="V62" t="s">
        <v>48</v>
      </c>
      <c r="W62" s="1">
        <v>41764</v>
      </c>
      <c r="X62" s="1"/>
      <c r="Y62" t="s">
        <v>49</v>
      </c>
      <c r="Z62" t="s">
        <v>50</v>
      </c>
      <c r="AA62" t="s">
        <v>147</v>
      </c>
      <c r="AB62" t="s">
        <v>188</v>
      </c>
      <c r="AC62" t="s">
        <v>67</v>
      </c>
      <c r="AD62" t="s">
        <v>60</v>
      </c>
      <c r="AE62">
        <v>4.62</v>
      </c>
      <c r="AF62">
        <v>4</v>
      </c>
      <c r="AG62">
        <v>0</v>
      </c>
      <c r="AH62" s="1">
        <v>43489</v>
      </c>
      <c r="AI62">
        <v>8</v>
      </c>
      <c r="AJ62">
        <v>50</v>
      </c>
      <c r="AK62">
        <v>6</v>
      </c>
      <c r="AL62">
        <v>15</v>
      </c>
      <c r="AM62" t="str">
        <f>IF(Cleaned_Data[[#This Row],[DateofTermination]]="","",YEAR(Cleaned_Data[[#This Row],[DateofTermination]]))</f>
        <v/>
      </c>
      <c r="AN62">
        <v>1</v>
      </c>
    </row>
    <row r="63" spans="1:40" x14ac:dyDescent="0.35">
      <c r="A63" t="s">
        <v>189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185</v>
      </c>
      <c r="N63" t="s">
        <v>128</v>
      </c>
      <c r="O63">
        <v>6033</v>
      </c>
      <c r="P63" s="1">
        <v>29329</v>
      </c>
      <c r="Q63" t="s">
        <v>43</v>
      </c>
      <c r="R63" t="s">
        <v>75</v>
      </c>
      <c r="S63" t="s">
        <v>63</v>
      </c>
      <c r="T63" t="s">
        <v>46</v>
      </c>
      <c r="U63" t="s">
        <v>47</v>
      </c>
      <c r="V63" t="s">
        <v>48</v>
      </c>
      <c r="W63" s="1">
        <v>41923</v>
      </c>
      <c r="X63" s="1"/>
      <c r="Y63" t="s">
        <v>49</v>
      </c>
      <c r="Z63" t="s">
        <v>50</v>
      </c>
      <c r="AA63" t="s">
        <v>65</v>
      </c>
      <c r="AB63" t="s">
        <v>112</v>
      </c>
      <c r="AC63" t="s">
        <v>53</v>
      </c>
      <c r="AD63" t="s">
        <v>60</v>
      </c>
      <c r="AE63">
        <v>3.1</v>
      </c>
      <c r="AF63">
        <v>5</v>
      </c>
      <c r="AG63">
        <v>8</v>
      </c>
      <c r="AH63" s="1">
        <v>43801</v>
      </c>
      <c r="AI63">
        <v>19</v>
      </c>
      <c r="AJ63">
        <v>40</v>
      </c>
      <c r="AK63">
        <v>5</v>
      </c>
      <c r="AL63">
        <v>7</v>
      </c>
      <c r="AM63" t="str">
        <f>IF(Cleaned_Data[[#This Row],[DateofTermination]]="","",YEAR(Cleaned_Data[[#This Row],[DateofTermination]]))</f>
        <v/>
      </c>
      <c r="AN63">
        <v>1</v>
      </c>
    </row>
    <row r="64" spans="1:40" x14ac:dyDescent="0.35">
      <c r="A64" t="s">
        <v>190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41</v>
      </c>
      <c r="N64" t="s">
        <v>42</v>
      </c>
      <c r="O64">
        <v>2110</v>
      </c>
      <c r="P64" s="1">
        <v>25683</v>
      </c>
      <c r="Q64" t="s">
        <v>43</v>
      </c>
      <c r="R64" t="s">
        <v>75</v>
      </c>
      <c r="S64" t="s">
        <v>63</v>
      </c>
      <c r="T64" t="s">
        <v>46</v>
      </c>
      <c r="U64" t="s">
        <v>47</v>
      </c>
      <c r="V64" t="s">
        <v>48</v>
      </c>
      <c r="W64" s="1">
        <v>40946</v>
      </c>
      <c r="X64" s="1"/>
      <c r="Y64" t="s">
        <v>49</v>
      </c>
      <c r="Z64" t="s">
        <v>50</v>
      </c>
      <c r="AA64" t="s">
        <v>51</v>
      </c>
      <c r="AB64" t="s">
        <v>88</v>
      </c>
      <c r="AC64" t="s">
        <v>67</v>
      </c>
      <c r="AD64" t="s">
        <v>60</v>
      </c>
      <c r="AE64">
        <v>5</v>
      </c>
      <c r="AF64">
        <v>3</v>
      </c>
      <c r="AG64">
        <v>0</v>
      </c>
      <c r="AH64" s="1">
        <v>43521</v>
      </c>
      <c r="AI64">
        <v>1</v>
      </c>
      <c r="AJ64">
        <v>50</v>
      </c>
      <c r="AK64">
        <v>8</v>
      </c>
      <c r="AL64">
        <v>16</v>
      </c>
      <c r="AM64" t="str">
        <f>IF(Cleaned_Data[[#This Row],[DateofTermination]]="","",YEAR(Cleaned_Data[[#This Row],[DateofTermination]]))</f>
        <v/>
      </c>
      <c r="AN64">
        <v>1</v>
      </c>
    </row>
    <row r="65" spans="1:40" x14ac:dyDescent="0.35">
      <c r="A65" t="s">
        <v>191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81</v>
      </c>
      <c r="N65" t="s">
        <v>42</v>
      </c>
      <c r="O65">
        <v>2458</v>
      </c>
      <c r="P65" s="1">
        <v>30403</v>
      </c>
      <c r="Q65" t="s">
        <v>43</v>
      </c>
      <c r="R65" t="s">
        <v>44</v>
      </c>
      <c r="S65" t="s">
        <v>45</v>
      </c>
      <c r="T65" t="s">
        <v>90</v>
      </c>
      <c r="U65" t="s">
        <v>47</v>
      </c>
      <c r="V65" t="s">
        <v>116</v>
      </c>
      <c r="W65" s="1">
        <v>40735</v>
      </c>
      <c r="X65" s="1"/>
      <c r="Y65" t="s">
        <v>49</v>
      </c>
      <c r="Z65" t="s">
        <v>50</v>
      </c>
      <c r="AA65" t="s">
        <v>51</v>
      </c>
      <c r="AB65" t="s">
        <v>83</v>
      </c>
      <c r="AC65" t="s">
        <v>53</v>
      </c>
      <c r="AD65" t="s">
        <v>60</v>
      </c>
      <c r="AE65">
        <v>3.96</v>
      </c>
      <c r="AF65">
        <v>4</v>
      </c>
      <c r="AG65">
        <v>0</v>
      </c>
      <c r="AH65" s="1">
        <v>43523</v>
      </c>
      <c r="AI65">
        <v>6</v>
      </c>
      <c r="AJ65">
        <v>37</v>
      </c>
      <c r="AK65">
        <v>8</v>
      </c>
      <c r="AL65">
        <v>20</v>
      </c>
      <c r="AM65" t="str">
        <f>IF(Cleaned_Data[[#This Row],[DateofTermination]]="","",YEAR(Cleaned_Data[[#This Row],[DateofTermination]]))</f>
        <v/>
      </c>
      <c r="AN65">
        <v>1</v>
      </c>
    </row>
    <row r="66" spans="1:40" x14ac:dyDescent="0.35">
      <c r="A66" t="s">
        <v>192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41</v>
      </c>
      <c r="N66" t="s">
        <v>42</v>
      </c>
      <c r="O66">
        <v>2138</v>
      </c>
      <c r="P66" s="1">
        <v>31374</v>
      </c>
      <c r="Q66" t="s">
        <v>43</v>
      </c>
      <c r="R66" t="s">
        <v>44</v>
      </c>
      <c r="S66" t="s">
        <v>63</v>
      </c>
      <c r="T66" t="s">
        <v>46</v>
      </c>
      <c r="U66" t="s">
        <v>47</v>
      </c>
      <c r="V66" t="s">
        <v>48</v>
      </c>
      <c r="W66" s="1">
        <v>43350</v>
      </c>
      <c r="X66" s="1"/>
      <c r="Y66" t="s">
        <v>49</v>
      </c>
      <c r="Z66" t="s">
        <v>50</v>
      </c>
      <c r="AA66" t="s">
        <v>51</v>
      </c>
      <c r="AB66" t="s">
        <v>109</v>
      </c>
      <c r="AC66" t="s">
        <v>67</v>
      </c>
      <c r="AD66" t="s">
        <v>60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34</v>
      </c>
      <c r="AK66">
        <v>1</v>
      </c>
      <c r="AL66">
        <v>12</v>
      </c>
      <c r="AM66" t="str">
        <f>IF(Cleaned_Data[[#This Row],[DateofTermination]]="","",YEAR(Cleaned_Data[[#This Row],[DateofTermination]]))</f>
        <v/>
      </c>
      <c r="AN66">
        <v>1</v>
      </c>
    </row>
    <row r="67" spans="1:40" x14ac:dyDescent="0.35">
      <c r="A67" t="s">
        <v>193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41</v>
      </c>
      <c r="N67" t="s">
        <v>42</v>
      </c>
      <c r="O67">
        <v>1810</v>
      </c>
      <c r="P67" s="1">
        <v>29494</v>
      </c>
      <c r="Q67" t="s">
        <v>43</v>
      </c>
      <c r="R67" t="s">
        <v>44</v>
      </c>
      <c r="S67" t="s">
        <v>63</v>
      </c>
      <c r="T67" t="s">
        <v>46</v>
      </c>
      <c r="U67" t="s">
        <v>47</v>
      </c>
      <c r="V67" t="s">
        <v>48</v>
      </c>
      <c r="W67" s="1">
        <v>40679</v>
      </c>
      <c r="X67" s="1">
        <v>42588</v>
      </c>
      <c r="Y67" t="s">
        <v>86</v>
      </c>
      <c r="Z67" t="s">
        <v>58</v>
      </c>
      <c r="AA67" t="s">
        <v>51</v>
      </c>
      <c r="AB67" t="s">
        <v>93</v>
      </c>
      <c r="AC67" t="s">
        <v>67</v>
      </c>
      <c r="AD67" t="s">
        <v>60</v>
      </c>
      <c r="AE67">
        <v>5</v>
      </c>
      <c r="AF67">
        <v>4</v>
      </c>
      <c r="AG67">
        <v>0</v>
      </c>
      <c r="AH67" s="1">
        <v>42404</v>
      </c>
      <c r="AI67">
        <v>14</v>
      </c>
      <c r="AJ67">
        <v>36</v>
      </c>
      <c r="AK67">
        <v>5</v>
      </c>
      <c r="AL67">
        <v>39</v>
      </c>
      <c r="AM67">
        <f>IF(Cleaned_Data[[#This Row],[DateofTermination]]="","",YEAR(Cleaned_Data[[#This Row],[DateofTermination]]))</f>
        <v>2016</v>
      </c>
      <c r="AN67">
        <v>1</v>
      </c>
    </row>
    <row r="68" spans="1:40" x14ac:dyDescent="0.35">
      <c r="A68" t="s">
        <v>194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100</v>
      </c>
      <c r="N68" t="s">
        <v>42</v>
      </c>
      <c r="O68">
        <v>2176</v>
      </c>
      <c r="P68" s="1">
        <v>29183</v>
      </c>
      <c r="Q68" t="s">
        <v>43</v>
      </c>
      <c r="R68" t="s">
        <v>75</v>
      </c>
      <c r="S68" t="s">
        <v>45</v>
      </c>
      <c r="T68" t="s">
        <v>46</v>
      </c>
      <c r="U68" t="s">
        <v>47</v>
      </c>
      <c r="V68" t="s">
        <v>71</v>
      </c>
      <c r="W68" s="1">
        <v>41153</v>
      </c>
      <c r="X68" s="1"/>
      <c r="Y68" t="s">
        <v>49</v>
      </c>
      <c r="Z68" t="s">
        <v>50</v>
      </c>
      <c r="AA68" t="s">
        <v>101</v>
      </c>
      <c r="AB68" t="s">
        <v>102</v>
      </c>
      <c r="AC68" t="s">
        <v>123</v>
      </c>
      <c r="AD68" t="s">
        <v>60</v>
      </c>
      <c r="AE68">
        <v>3.79</v>
      </c>
      <c r="AF68">
        <v>5</v>
      </c>
      <c r="AG68">
        <v>5</v>
      </c>
      <c r="AH68" s="1">
        <v>43490</v>
      </c>
      <c r="AI68">
        <v>8</v>
      </c>
      <c r="AJ68">
        <v>40</v>
      </c>
      <c r="AK68">
        <v>7</v>
      </c>
      <c r="AL68">
        <v>10</v>
      </c>
      <c r="AM68" t="str">
        <f>IF(Cleaned_Data[[#This Row],[DateofTermination]]="","",YEAR(Cleaned_Data[[#This Row],[DateofTermination]]))</f>
        <v/>
      </c>
      <c r="AN68">
        <v>1</v>
      </c>
    </row>
    <row r="69" spans="1:40" x14ac:dyDescent="0.35">
      <c r="A69" t="s">
        <v>195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145</v>
      </c>
      <c r="N69" t="s">
        <v>196</v>
      </c>
      <c r="O69">
        <v>36006</v>
      </c>
      <c r="P69" s="1">
        <v>32707</v>
      </c>
      <c r="Q69" t="s">
        <v>43</v>
      </c>
      <c r="R69" t="s">
        <v>44</v>
      </c>
      <c r="S69" t="s">
        <v>45</v>
      </c>
      <c r="T69" t="s">
        <v>46</v>
      </c>
      <c r="U69" t="s">
        <v>47</v>
      </c>
      <c r="V69" t="s">
        <v>116</v>
      </c>
      <c r="W69" s="1">
        <v>41911</v>
      </c>
      <c r="X69" s="1"/>
      <c r="Y69" t="s">
        <v>49</v>
      </c>
      <c r="Z69" t="s">
        <v>50</v>
      </c>
      <c r="AA69" t="s">
        <v>147</v>
      </c>
      <c r="AB69" t="s">
        <v>148</v>
      </c>
      <c r="AC69" t="s">
        <v>67</v>
      </c>
      <c r="AD69" t="s">
        <v>197</v>
      </c>
      <c r="AE69">
        <v>1.93</v>
      </c>
      <c r="AF69">
        <v>3</v>
      </c>
      <c r="AG69">
        <v>0</v>
      </c>
      <c r="AH69" s="1">
        <v>43495</v>
      </c>
      <c r="AI69">
        <v>5</v>
      </c>
      <c r="AJ69">
        <v>30</v>
      </c>
      <c r="AK69">
        <v>5</v>
      </c>
      <c r="AL69">
        <v>17</v>
      </c>
      <c r="AM69" t="str">
        <f>IF(Cleaned_Data[[#This Row],[DateofTermination]]="","",YEAR(Cleaned_Data[[#This Row],[DateofTermination]]))</f>
        <v/>
      </c>
      <c r="AN69">
        <v>1</v>
      </c>
    </row>
    <row r="70" spans="1:40" x14ac:dyDescent="0.35">
      <c r="A70" t="s">
        <v>198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81</v>
      </c>
      <c r="N70" t="s">
        <v>42</v>
      </c>
      <c r="O70">
        <v>2343</v>
      </c>
      <c r="P70" s="1">
        <v>31613</v>
      </c>
      <c r="Q70" t="s">
        <v>43</v>
      </c>
      <c r="R70" t="s">
        <v>75</v>
      </c>
      <c r="S70" t="s">
        <v>143</v>
      </c>
      <c r="T70" t="s">
        <v>46</v>
      </c>
      <c r="U70" t="s">
        <v>47</v>
      </c>
      <c r="V70" t="s">
        <v>71</v>
      </c>
      <c r="W70" s="1">
        <v>40637</v>
      </c>
      <c r="X70" s="1">
        <v>42105</v>
      </c>
      <c r="Y70" t="s">
        <v>199</v>
      </c>
      <c r="Z70" t="s">
        <v>58</v>
      </c>
      <c r="AA70" t="s">
        <v>51</v>
      </c>
      <c r="AB70" t="s">
        <v>117</v>
      </c>
      <c r="AC70" t="s">
        <v>79</v>
      </c>
      <c r="AD70" t="s">
        <v>60</v>
      </c>
      <c r="AE70">
        <v>4.62</v>
      </c>
      <c r="AF70">
        <v>5</v>
      </c>
      <c r="AG70">
        <v>0</v>
      </c>
      <c r="AH70" s="1">
        <v>42160</v>
      </c>
      <c r="AI70">
        <v>1</v>
      </c>
      <c r="AJ70">
        <v>29</v>
      </c>
      <c r="AK70">
        <v>4</v>
      </c>
      <c r="AL70">
        <v>18</v>
      </c>
      <c r="AM70">
        <f>IF(Cleaned_Data[[#This Row],[DateofTermination]]="","",YEAR(Cleaned_Data[[#This Row],[DateofTermination]]))</f>
        <v>2015</v>
      </c>
      <c r="AN70">
        <v>1</v>
      </c>
    </row>
    <row r="71" spans="1:40" x14ac:dyDescent="0.35">
      <c r="A71" t="s">
        <v>200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41</v>
      </c>
      <c r="N71" t="s">
        <v>42</v>
      </c>
      <c r="O71">
        <v>2061</v>
      </c>
      <c r="P71" s="1">
        <v>30941</v>
      </c>
      <c r="Q71" t="s">
        <v>43</v>
      </c>
      <c r="R71" t="s">
        <v>44</v>
      </c>
      <c r="S71" t="s">
        <v>63</v>
      </c>
      <c r="T71" t="s">
        <v>46</v>
      </c>
      <c r="U71" t="s">
        <v>47</v>
      </c>
      <c r="V71" t="s">
        <v>48</v>
      </c>
      <c r="W71" s="1">
        <v>41827</v>
      </c>
      <c r="X71" s="1"/>
      <c r="Y71" t="s">
        <v>49</v>
      </c>
      <c r="Z71" t="s">
        <v>50</v>
      </c>
      <c r="AA71" t="s">
        <v>51</v>
      </c>
      <c r="AB71" t="s">
        <v>97</v>
      </c>
      <c r="AC71" t="s">
        <v>67</v>
      </c>
      <c r="AD71" t="s">
        <v>197</v>
      </c>
      <c r="AE71">
        <v>1.1200000000000001</v>
      </c>
      <c r="AF71">
        <v>2</v>
      </c>
      <c r="AG71">
        <v>0</v>
      </c>
      <c r="AH71" s="1">
        <v>43496</v>
      </c>
      <c r="AI71">
        <v>9</v>
      </c>
      <c r="AJ71">
        <v>35</v>
      </c>
      <c r="AK71">
        <v>5</v>
      </c>
      <c r="AL71">
        <v>11</v>
      </c>
      <c r="AM71" t="str">
        <f>IF(Cleaned_Data[[#This Row],[DateofTermination]]="","",YEAR(Cleaned_Data[[#This Row],[DateofTermination]]))</f>
        <v/>
      </c>
      <c r="AN71">
        <v>1</v>
      </c>
    </row>
    <row r="72" spans="1:40" x14ac:dyDescent="0.35">
      <c r="A72" t="s">
        <v>201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202</v>
      </c>
      <c r="N72" t="s">
        <v>42</v>
      </c>
      <c r="O72">
        <v>2045</v>
      </c>
      <c r="P72" s="1">
        <v>32384</v>
      </c>
      <c r="Q72" t="s">
        <v>43</v>
      </c>
      <c r="R72" t="s">
        <v>44</v>
      </c>
      <c r="S72" t="s">
        <v>45</v>
      </c>
      <c r="T72" t="s">
        <v>46</v>
      </c>
      <c r="U72" t="s">
        <v>47</v>
      </c>
      <c r="V72" t="s">
        <v>48</v>
      </c>
      <c r="W72" s="1">
        <v>42781</v>
      </c>
      <c r="X72" s="1"/>
      <c r="Y72" t="s">
        <v>49</v>
      </c>
      <c r="Z72" t="s">
        <v>50</v>
      </c>
      <c r="AA72" t="s">
        <v>65</v>
      </c>
      <c r="AB72" t="s">
        <v>203</v>
      </c>
      <c r="AC72" t="s">
        <v>67</v>
      </c>
      <c r="AD72" t="s">
        <v>60</v>
      </c>
      <c r="AE72">
        <v>3.01</v>
      </c>
      <c r="AF72">
        <v>5</v>
      </c>
      <c r="AG72">
        <v>7</v>
      </c>
      <c r="AH72" s="1">
        <v>43488</v>
      </c>
      <c r="AI72">
        <v>15</v>
      </c>
      <c r="AJ72">
        <v>31</v>
      </c>
      <c r="AK72">
        <v>3</v>
      </c>
      <c r="AL72">
        <v>13</v>
      </c>
      <c r="AM72" t="str">
        <f>IF(Cleaned_Data[[#This Row],[DateofTermination]]="","",YEAR(Cleaned_Data[[#This Row],[DateofTermination]]))</f>
        <v/>
      </c>
      <c r="AN72">
        <v>1</v>
      </c>
    </row>
    <row r="73" spans="1:40" x14ac:dyDescent="0.35">
      <c r="A73" t="s">
        <v>204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41</v>
      </c>
      <c r="N73" t="s">
        <v>42</v>
      </c>
      <c r="O73">
        <v>2180</v>
      </c>
      <c r="P73" s="1">
        <v>25833</v>
      </c>
      <c r="Q73" t="s">
        <v>43</v>
      </c>
      <c r="R73" t="s">
        <v>44</v>
      </c>
      <c r="S73" t="s">
        <v>45</v>
      </c>
      <c r="T73" t="s">
        <v>46</v>
      </c>
      <c r="U73" t="s">
        <v>47</v>
      </c>
      <c r="V73" t="s">
        <v>48</v>
      </c>
      <c r="W73" s="1">
        <v>41978</v>
      </c>
      <c r="X73" s="1"/>
      <c r="Y73" t="s">
        <v>49</v>
      </c>
      <c r="Z73" t="s">
        <v>50</v>
      </c>
      <c r="AA73" t="s">
        <v>51</v>
      </c>
      <c r="AB73" t="s">
        <v>105</v>
      </c>
      <c r="AC73" t="s">
        <v>67</v>
      </c>
      <c r="AD73" t="s">
        <v>60</v>
      </c>
      <c r="AE73">
        <v>4.3</v>
      </c>
      <c r="AF73">
        <v>4</v>
      </c>
      <c r="AG73">
        <v>0</v>
      </c>
      <c r="AH73" s="1">
        <v>43515</v>
      </c>
      <c r="AI73">
        <v>1</v>
      </c>
      <c r="AJ73">
        <v>49</v>
      </c>
      <c r="AK73">
        <v>5</v>
      </c>
      <c r="AL73">
        <v>19</v>
      </c>
      <c r="AM73" t="str">
        <f>IF(Cleaned_Data[[#This Row],[DateofTermination]]="","",YEAR(Cleaned_Data[[#This Row],[DateofTermination]]))</f>
        <v/>
      </c>
      <c r="AN73">
        <v>1</v>
      </c>
    </row>
    <row r="74" spans="1:40" x14ac:dyDescent="0.35">
      <c r="A74" t="s">
        <v>205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145</v>
      </c>
      <c r="N74" t="s">
        <v>206</v>
      </c>
      <c r="O74">
        <v>98052</v>
      </c>
      <c r="P74" s="1">
        <v>31047</v>
      </c>
      <c r="Q74" t="s">
        <v>43</v>
      </c>
      <c r="R74" t="s">
        <v>75</v>
      </c>
      <c r="S74" t="s">
        <v>45</v>
      </c>
      <c r="T74" t="s">
        <v>46</v>
      </c>
      <c r="U74" t="s">
        <v>76</v>
      </c>
      <c r="V74" t="s">
        <v>48</v>
      </c>
      <c r="W74" s="1">
        <v>40959</v>
      </c>
      <c r="X74" s="1"/>
      <c r="Y74" t="s">
        <v>49</v>
      </c>
      <c r="Z74" t="s">
        <v>50</v>
      </c>
      <c r="AA74" t="s">
        <v>147</v>
      </c>
      <c r="AB74" t="s">
        <v>148</v>
      </c>
      <c r="AC74" t="s">
        <v>207</v>
      </c>
      <c r="AD74" t="s">
        <v>197</v>
      </c>
      <c r="AE74">
        <v>2.2999999999999998</v>
      </c>
      <c r="AF74">
        <v>1</v>
      </c>
      <c r="AG74">
        <v>0</v>
      </c>
      <c r="AH74" s="1">
        <v>43494</v>
      </c>
      <c r="AI74">
        <v>17</v>
      </c>
      <c r="AJ74">
        <v>35</v>
      </c>
      <c r="AK74">
        <v>8</v>
      </c>
      <c r="AL74">
        <v>17</v>
      </c>
      <c r="AM74" t="str">
        <f>IF(Cleaned_Data[[#This Row],[DateofTermination]]="","",YEAR(Cleaned_Data[[#This Row],[DateofTermination]]))</f>
        <v/>
      </c>
      <c r="AN74">
        <v>1</v>
      </c>
    </row>
    <row r="75" spans="1:40" x14ac:dyDescent="0.35">
      <c r="A75" t="s">
        <v>208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41</v>
      </c>
      <c r="N75" t="s">
        <v>42</v>
      </c>
      <c r="O75">
        <v>2351</v>
      </c>
      <c r="P75" s="1">
        <v>30154</v>
      </c>
      <c r="Q75" t="s">
        <v>43</v>
      </c>
      <c r="R75" t="s">
        <v>75</v>
      </c>
      <c r="S75" t="s">
        <v>63</v>
      </c>
      <c r="T75" t="s">
        <v>46</v>
      </c>
      <c r="U75" t="s">
        <v>47</v>
      </c>
      <c r="V75" t="s">
        <v>71</v>
      </c>
      <c r="W75" s="1">
        <v>41456</v>
      </c>
      <c r="X75" s="1"/>
      <c r="Y75" t="s">
        <v>49</v>
      </c>
      <c r="Z75" t="s">
        <v>50</v>
      </c>
      <c r="AA75" t="s">
        <v>51</v>
      </c>
      <c r="AB75" t="s">
        <v>109</v>
      </c>
      <c r="AC75" t="s">
        <v>67</v>
      </c>
      <c r="AD75" t="s">
        <v>124</v>
      </c>
      <c r="AE75">
        <v>3.88</v>
      </c>
      <c r="AF75">
        <v>4</v>
      </c>
      <c r="AG75">
        <v>0</v>
      </c>
      <c r="AH75" s="1">
        <v>43483</v>
      </c>
      <c r="AI75">
        <v>6</v>
      </c>
      <c r="AJ75">
        <v>37</v>
      </c>
      <c r="AK75">
        <v>6</v>
      </c>
      <c r="AL75">
        <v>12</v>
      </c>
      <c r="AM75" t="str">
        <f>IF(Cleaned_Data[[#This Row],[DateofTermination]]="","",YEAR(Cleaned_Data[[#This Row],[DateofTermination]]))</f>
        <v/>
      </c>
      <c r="AN75">
        <v>1</v>
      </c>
    </row>
    <row r="76" spans="1:40" x14ac:dyDescent="0.35">
      <c r="A76" t="s">
        <v>209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41</v>
      </c>
      <c r="N76" t="s">
        <v>42</v>
      </c>
      <c r="O76">
        <v>2125</v>
      </c>
      <c r="P76" s="1">
        <v>31075</v>
      </c>
      <c r="Q76" t="s">
        <v>43</v>
      </c>
      <c r="R76" t="s">
        <v>75</v>
      </c>
      <c r="S76" t="s">
        <v>45</v>
      </c>
      <c r="T76" t="s">
        <v>46</v>
      </c>
      <c r="U76" t="s">
        <v>76</v>
      </c>
      <c r="V76" t="s">
        <v>48</v>
      </c>
      <c r="W76" s="1">
        <v>40943</v>
      </c>
      <c r="X76" s="1"/>
      <c r="Y76" t="s">
        <v>49</v>
      </c>
      <c r="Z76" t="s">
        <v>50</v>
      </c>
      <c r="AA76" t="s">
        <v>51</v>
      </c>
      <c r="AB76" t="s">
        <v>114</v>
      </c>
      <c r="AC76" t="s">
        <v>123</v>
      </c>
      <c r="AD76" t="s">
        <v>60</v>
      </c>
      <c r="AE76">
        <v>3.4</v>
      </c>
      <c r="AF76">
        <v>5</v>
      </c>
      <c r="AG76">
        <v>0</v>
      </c>
      <c r="AH76" s="1">
        <v>43515</v>
      </c>
      <c r="AI76">
        <v>15</v>
      </c>
      <c r="AJ76">
        <v>35</v>
      </c>
      <c r="AK76">
        <v>8</v>
      </c>
      <c r="AL76">
        <v>14</v>
      </c>
      <c r="AM76" t="str">
        <f>IF(Cleaned_Data[[#This Row],[DateofTermination]]="","",YEAR(Cleaned_Data[[#This Row],[DateofTermination]]))</f>
        <v/>
      </c>
      <c r="AN76">
        <v>1</v>
      </c>
    </row>
    <row r="77" spans="1:40" x14ac:dyDescent="0.35">
      <c r="A77" t="s">
        <v>210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111</v>
      </c>
      <c r="N77" t="s">
        <v>42</v>
      </c>
      <c r="O77">
        <v>2119</v>
      </c>
      <c r="P77" s="1">
        <v>26811</v>
      </c>
      <c r="Q77" t="s">
        <v>43</v>
      </c>
      <c r="R77" t="s">
        <v>75</v>
      </c>
      <c r="S77" t="s">
        <v>63</v>
      </c>
      <c r="T77" t="s">
        <v>46</v>
      </c>
      <c r="U77" t="s">
        <v>47</v>
      </c>
      <c r="V77" t="s">
        <v>48</v>
      </c>
      <c r="W77" s="1">
        <v>42125</v>
      </c>
      <c r="X77" s="1"/>
      <c r="Y77" t="s">
        <v>49</v>
      </c>
      <c r="Z77" t="s">
        <v>50</v>
      </c>
      <c r="AA77" t="s">
        <v>65</v>
      </c>
      <c r="AB77" t="s">
        <v>112</v>
      </c>
      <c r="AC77" t="s">
        <v>106</v>
      </c>
      <c r="AD77" t="s">
        <v>60</v>
      </c>
      <c r="AE77">
        <v>4.1100000000000003</v>
      </c>
      <c r="AF77">
        <v>4</v>
      </c>
      <c r="AG77">
        <v>6</v>
      </c>
      <c r="AH77" s="1">
        <v>43521</v>
      </c>
      <c r="AI77">
        <v>16</v>
      </c>
      <c r="AJ77">
        <v>47</v>
      </c>
      <c r="AK77">
        <v>5</v>
      </c>
      <c r="AL77">
        <v>7</v>
      </c>
      <c r="AM77" t="str">
        <f>IF(Cleaned_Data[[#This Row],[DateofTermination]]="","",YEAR(Cleaned_Data[[#This Row],[DateofTermination]]))</f>
        <v/>
      </c>
      <c r="AN77">
        <v>1</v>
      </c>
    </row>
    <row r="78" spans="1:40" x14ac:dyDescent="0.35">
      <c r="A78" t="s">
        <v>211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212</v>
      </c>
      <c r="N78" t="s">
        <v>42</v>
      </c>
      <c r="O78">
        <v>1886</v>
      </c>
      <c r="P78" s="1">
        <v>26624</v>
      </c>
      <c r="Q78" t="s">
        <v>43</v>
      </c>
      <c r="R78" t="s">
        <v>44</v>
      </c>
      <c r="S78" t="s">
        <v>45</v>
      </c>
      <c r="T78" t="s">
        <v>46</v>
      </c>
      <c r="U78" t="s">
        <v>47</v>
      </c>
      <c r="V78" t="s">
        <v>71</v>
      </c>
      <c r="W78" s="1">
        <v>41760</v>
      </c>
      <c r="X78" s="1"/>
      <c r="Y78" t="s">
        <v>49</v>
      </c>
      <c r="Z78" t="s">
        <v>50</v>
      </c>
      <c r="AA78" t="s">
        <v>65</v>
      </c>
      <c r="AB78" t="s">
        <v>153</v>
      </c>
      <c r="AC78" t="s">
        <v>67</v>
      </c>
      <c r="AD78" t="s">
        <v>54</v>
      </c>
      <c r="AE78">
        <v>4.3</v>
      </c>
      <c r="AF78">
        <v>5</v>
      </c>
      <c r="AG78">
        <v>5</v>
      </c>
      <c r="AH78" s="1">
        <v>43556</v>
      </c>
      <c r="AI78">
        <v>4</v>
      </c>
      <c r="AJ78">
        <v>47</v>
      </c>
      <c r="AK78">
        <v>6</v>
      </c>
      <c r="AL78">
        <v>5</v>
      </c>
      <c r="AM78" t="str">
        <f>IF(Cleaned_Data[[#This Row],[DateofTermination]]="","",YEAR(Cleaned_Data[[#This Row],[DateofTermination]]))</f>
        <v/>
      </c>
      <c r="AN78">
        <v>1</v>
      </c>
    </row>
    <row r="79" spans="1:40" x14ac:dyDescent="0.35">
      <c r="A79" t="s">
        <v>213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145</v>
      </c>
      <c r="N79" t="s">
        <v>214</v>
      </c>
      <c r="O79">
        <v>90007</v>
      </c>
      <c r="P79" s="1">
        <v>31528</v>
      </c>
      <c r="Q79" t="s">
        <v>43</v>
      </c>
      <c r="R79" t="s">
        <v>75</v>
      </c>
      <c r="S79" t="s">
        <v>45</v>
      </c>
      <c r="T79" t="s">
        <v>46</v>
      </c>
      <c r="U79" t="s">
        <v>47</v>
      </c>
      <c r="V79" t="s">
        <v>48</v>
      </c>
      <c r="W79" s="1">
        <v>40817</v>
      </c>
      <c r="X79" s="1"/>
      <c r="Y79" t="s">
        <v>49</v>
      </c>
      <c r="Z79" t="s">
        <v>50</v>
      </c>
      <c r="AA79" t="s">
        <v>147</v>
      </c>
      <c r="AB79" t="s">
        <v>166</v>
      </c>
      <c r="AC79" t="s">
        <v>67</v>
      </c>
      <c r="AD79" t="s">
        <v>54</v>
      </c>
      <c r="AE79">
        <v>4.7699999999999996</v>
      </c>
      <c r="AF79">
        <v>5</v>
      </c>
      <c r="AG79">
        <v>0</v>
      </c>
      <c r="AH79" s="1">
        <v>43492</v>
      </c>
      <c r="AI79">
        <v>14</v>
      </c>
      <c r="AJ79">
        <v>34</v>
      </c>
      <c r="AK79">
        <v>8</v>
      </c>
      <c r="AL79">
        <v>21</v>
      </c>
      <c r="AM79" t="str">
        <f>IF(Cleaned_Data[[#This Row],[DateofTermination]]="","",YEAR(Cleaned_Data[[#This Row],[DateofTermination]]))</f>
        <v/>
      </c>
      <c r="AN79">
        <v>1</v>
      </c>
    </row>
    <row r="80" spans="1:40" x14ac:dyDescent="0.35">
      <c r="A80" t="s">
        <v>215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135</v>
      </c>
      <c r="N80" t="s">
        <v>42</v>
      </c>
      <c r="O80">
        <v>1731</v>
      </c>
      <c r="P80" s="1">
        <v>32128</v>
      </c>
      <c r="Q80" t="s">
        <v>43</v>
      </c>
      <c r="R80" t="s">
        <v>75</v>
      </c>
      <c r="S80" t="s">
        <v>45</v>
      </c>
      <c r="T80" t="s">
        <v>46</v>
      </c>
      <c r="U80" t="s">
        <v>47</v>
      </c>
      <c r="V80" t="s">
        <v>48</v>
      </c>
      <c r="W80" s="1">
        <v>41900</v>
      </c>
      <c r="X80" s="1"/>
      <c r="Y80" t="s">
        <v>49</v>
      </c>
      <c r="Z80" t="s">
        <v>50</v>
      </c>
      <c r="AA80" t="s">
        <v>51</v>
      </c>
      <c r="AB80" t="s">
        <v>137</v>
      </c>
      <c r="AC80" t="s">
        <v>79</v>
      </c>
      <c r="AD80" t="s">
        <v>60</v>
      </c>
      <c r="AE80">
        <v>4.5199999999999996</v>
      </c>
      <c r="AF80">
        <v>4</v>
      </c>
      <c r="AG80">
        <v>0</v>
      </c>
      <c r="AH80" s="1">
        <v>43480</v>
      </c>
      <c r="AI80">
        <v>4</v>
      </c>
      <c r="AJ80">
        <v>32</v>
      </c>
      <c r="AK80">
        <v>5</v>
      </c>
      <c r="AL80">
        <v>2</v>
      </c>
      <c r="AM80" t="str">
        <f>IF(Cleaned_Data[[#This Row],[DateofTermination]]="","",YEAR(Cleaned_Data[[#This Row],[DateofTermination]]))</f>
        <v/>
      </c>
      <c r="AN80">
        <v>1</v>
      </c>
    </row>
    <row r="81" spans="1:40" x14ac:dyDescent="0.35">
      <c r="A81" t="s">
        <v>216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41</v>
      </c>
      <c r="N81" t="s">
        <v>42</v>
      </c>
      <c r="O81">
        <v>1749</v>
      </c>
      <c r="P81" s="1">
        <v>29690</v>
      </c>
      <c r="Q81" t="s">
        <v>43</v>
      </c>
      <c r="R81" t="s">
        <v>75</v>
      </c>
      <c r="S81" t="s">
        <v>63</v>
      </c>
      <c r="T81" t="s">
        <v>46</v>
      </c>
      <c r="U81" t="s">
        <v>47</v>
      </c>
      <c r="V81" t="s">
        <v>48</v>
      </c>
      <c r="W81" s="1">
        <v>40294</v>
      </c>
      <c r="X81" s="1"/>
      <c r="Y81" t="s">
        <v>49</v>
      </c>
      <c r="Z81" t="s">
        <v>50</v>
      </c>
      <c r="AA81" t="s">
        <v>51</v>
      </c>
      <c r="AB81" t="s">
        <v>105</v>
      </c>
      <c r="AC81" t="s">
        <v>79</v>
      </c>
      <c r="AD81" t="s">
        <v>60</v>
      </c>
      <c r="AE81">
        <v>2.9</v>
      </c>
      <c r="AF81">
        <v>3</v>
      </c>
      <c r="AG81">
        <v>0</v>
      </c>
      <c r="AH81" s="1">
        <v>43486</v>
      </c>
      <c r="AI81">
        <v>6</v>
      </c>
      <c r="AJ81">
        <v>39</v>
      </c>
      <c r="AK81">
        <v>10</v>
      </c>
      <c r="AL81">
        <v>19</v>
      </c>
      <c r="AM81" t="str">
        <f>IF(Cleaned_Data[[#This Row],[DateofTermination]]="","",YEAR(Cleaned_Data[[#This Row],[DateofTermination]]))</f>
        <v/>
      </c>
      <c r="AN81">
        <v>1</v>
      </c>
    </row>
    <row r="82" spans="1:40" x14ac:dyDescent="0.35">
      <c r="A82" t="s">
        <v>217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41</v>
      </c>
      <c r="N82" t="s">
        <v>42</v>
      </c>
      <c r="O82">
        <v>2343</v>
      </c>
      <c r="P82" s="1">
        <v>32282</v>
      </c>
      <c r="Q82" t="s">
        <v>43</v>
      </c>
      <c r="R82" t="s">
        <v>75</v>
      </c>
      <c r="S82" t="s">
        <v>63</v>
      </c>
      <c r="T82" t="s">
        <v>46</v>
      </c>
      <c r="U82" t="s">
        <v>47</v>
      </c>
      <c r="V82" t="s">
        <v>48</v>
      </c>
      <c r="W82" s="1">
        <v>40637</v>
      </c>
      <c r="X82" s="1">
        <v>42892</v>
      </c>
      <c r="Y82" t="s">
        <v>218</v>
      </c>
      <c r="Z82" t="s">
        <v>58</v>
      </c>
      <c r="AA82" t="s">
        <v>51</v>
      </c>
      <c r="AB82" t="s">
        <v>83</v>
      </c>
      <c r="AC82" t="s">
        <v>79</v>
      </c>
      <c r="AD82" t="s">
        <v>60</v>
      </c>
      <c r="AE82">
        <v>5</v>
      </c>
      <c r="AF82">
        <v>3</v>
      </c>
      <c r="AG82">
        <v>0</v>
      </c>
      <c r="AH82" s="1">
        <v>42982</v>
      </c>
      <c r="AI82">
        <v>7</v>
      </c>
      <c r="AJ82">
        <v>29</v>
      </c>
      <c r="AK82">
        <v>6</v>
      </c>
      <c r="AL82">
        <v>20</v>
      </c>
      <c r="AM82">
        <f>IF(Cleaned_Data[[#This Row],[DateofTermination]]="","",YEAR(Cleaned_Data[[#This Row],[DateofTermination]]))</f>
        <v>2017</v>
      </c>
      <c r="AN82">
        <v>1</v>
      </c>
    </row>
    <row r="83" spans="1:40" x14ac:dyDescent="0.35">
      <c r="A83" t="s">
        <v>219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41</v>
      </c>
      <c r="N83" t="s">
        <v>42</v>
      </c>
      <c r="O83">
        <v>2026</v>
      </c>
      <c r="P83" s="1">
        <v>23314</v>
      </c>
      <c r="Q83" t="s">
        <v>85</v>
      </c>
      <c r="R83" t="s">
        <v>44</v>
      </c>
      <c r="S83" t="s">
        <v>45</v>
      </c>
      <c r="T83" t="s">
        <v>46</v>
      </c>
      <c r="U83" t="s">
        <v>47</v>
      </c>
      <c r="V83" t="s">
        <v>48</v>
      </c>
      <c r="W83" s="1">
        <v>41923</v>
      </c>
      <c r="X83" s="1"/>
      <c r="Y83" t="s">
        <v>49</v>
      </c>
      <c r="Z83" t="s">
        <v>50</v>
      </c>
      <c r="AA83" t="s">
        <v>51</v>
      </c>
      <c r="AB83" t="s">
        <v>117</v>
      </c>
      <c r="AC83" t="s">
        <v>53</v>
      </c>
      <c r="AD83" t="s">
        <v>60</v>
      </c>
      <c r="AE83">
        <v>4.7</v>
      </c>
      <c r="AF83">
        <v>5</v>
      </c>
      <c r="AG83">
        <v>0</v>
      </c>
      <c r="AH83" s="1">
        <v>43509</v>
      </c>
      <c r="AI83">
        <v>8</v>
      </c>
      <c r="AJ83">
        <v>56</v>
      </c>
      <c r="AK83">
        <v>5</v>
      </c>
      <c r="AL83">
        <v>18</v>
      </c>
      <c r="AM83" t="str">
        <f>IF(Cleaned_Data[[#This Row],[DateofTermination]]="","",YEAR(Cleaned_Data[[#This Row],[DateofTermination]]))</f>
        <v/>
      </c>
      <c r="AN83">
        <v>1</v>
      </c>
    </row>
    <row r="84" spans="1:40" x14ac:dyDescent="0.35">
      <c r="A84" t="s">
        <v>220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41</v>
      </c>
      <c r="N84" t="s">
        <v>42</v>
      </c>
      <c r="O84">
        <v>2045</v>
      </c>
      <c r="P84" s="1">
        <v>30910</v>
      </c>
      <c r="Q84" t="s">
        <v>43</v>
      </c>
      <c r="R84" t="s">
        <v>44</v>
      </c>
      <c r="S84" t="s">
        <v>63</v>
      </c>
      <c r="T84" t="s">
        <v>46</v>
      </c>
      <c r="U84" t="s">
        <v>47</v>
      </c>
      <c r="V84" t="s">
        <v>48</v>
      </c>
      <c r="W84" s="1">
        <v>41729</v>
      </c>
      <c r="X84" s="1"/>
      <c r="Y84" t="s">
        <v>49</v>
      </c>
      <c r="Z84" t="s">
        <v>50</v>
      </c>
      <c r="AA84" t="s">
        <v>51</v>
      </c>
      <c r="AB84" t="s">
        <v>117</v>
      </c>
      <c r="AC84" t="s">
        <v>106</v>
      </c>
      <c r="AD84" t="s">
        <v>60</v>
      </c>
      <c r="AE84">
        <v>4.2</v>
      </c>
      <c r="AF84">
        <v>3</v>
      </c>
      <c r="AG84">
        <v>0</v>
      </c>
      <c r="AH84" s="1">
        <v>43770</v>
      </c>
      <c r="AI84">
        <v>3</v>
      </c>
      <c r="AJ84">
        <v>35</v>
      </c>
      <c r="AK84">
        <v>6</v>
      </c>
      <c r="AL84">
        <v>18</v>
      </c>
      <c r="AM84" t="str">
        <f>IF(Cleaned_Data[[#This Row],[DateofTermination]]="","",YEAR(Cleaned_Data[[#This Row],[DateofTermination]]))</f>
        <v/>
      </c>
      <c r="AN84">
        <v>1</v>
      </c>
    </row>
    <row r="85" spans="1:40" x14ac:dyDescent="0.35">
      <c r="A85" t="s">
        <v>221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81</v>
      </c>
      <c r="N85" t="s">
        <v>42</v>
      </c>
      <c r="O85">
        <v>2133</v>
      </c>
      <c r="P85" s="1">
        <v>27667</v>
      </c>
      <c r="Q85" t="s">
        <v>43</v>
      </c>
      <c r="R85" t="s">
        <v>75</v>
      </c>
      <c r="S85" t="s">
        <v>143</v>
      </c>
      <c r="T85" t="s">
        <v>46</v>
      </c>
      <c r="U85" t="s">
        <v>47</v>
      </c>
      <c r="V85" t="s">
        <v>48</v>
      </c>
      <c r="W85" s="1">
        <v>41827</v>
      </c>
      <c r="X85" s="1"/>
      <c r="Y85" t="s">
        <v>49</v>
      </c>
      <c r="Z85" t="s">
        <v>50</v>
      </c>
      <c r="AA85" t="s">
        <v>51</v>
      </c>
      <c r="AB85" t="s">
        <v>52</v>
      </c>
      <c r="AC85" t="s">
        <v>67</v>
      </c>
      <c r="AD85" t="s">
        <v>197</v>
      </c>
      <c r="AE85">
        <v>3</v>
      </c>
      <c r="AF85">
        <v>1</v>
      </c>
      <c r="AG85">
        <v>0</v>
      </c>
      <c r="AH85" s="1">
        <v>43521</v>
      </c>
      <c r="AI85">
        <v>5</v>
      </c>
      <c r="AJ85">
        <v>44</v>
      </c>
      <c r="AK85">
        <v>5</v>
      </c>
      <c r="AL85">
        <v>22</v>
      </c>
      <c r="AM85" t="str">
        <f>IF(Cleaned_Data[[#This Row],[DateofTermination]]="","",YEAR(Cleaned_Data[[#This Row],[DateofTermination]]))</f>
        <v/>
      </c>
      <c r="AN85">
        <v>1</v>
      </c>
    </row>
    <row r="86" spans="1:40" x14ac:dyDescent="0.35">
      <c r="A86" t="s">
        <v>222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41</v>
      </c>
      <c r="N86" t="s">
        <v>42</v>
      </c>
      <c r="O86">
        <v>2129</v>
      </c>
      <c r="P86" s="1">
        <v>30188</v>
      </c>
      <c r="Q86" t="s">
        <v>43</v>
      </c>
      <c r="R86" t="s">
        <v>44</v>
      </c>
      <c r="S86" t="s">
        <v>45</v>
      </c>
      <c r="T86" t="s">
        <v>46</v>
      </c>
      <c r="U86" t="s">
        <v>47</v>
      </c>
      <c r="V86" t="s">
        <v>48</v>
      </c>
      <c r="W86" s="1">
        <v>40943</v>
      </c>
      <c r="X86" s="1">
        <v>43370</v>
      </c>
      <c r="Y86" t="s">
        <v>119</v>
      </c>
      <c r="Z86" t="s">
        <v>78</v>
      </c>
      <c r="AA86" t="s">
        <v>51</v>
      </c>
      <c r="AB86" t="s">
        <v>52</v>
      </c>
      <c r="AC86" t="s">
        <v>79</v>
      </c>
      <c r="AD86" t="s">
        <v>124</v>
      </c>
      <c r="AE86">
        <v>5</v>
      </c>
      <c r="AF86">
        <v>4</v>
      </c>
      <c r="AG86">
        <v>0</v>
      </c>
      <c r="AH86" s="1">
        <v>43438</v>
      </c>
      <c r="AI86">
        <v>16</v>
      </c>
      <c r="AJ86">
        <v>36</v>
      </c>
      <c r="AK86">
        <v>7</v>
      </c>
      <c r="AL86">
        <v>22</v>
      </c>
      <c r="AM86">
        <f>IF(Cleaned_Data[[#This Row],[DateofTermination]]="","",YEAR(Cleaned_Data[[#This Row],[DateofTermination]]))</f>
        <v>2018</v>
      </c>
      <c r="AN86">
        <v>1</v>
      </c>
    </row>
    <row r="87" spans="1:40" x14ac:dyDescent="0.35">
      <c r="A87" t="s">
        <v>223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41</v>
      </c>
      <c r="N87" t="s">
        <v>42</v>
      </c>
      <c r="O87">
        <v>2458</v>
      </c>
      <c r="P87" s="1">
        <v>31120</v>
      </c>
      <c r="Q87" t="s">
        <v>43</v>
      </c>
      <c r="R87" t="s">
        <v>75</v>
      </c>
      <c r="S87" t="s">
        <v>45</v>
      </c>
      <c r="T87" t="s">
        <v>46</v>
      </c>
      <c r="U87" t="s">
        <v>47</v>
      </c>
      <c r="V87" t="s">
        <v>48</v>
      </c>
      <c r="W87" s="1">
        <v>41687</v>
      </c>
      <c r="X87" s="1">
        <v>43156</v>
      </c>
      <c r="Y87" t="s">
        <v>224</v>
      </c>
      <c r="Z87" t="s">
        <v>78</v>
      </c>
      <c r="AA87" t="s">
        <v>51</v>
      </c>
      <c r="AB87" t="s">
        <v>88</v>
      </c>
      <c r="AC87" t="s">
        <v>79</v>
      </c>
      <c r="AD87" t="s">
        <v>124</v>
      </c>
      <c r="AE87">
        <v>2.2999999999999998</v>
      </c>
      <c r="AF87">
        <v>3</v>
      </c>
      <c r="AG87">
        <v>0</v>
      </c>
      <c r="AH87" s="1">
        <v>42750</v>
      </c>
      <c r="AI87">
        <v>19</v>
      </c>
      <c r="AJ87">
        <v>33</v>
      </c>
      <c r="AK87">
        <v>4</v>
      </c>
      <c r="AL87">
        <v>16</v>
      </c>
      <c r="AM87">
        <f>IF(Cleaned_Data[[#This Row],[DateofTermination]]="","",YEAR(Cleaned_Data[[#This Row],[DateofTermination]]))</f>
        <v>2018</v>
      </c>
      <c r="AN87">
        <v>1</v>
      </c>
    </row>
    <row r="88" spans="1:40" x14ac:dyDescent="0.35">
      <c r="A88" t="s">
        <v>225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100</v>
      </c>
      <c r="N88" t="s">
        <v>42</v>
      </c>
      <c r="O88">
        <v>1749</v>
      </c>
      <c r="P88" s="1">
        <v>28577</v>
      </c>
      <c r="Q88" t="s">
        <v>43</v>
      </c>
      <c r="R88" t="s">
        <v>75</v>
      </c>
      <c r="S88" t="s">
        <v>63</v>
      </c>
      <c r="T88" t="s">
        <v>46</v>
      </c>
      <c r="U88" t="s">
        <v>47</v>
      </c>
      <c r="V88" t="s">
        <v>71</v>
      </c>
      <c r="W88" s="1">
        <v>40579</v>
      </c>
      <c r="X88" s="1">
        <v>41400</v>
      </c>
      <c r="Y88" t="s">
        <v>119</v>
      </c>
      <c r="Z88" t="s">
        <v>78</v>
      </c>
      <c r="AA88" t="s">
        <v>101</v>
      </c>
      <c r="AB88" t="s">
        <v>102</v>
      </c>
      <c r="AC88" t="s">
        <v>67</v>
      </c>
      <c r="AD88" t="s">
        <v>124</v>
      </c>
      <c r="AE88">
        <v>2.1</v>
      </c>
      <c r="AF88">
        <v>5</v>
      </c>
      <c r="AG88">
        <v>4</v>
      </c>
      <c r="AH88" s="1">
        <v>41190</v>
      </c>
      <c r="AI88">
        <v>19</v>
      </c>
      <c r="AJ88">
        <v>35</v>
      </c>
      <c r="AK88">
        <v>2</v>
      </c>
      <c r="AL88">
        <v>10</v>
      </c>
      <c r="AM88">
        <f>IF(Cleaned_Data[[#This Row],[DateofTermination]]="","",YEAR(Cleaned_Data[[#This Row],[DateofTermination]]))</f>
        <v>2013</v>
      </c>
      <c r="AN88">
        <v>1</v>
      </c>
    </row>
    <row r="89" spans="1:40" x14ac:dyDescent="0.35">
      <c r="A89" t="s">
        <v>226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81</v>
      </c>
      <c r="N89" t="s">
        <v>42</v>
      </c>
      <c r="O89">
        <v>1824</v>
      </c>
      <c r="P89" s="1">
        <v>24852</v>
      </c>
      <c r="Q89" t="s">
        <v>43</v>
      </c>
      <c r="R89" t="s">
        <v>75</v>
      </c>
      <c r="S89" t="s">
        <v>63</v>
      </c>
      <c r="T89" t="s">
        <v>46</v>
      </c>
      <c r="U89" t="s">
        <v>47</v>
      </c>
      <c r="V89" t="s">
        <v>71</v>
      </c>
      <c r="W89" s="1">
        <v>41827</v>
      </c>
      <c r="X89" s="1"/>
      <c r="Y89" t="s">
        <v>49</v>
      </c>
      <c r="Z89" t="s">
        <v>50</v>
      </c>
      <c r="AA89" t="s">
        <v>51</v>
      </c>
      <c r="AB89" t="s">
        <v>88</v>
      </c>
      <c r="AC89" t="s">
        <v>53</v>
      </c>
      <c r="AD89" t="s">
        <v>60</v>
      </c>
      <c r="AE89">
        <v>4.4000000000000004</v>
      </c>
      <c r="AF89">
        <v>5</v>
      </c>
      <c r="AG89">
        <v>0</v>
      </c>
      <c r="AH89" s="1">
        <v>43518</v>
      </c>
      <c r="AI89">
        <v>17</v>
      </c>
      <c r="AJ89">
        <v>52</v>
      </c>
      <c r="AK89">
        <v>5</v>
      </c>
      <c r="AL89">
        <v>16</v>
      </c>
      <c r="AM89" t="str">
        <f>IF(Cleaned_Data[[#This Row],[DateofTermination]]="","",YEAR(Cleaned_Data[[#This Row],[DateofTermination]]))</f>
        <v/>
      </c>
      <c r="AN89">
        <v>1</v>
      </c>
    </row>
    <row r="90" spans="1:40" x14ac:dyDescent="0.35">
      <c r="A90" t="s">
        <v>227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81</v>
      </c>
      <c r="N90" t="s">
        <v>42</v>
      </c>
      <c r="O90">
        <v>2324</v>
      </c>
      <c r="P90" s="1">
        <v>30452</v>
      </c>
      <c r="Q90" t="s">
        <v>43</v>
      </c>
      <c r="R90" t="s">
        <v>75</v>
      </c>
      <c r="S90" t="s">
        <v>45</v>
      </c>
      <c r="T90" t="s">
        <v>46</v>
      </c>
      <c r="U90" t="s">
        <v>47</v>
      </c>
      <c r="V90" t="s">
        <v>71</v>
      </c>
      <c r="W90" s="1">
        <v>41687</v>
      </c>
      <c r="X90" s="1"/>
      <c r="Y90" t="s">
        <v>49</v>
      </c>
      <c r="Z90" t="s">
        <v>50</v>
      </c>
      <c r="AA90" t="s">
        <v>51</v>
      </c>
      <c r="AB90" t="s">
        <v>93</v>
      </c>
      <c r="AC90" t="s">
        <v>53</v>
      </c>
      <c r="AD90" t="s">
        <v>60</v>
      </c>
      <c r="AE90">
        <v>4</v>
      </c>
      <c r="AF90">
        <v>4</v>
      </c>
      <c r="AG90">
        <v>0</v>
      </c>
      <c r="AH90" s="1">
        <v>43647</v>
      </c>
      <c r="AI90">
        <v>7</v>
      </c>
      <c r="AJ90">
        <v>37</v>
      </c>
      <c r="AK90">
        <v>6</v>
      </c>
      <c r="AL90">
        <v>39</v>
      </c>
      <c r="AM90" t="str">
        <f>IF(Cleaned_Data[[#This Row],[DateofTermination]]="","",YEAR(Cleaned_Data[[#This Row],[DateofTermination]]))</f>
        <v/>
      </c>
      <c r="AN90">
        <v>1</v>
      </c>
    </row>
    <row r="91" spans="1:40" x14ac:dyDescent="0.35">
      <c r="A91" t="s">
        <v>228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41</v>
      </c>
      <c r="N91" t="s">
        <v>42</v>
      </c>
      <c r="O91">
        <v>2176</v>
      </c>
      <c r="P91" s="1">
        <v>31121</v>
      </c>
      <c r="Q91" t="s">
        <v>43</v>
      </c>
      <c r="R91" t="s">
        <v>75</v>
      </c>
      <c r="S91" t="s">
        <v>63</v>
      </c>
      <c r="T91" t="s">
        <v>46</v>
      </c>
      <c r="U91" t="s">
        <v>47</v>
      </c>
      <c r="V91" t="s">
        <v>48</v>
      </c>
      <c r="W91" s="1">
        <v>40735</v>
      </c>
      <c r="X91" s="1">
        <v>42566</v>
      </c>
      <c r="Y91" t="s">
        <v>218</v>
      </c>
      <c r="Z91" t="s">
        <v>58</v>
      </c>
      <c r="AA91" t="s">
        <v>51</v>
      </c>
      <c r="AB91" t="s">
        <v>93</v>
      </c>
      <c r="AC91" t="s">
        <v>79</v>
      </c>
      <c r="AD91" t="s">
        <v>60</v>
      </c>
      <c r="AE91">
        <v>3.13</v>
      </c>
      <c r="AF91">
        <v>3</v>
      </c>
      <c r="AG91">
        <v>0</v>
      </c>
      <c r="AH91" s="1">
        <v>42462</v>
      </c>
      <c r="AI91">
        <v>16</v>
      </c>
      <c r="AJ91">
        <v>31</v>
      </c>
      <c r="AK91">
        <v>5</v>
      </c>
      <c r="AL91">
        <v>39</v>
      </c>
      <c r="AM91">
        <f>IF(Cleaned_Data[[#This Row],[DateofTermination]]="","",YEAR(Cleaned_Data[[#This Row],[DateofTermination]]))</f>
        <v>2016</v>
      </c>
      <c r="AN91">
        <v>1</v>
      </c>
    </row>
    <row r="92" spans="1:40" x14ac:dyDescent="0.35">
      <c r="A92" t="s">
        <v>229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41</v>
      </c>
      <c r="N92" t="s">
        <v>42</v>
      </c>
      <c r="O92">
        <v>2132</v>
      </c>
      <c r="P92" s="1">
        <v>33381</v>
      </c>
      <c r="Q92" t="s">
        <v>43</v>
      </c>
      <c r="R92" t="s">
        <v>44</v>
      </c>
      <c r="S92" t="s">
        <v>63</v>
      </c>
      <c r="T92" t="s">
        <v>46</v>
      </c>
      <c r="U92" t="s">
        <v>47</v>
      </c>
      <c r="V92" t="s">
        <v>48</v>
      </c>
      <c r="W92" s="1">
        <v>42313</v>
      </c>
      <c r="X92" s="1"/>
      <c r="Y92" t="s">
        <v>49</v>
      </c>
      <c r="Z92" t="s">
        <v>50</v>
      </c>
      <c r="AA92" t="s">
        <v>51</v>
      </c>
      <c r="AB92" t="s">
        <v>97</v>
      </c>
      <c r="AC92" t="s">
        <v>67</v>
      </c>
      <c r="AD92" t="s">
        <v>197</v>
      </c>
      <c r="AE92">
        <v>1.56</v>
      </c>
      <c r="AF92">
        <v>5</v>
      </c>
      <c r="AG92">
        <v>0</v>
      </c>
      <c r="AH92" s="1">
        <v>43525</v>
      </c>
      <c r="AI92">
        <v>15</v>
      </c>
      <c r="AJ92">
        <v>29</v>
      </c>
      <c r="AK92">
        <v>4</v>
      </c>
      <c r="AL92">
        <v>11</v>
      </c>
      <c r="AM92" t="str">
        <f>IF(Cleaned_Data[[#This Row],[DateofTermination]]="","",YEAR(Cleaned_Data[[#This Row],[DateofTermination]]))</f>
        <v/>
      </c>
      <c r="AN92">
        <v>1</v>
      </c>
    </row>
    <row r="93" spans="1:40" x14ac:dyDescent="0.35">
      <c r="A93" t="s">
        <v>230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231</v>
      </c>
      <c r="N93" t="s">
        <v>42</v>
      </c>
      <c r="O93">
        <v>2138</v>
      </c>
      <c r="P93" s="1">
        <v>20407</v>
      </c>
      <c r="Q93" t="s">
        <v>85</v>
      </c>
      <c r="R93" t="s">
        <v>44</v>
      </c>
      <c r="S93" t="s">
        <v>45</v>
      </c>
      <c r="T93" t="s">
        <v>46</v>
      </c>
      <c r="U93" t="s">
        <v>47</v>
      </c>
      <c r="V93" t="s">
        <v>48</v>
      </c>
      <c r="W93" s="1">
        <v>42093</v>
      </c>
      <c r="X93" s="1"/>
      <c r="Y93" t="s">
        <v>49</v>
      </c>
      <c r="Z93" t="s">
        <v>50</v>
      </c>
      <c r="AA93" t="s">
        <v>65</v>
      </c>
      <c r="AB93" t="s">
        <v>112</v>
      </c>
      <c r="AC93" t="s">
        <v>53</v>
      </c>
      <c r="AD93" t="s">
        <v>197</v>
      </c>
      <c r="AE93">
        <v>1.2</v>
      </c>
      <c r="AF93">
        <v>3</v>
      </c>
      <c r="AG93">
        <v>6</v>
      </c>
      <c r="AH93" s="1">
        <v>43557</v>
      </c>
      <c r="AI93">
        <v>2</v>
      </c>
      <c r="AJ93">
        <v>64</v>
      </c>
      <c r="AK93">
        <v>5</v>
      </c>
      <c r="AL93">
        <v>7</v>
      </c>
      <c r="AM93" t="str">
        <f>IF(Cleaned_Data[[#This Row],[DateofTermination]]="","",YEAR(Cleaned_Data[[#This Row],[DateofTermination]]))</f>
        <v/>
      </c>
      <c r="AN93">
        <v>1</v>
      </c>
    </row>
    <row r="94" spans="1:40" x14ac:dyDescent="0.35">
      <c r="A94" t="s">
        <v>232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41</v>
      </c>
      <c r="N94" t="s">
        <v>42</v>
      </c>
      <c r="O94">
        <v>2155</v>
      </c>
      <c r="P94" s="1">
        <v>31921</v>
      </c>
      <c r="Q94" t="s">
        <v>43</v>
      </c>
      <c r="R94" t="s">
        <v>75</v>
      </c>
      <c r="S94" t="s">
        <v>63</v>
      </c>
      <c r="T94" t="s">
        <v>46</v>
      </c>
      <c r="U94" t="s">
        <v>47</v>
      </c>
      <c r="V94" t="s">
        <v>48</v>
      </c>
      <c r="W94" s="1">
        <v>41153</v>
      </c>
      <c r="X94" s="1"/>
      <c r="Y94" t="s">
        <v>49</v>
      </c>
      <c r="Z94" t="s">
        <v>50</v>
      </c>
      <c r="AA94" t="s">
        <v>51</v>
      </c>
      <c r="AB94" t="s">
        <v>109</v>
      </c>
      <c r="AC94" t="s">
        <v>79</v>
      </c>
      <c r="AD94" t="s">
        <v>60</v>
      </c>
      <c r="AE94">
        <v>5</v>
      </c>
      <c r="AF94">
        <v>5</v>
      </c>
      <c r="AG94">
        <v>0</v>
      </c>
      <c r="AH94" s="1">
        <v>43494</v>
      </c>
      <c r="AI94">
        <v>19</v>
      </c>
      <c r="AJ94">
        <v>33</v>
      </c>
      <c r="AK94">
        <v>7</v>
      </c>
      <c r="AL94">
        <v>12</v>
      </c>
      <c r="AM94" t="str">
        <f>IF(Cleaned_Data[[#This Row],[DateofTermination]]="","",YEAR(Cleaned_Data[[#This Row],[DateofTermination]]))</f>
        <v/>
      </c>
      <c r="AN94">
        <v>1</v>
      </c>
    </row>
    <row r="95" spans="1:40" x14ac:dyDescent="0.35">
      <c r="A95" t="s">
        <v>233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81</v>
      </c>
      <c r="N95" t="s">
        <v>42</v>
      </c>
      <c r="O95">
        <v>2143</v>
      </c>
      <c r="P95" s="1">
        <v>29097</v>
      </c>
      <c r="Q95" t="s">
        <v>43</v>
      </c>
      <c r="R95" t="s">
        <v>44</v>
      </c>
      <c r="S95" t="s">
        <v>45</v>
      </c>
      <c r="T95" t="s">
        <v>46</v>
      </c>
      <c r="U95" t="s">
        <v>76</v>
      </c>
      <c r="V95" t="s">
        <v>48</v>
      </c>
      <c r="W95" s="1">
        <v>40679</v>
      </c>
      <c r="X95" s="1">
        <v>41449</v>
      </c>
      <c r="Y95" t="s">
        <v>82</v>
      </c>
      <c r="Z95" t="s">
        <v>58</v>
      </c>
      <c r="AA95" t="s">
        <v>51</v>
      </c>
      <c r="AB95" t="s">
        <v>97</v>
      </c>
      <c r="AC95" t="s">
        <v>79</v>
      </c>
      <c r="AD95" t="s">
        <v>60</v>
      </c>
      <c r="AE95">
        <v>4.76</v>
      </c>
      <c r="AF95">
        <v>5</v>
      </c>
      <c r="AG95">
        <v>0</v>
      </c>
      <c r="AH95" s="1">
        <v>41398</v>
      </c>
      <c r="AI95">
        <v>20</v>
      </c>
      <c r="AJ95">
        <v>34</v>
      </c>
      <c r="AK95">
        <v>2</v>
      </c>
      <c r="AL95">
        <v>11</v>
      </c>
      <c r="AM95">
        <f>IF(Cleaned_Data[[#This Row],[DateofTermination]]="","",YEAR(Cleaned_Data[[#This Row],[DateofTermination]]))</f>
        <v>2013</v>
      </c>
      <c r="AN95">
        <v>1</v>
      </c>
    </row>
    <row r="96" spans="1:40" x14ac:dyDescent="0.35">
      <c r="A96" t="s">
        <v>234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81</v>
      </c>
      <c r="N96" t="s">
        <v>42</v>
      </c>
      <c r="O96">
        <v>2170</v>
      </c>
      <c r="P96" s="1">
        <v>28910</v>
      </c>
      <c r="Q96" t="s">
        <v>43</v>
      </c>
      <c r="R96" t="s">
        <v>75</v>
      </c>
      <c r="S96" t="s">
        <v>63</v>
      </c>
      <c r="T96" t="s">
        <v>46</v>
      </c>
      <c r="U96" t="s">
        <v>47</v>
      </c>
      <c r="V96" t="s">
        <v>48</v>
      </c>
      <c r="W96" s="1">
        <v>40637</v>
      </c>
      <c r="X96" s="1">
        <v>41518</v>
      </c>
      <c r="Y96" t="s">
        <v>64</v>
      </c>
      <c r="Z96" t="s">
        <v>58</v>
      </c>
      <c r="AA96" t="s">
        <v>51</v>
      </c>
      <c r="AB96" t="s">
        <v>105</v>
      </c>
      <c r="AC96" t="s">
        <v>79</v>
      </c>
      <c r="AD96" t="s">
        <v>60</v>
      </c>
      <c r="AE96">
        <v>3.66</v>
      </c>
      <c r="AF96">
        <v>3</v>
      </c>
      <c r="AG96">
        <v>0</v>
      </c>
      <c r="AH96" s="1">
        <v>41091</v>
      </c>
      <c r="AI96">
        <v>6</v>
      </c>
      <c r="AJ96">
        <v>35</v>
      </c>
      <c r="AK96">
        <v>2</v>
      </c>
      <c r="AL96">
        <v>19</v>
      </c>
      <c r="AM96">
        <f>IF(Cleaned_Data[[#This Row],[DateofTermination]]="","",YEAR(Cleaned_Data[[#This Row],[DateofTermination]]))</f>
        <v>2013</v>
      </c>
      <c r="AN96">
        <v>1</v>
      </c>
    </row>
    <row r="97" spans="1:40" x14ac:dyDescent="0.35">
      <c r="A97" t="s">
        <v>235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145</v>
      </c>
      <c r="N97" t="s">
        <v>42</v>
      </c>
      <c r="O97">
        <v>2330</v>
      </c>
      <c r="P97" s="1">
        <v>28719</v>
      </c>
      <c r="Q97" t="s">
        <v>43</v>
      </c>
      <c r="R97" t="s">
        <v>44</v>
      </c>
      <c r="S97" t="s">
        <v>63</v>
      </c>
      <c r="T97" t="s">
        <v>46</v>
      </c>
      <c r="U97" t="s">
        <v>47</v>
      </c>
      <c r="V97" t="s">
        <v>48</v>
      </c>
      <c r="W97" s="1">
        <v>41911</v>
      </c>
      <c r="X97" s="1">
        <v>43361</v>
      </c>
      <c r="Y97" t="s">
        <v>236</v>
      </c>
      <c r="Z97" t="s">
        <v>78</v>
      </c>
      <c r="AA97" t="s">
        <v>147</v>
      </c>
      <c r="AB97" t="s">
        <v>166</v>
      </c>
      <c r="AC97" t="s">
        <v>106</v>
      </c>
      <c r="AD97" t="s">
        <v>197</v>
      </c>
      <c r="AE97">
        <v>2</v>
      </c>
      <c r="AF97">
        <v>5</v>
      </c>
      <c r="AG97">
        <v>0</v>
      </c>
      <c r="AH97" s="1">
        <v>43493</v>
      </c>
      <c r="AI97">
        <v>7</v>
      </c>
      <c r="AJ97">
        <v>40</v>
      </c>
      <c r="AK97">
        <v>4</v>
      </c>
      <c r="AL97">
        <v>21</v>
      </c>
      <c r="AM97">
        <f>IF(Cleaned_Data[[#This Row],[DateofTermination]]="","",YEAR(Cleaned_Data[[#This Row],[DateofTermination]]))</f>
        <v>2018</v>
      </c>
      <c r="AN97">
        <v>1</v>
      </c>
    </row>
    <row r="98" spans="1:40" x14ac:dyDescent="0.35">
      <c r="A98" t="s">
        <v>237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238</v>
      </c>
      <c r="N98" t="s">
        <v>42</v>
      </c>
      <c r="O98">
        <v>1460</v>
      </c>
      <c r="P98" s="1">
        <v>29348</v>
      </c>
      <c r="Q98" t="s">
        <v>43</v>
      </c>
      <c r="R98" t="s">
        <v>44</v>
      </c>
      <c r="S98" t="s">
        <v>45</v>
      </c>
      <c r="T98" t="s">
        <v>46</v>
      </c>
      <c r="U98" t="s">
        <v>47</v>
      </c>
      <c r="V98" t="s">
        <v>71</v>
      </c>
      <c r="W98" s="1">
        <v>40648</v>
      </c>
      <c r="X98" s="1"/>
      <c r="Y98" t="s">
        <v>49</v>
      </c>
      <c r="Z98" t="s">
        <v>50</v>
      </c>
      <c r="AA98" t="s">
        <v>65</v>
      </c>
      <c r="AB98" t="s">
        <v>153</v>
      </c>
      <c r="AC98" t="s">
        <v>67</v>
      </c>
      <c r="AD98" t="s">
        <v>54</v>
      </c>
      <c r="AE98">
        <v>5</v>
      </c>
      <c r="AF98">
        <v>5</v>
      </c>
      <c r="AG98">
        <v>5</v>
      </c>
      <c r="AH98" s="1">
        <v>43647</v>
      </c>
      <c r="AI98">
        <v>15</v>
      </c>
      <c r="AJ98">
        <v>40</v>
      </c>
      <c r="AK98">
        <v>9</v>
      </c>
      <c r="AL98">
        <v>5</v>
      </c>
      <c r="AM98" t="str">
        <f>IF(Cleaned_Data[[#This Row],[DateofTermination]]="","",YEAR(Cleaned_Data[[#This Row],[DateofTermination]]))</f>
        <v/>
      </c>
      <c r="AN98">
        <v>1</v>
      </c>
    </row>
    <row r="99" spans="1:40" x14ac:dyDescent="0.35">
      <c r="A99" t="s">
        <v>239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131</v>
      </c>
      <c r="N99" t="s">
        <v>42</v>
      </c>
      <c r="O99">
        <v>2050</v>
      </c>
      <c r="P99" s="1">
        <v>28961</v>
      </c>
      <c r="Q99" t="s">
        <v>43</v>
      </c>
      <c r="R99" t="s">
        <v>75</v>
      </c>
      <c r="S99" t="s">
        <v>63</v>
      </c>
      <c r="T99" t="s">
        <v>46</v>
      </c>
      <c r="U99" t="s">
        <v>240</v>
      </c>
      <c r="V99" t="s">
        <v>48</v>
      </c>
      <c r="W99" s="1">
        <v>39934</v>
      </c>
      <c r="X99" s="1"/>
      <c r="Y99" t="s">
        <v>49</v>
      </c>
      <c r="Z99" t="s">
        <v>50</v>
      </c>
      <c r="AA99" t="s">
        <v>132</v>
      </c>
      <c r="AB99" t="s">
        <v>241</v>
      </c>
      <c r="AC99" t="s">
        <v>242</v>
      </c>
      <c r="AD99" t="s">
        <v>60</v>
      </c>
      <c r="AE99">
        <v>5</v>
      </c>
      <c r="AF99">
        <v>3</v>
      </c>
      <c r="AG99">
        <v>2</v>
      </c>
      <c r="AH99" s="1">
        <v>43679</v>
      </c>
      <c r="AI99">
        <v>3</v>
      </c>
      <c r="AJ99">
        <v>41</v>
      </c>
      <c r="AK99">
        <v>11</v>
      </c>
      <c r="AL99">
        <v>9</v>
      </c>
      <c r="AM99" t="str">
        <f>IF(Cleaned_Data[[#This Row],[DateofTermination]]="","",YEAR(Cleaned_Data[[#This Row],[DateofTermination]]))</f>
        <v/>
      </c>
      <c r="AN99">
        <v>1</v>
      </c>
    </row>
    <row r="100" spans="1:40" x14ac:dyDescent="0.35">
      <c r="A100" t="s">
        <v>243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145</v>
      </c>
      <c r="N100" t="s">
        <v>128</v>
      </c>
      <c r="O100">
        <v>6050</v>
      </c>
      <c r="P100" s="1">
        <v>23251</v>
      </c>
      <c r="Q100" t="s">
        <v>85</v>
      </c>
      <c r="R100" t="s">
        <v>44</v>
      </c>
      <c r="S100" t="s">
        <v>45</v>
      </c>
      <c r="T100" t="s">
        <v>46</v>
      </c>
      <c r="U100" t="s">
        <v>47</v>
      </c>
      <c r="V100" t="s">
        <v>71</v>
      </c>
      <c r="W100" s="1">
        <v>40703</v>
      </c>
      <c r="X100" s="1"/>
      <c r="Y100" t="s">
        <v>49</v>
      </c>
      <c r="Z100" t="s">
        <v>50</v>
      </c>
      <c r="AA100" t="s">
        <v>147</v>
      </c>
      <c r="AB100" t="s">
        <v>166</v>
      </c>
      <c r="AC100" t="s">
        <v>123</v>
      </c>
      <c r="AD100" t="s">
        <v>60</v>
      </c>
      <c r="AE100">
        <v>4.3</v>
      </c>
      <c r="AF100">
        <v>3</v>
      </c>
      <c r="AG100">
        <v>0</v>
      </c>
      <c r="AH100" s="1">
        <v>43492</v>
      </c>
      <c r="AI100">
        <v>7</v>
      </c>
      <c r="AJ100">
        <v>56</v>
      </c>
      <c r="AK100">
        <v>9</v>
      </c>
      <c r="AL100">
        <v>21</v>
      </c>
      <c r="AM100" t="str">
        <f>IF(Cleaned_Data[[#This Row],[DateofTermination]]="","",YEAR(Cleaned_Data[[#This Row],[DateofTermination]]))</f>
        <v/>
      </c>
      <c r="AN100">
        <v>1</v>
      </c>
    </row>
    <row r="101" spans="1:40" x14ac:dyDescent="0.35">
      <c r="A101" t="s">
        <v>244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111</v>
      </c>
      <c r="N101" t="s">
        <v>128</v>
      </c>
      <c r="O101">
        <v>6040</v>
      </c>
      <c r="P101" s="1">
        <v>31305</v>
      </c>
      <c r="Q101" t="s">
        <v>43</v>
      </c>
      <c r="R101" t="s">
        <v>75</v>
      </c>
      <c r="S101" t="s">
        <v>45</v>
      </c>
      <c r="T101" t="s">
        <v>46</v>
      </c>
      <c r="U101" t="s">
        <v>47</v>
      </c>
      <c r="V101" t="s">
        <v>48</v>
      </c>
      <c r="W101" s="1">
        <v>40183</v>
      </c>
      <c r="X101" s="1"/>
      <c r="Y101" t="s">
        <v>49</v>
      </c>
      <c r="Z101" t="s">
        <v>50</v>
      </c>
      <c r="AA101" t="s">
        <v>65</v>
      </c>
      <c r="AB101" t="s">
        <v>172</v>
      </c>
      <c r="AC101" t="s">
        <v>53</v>
      </c>
      <c r="AD101" t="s">
        <v>60</v>
      </c>
      <c r="AE101">
        <v>4.7</v>
      </c>
      <c r="AF101">
        <v>4</v>
      </c>
      <c r="AG101">
        <v>5</v>
      </c>
      <c r="AH101" s="1">
        <v>43467</v>
      </c>
      <c r="AI101">
        <v>1</v>
      </c>
      <c r="AJ101">
        <v>34</v>
      </c>
      <c r="AK101">
        <v>10</v>
      </c>
      <c r="AL101">
        <v>6</v>
      </c>
      <c r="AM101" t="str">
        <f>IF(Cleaned_Data[[#This Row],[DateofTermination]]="","",YEAR(Cleaned_Data[[#This Row],[DateofTermination]]))</f>
        <v/>
      </c>
      <c r="AN101">
        <v>1</v>
      </c>
    </row>
    <row r="102" spans="1:40" x14ac:dyDescent="0.35">
      <c r="A102" t="s">
        <v>245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41</v>
      </c>
      <c r="N102" t="s">
        <v>42</v>
      </c>
      <c r="O102">
        <v>1905</v>
      </c>
      <c r="P102" s="1">
        <v>25703</v>
      </c>
      <c r="Q102" t="s">
        <v>43</v>
      </c>
      <c r="R102" t="s">
        <v>44</v>
      </c>
      <c r="S102" t="s">
        <v>45</v>
      </c>
      <c r="T102" t="s">
        <v>46</v>
      </c>
      <c r="U102" t="s">
        <v>76</v>
      </c>
      <c r="V102" t="s">
        <v>48</v>
      </c>
      <c r="W102" s="1">
        <v>42093</v>
      </c>
      <c r="X102" s="1"/>
      <c r="Y102" t="s">
        <v>49</v>
      </c>
      <c r="Z102" t="s">
        <v>50</v>
      </c>
      <c r="AA102" t="s">
        <v>51</v>
      </c>
      <c r="AB102" t="s">
        <v>114</v>
      </c>
      <c r="AC102" t="s">
        <v>106</v>
      </c>
      <c r="AD102" t="s">
        <v>60</v>
      </c>
      <c r="AE102">
        <v>4.5</v>
      </c>
      <c r="AF102">
        <v>3</v>
      </c>
      <c r="AG102">
        <v>0</v>
      </c>
      <c r="AH102" s="1">
        <v>43514</v>
      </c>
      <c r="AI102">
        <v>5</v>
      </c>
      <c r="AJ102">
        <v>50</v>
      </c>
      <c r="AK102">
        <v>5</v>
      </c>
      <c r="AL102">
        <v>14</v>
      </c>
      <c r="AM102" t="str">
        <f>IF(Cleaned_Data[[#This Row],[DateofTermination]]="","",YEAR(Cleaned_Data[[#This Row],[DateofTermination]]))</f>
        <v/>
      </c>
      <c r="AN102">
        <v>1</v>
      </c>
    </row>
    <row r="103" spans="1:40" x14ac:dyDescent="0.35">
      <c r="A103" t="s">
        <v>246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41</v>
      </c>
      <c r="N103" t="s">
        <v>42</v>
      </c>
      <c r="O103">
        <v>2121</v>
      </c>
      <c r="P103" s="1">
        <v>32773</v>
      </c>
      <c r="Q103" t="s">
        <v>43</v>
      </c>
      <c r="R103" t="s">
        <v>75</v>
      </c>
      <c r="S103" t="s">
        <v>45</v>
      </c>
      <c r="T103" t="s">
        <v>46</v>
      </c>
      <c r="U103" t="s">
        <v>76</v>
      </c>
      <c r="V103" t="s">
        <v>71</v>
      </c>
      <c r="W103" s="1">
        <v>40679</v>
      </c>
      <c r="X103" s="1"/>
      <c r="Y103" t="s">
        <v>49</v>
      </c>
      <c r="Z103" t="s">
        <v>50</v>
      </c>
      <c r="AA103" t="s">
        <v>51</v>
      </c>
      <c r="AB103" t="s">
        <v>117</v>
      </c>
      <c r="AC103" t="s">
        <v>53</v>
      </c>
      <c r="AD103" t="s">
        <v>60</v>
      </c>
      <c r="AE103">
        <v>4.2</v>
      </c>
      <c r="AF103">
        <v>4</v>
      </c>
      <c r="AG103">
        <v>0</v>
      </c>
      <c r="AH103" s="1">
        <v>43522</v>
      </c>
      <c r="AI103">
        <v>12</v>
      </c>
      <c r="AJ103">
        <v>30</v>
      </c>
      <c r="AK103">
        <v>9</v>
      </c>
      <c r="AL103">
        <v>18</v>
      </c>
      <c r="AM103" t="str">
        <f>IF(Cleaned_Data[[#This Row],[DateofTermination]]="","",YEAR(Cleaned_Data[[#This Row],[DateofTermination]]))</f>
        <v/>
      </c>
      <c r="AN103">
        <v>1</v>
      </c>
    </row>
    <row r="104" spans="1:40" x14ac:dyDescent="0.35">
      <c r="A104" t="s">
        <v>247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41</v>
      </c>
      <c r="N104" t="s">
        <v>42</v>
      </c>
      <c r="O104">
        <v>2145</v>
      </c>
      <c r="P104" s="1">
        <v>26229</v>
      </c>
      <c r="Q104" t="s">
        <v>43</v>
      </c>
      <c r="R104" t="s">
        <v>75</v>
      </c>
      <c r="S104" t="s">
        <v>63</v>
      </c>
      <c r="T104" t="s">
        <v>46</v>
      </c>
      <c r="U104" t="s">
        <v>47</v>
      </c>
      <c r="V104" t="s">
        <v>71</v>
      </c>
      <c r="W104" s="1">
        <v>42093</v>
      </c>
      <c r="X104" s="1"/>
      <c r="Y104" t="s">
        <v>49</v>
      </c>
      <c r="Z104" t="s">
        <v>50</v>
      </c>
      <c r="AA104" t="s">
        <v>51</v>
      </c>
      <c r="AB104" t="s">
        <v>52</v>
      </c>
      <c r="AC104" t="s">
        <v>53</v>
      </c>
      <c r="AD104" t="s">
        <v>60</v>
      </c>
      <c r="AE104">
        <v>3.73</v>
      </c>
      <c r="AF104">
        <v>3</v>
      </c>
      <c r="AG104">
        <v>0</v>
      </c>
      <c r="AH104" s="1">
        <v>43481</v>
      </c>
      <c r="AI104">
        <v>19</v>
      </c>
      <c r="AJ104">
        <v>48</v>
      </c>
      <c r="AK104">
        <v>5</v>
      </c>
      <c r="AL104">
        <v>22</v>
      </c>
      <c r="AM104" t="str">
        <f>IF(Cleaned_Data[[#This Row],[DateofTermination]]="","",YEAR(Cleaned_Data[[#This Row],[DateofTermination]]))</f>
        <v/>
      </c>
      <c r="AN104">
        <v>1</v>
      </c>
    </row>
    <row r="105" spans="1:40" x14ac:dyDescent="0.35">
      <c r="A105" t="s">
        <v>248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41</v>
      </c>
      <c r="N105" t="s">
        <v>42</v>
      </c>
      <c r="O105">
        <v>2330</v>
      </c>
      <c r="P105" s="1">
        <v>32836</v>
      </c>
      <c r="Q105" t="s">
        <v>43</v>
      </c>
      <c r="R105" t="s">
        <v>75</v>
      </c>
      <c r="S105" t="s">
        <v>56</v>
      </c>
      <c r="T105" t="s">
        <v>46</v>
      </c>
      <c r="U105" t="s">
        <v>47</v>
      </c>
      <c r="V105" t="s">
        <v>71</v>
      </c>
      <c r="W105" s="1">
        <v>40735</v>
      </c>
      <c r="X105" s="1">
        <v>42689</v>
      </c>
      <c r="Y105" t="s">
        <v>82</v>
      </c>
      <c r="Z105" t="s">
        <v>58</v>
      </c>
      <c r="AA105" t="s">
        <v>51</v>
      </c>
      <c r="AB105" t="s">
        <v>88</v>
      </c>
      <c r="AC105" t="s">
        <v>72</v>
      </c>
      <c r="AD105" t="s">
        <v>60</v>
      </c>
      <c r="AE105">
        <v>4.24</v>
      </c>
      <c r="AF105">
        <v>4</v>
      </c>
      <c r="AG105">
        <v>0</v>
      </c>
      <c r="AH105" s="1">
        <v>42489</v>
      </c>
      <c r="AI105">
        <v>2</v>
      </c>
      <c r="AJ105">
        <v>27</v>
      </c>
      <c r="AK105">
        <v>5</v>
      </c>
      <c r="AL105">
        <v>16</v>
      </c>
      <c r="AM105">
        <f>IF(Cleaned_Data[[#This Row],[DateofTermination]]="","",YEAR(Cleaned_Data[[#This Row],[DateofTermination]]))</f>
        <v>2016</v>
      </c>
      <c r="AN105">
        <v>1</v>
      </c>
    </row>
    <row r="106" spans="1:40" x14ac:dyDescent="0.35">
      <c r="A106" t="s">
        <v>249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145</v>
      </c>
      <c r="N106" t="s">
        <v>250</v>
      </c>
      <c r="O106">
        <v>43050</v>
      </c>
      <c r="P106" s="1">
        <v>33773</v>
      </c>
      <c r="Q106" t="s">
        <v>43</v>
      </c>
      <c r="R106" t="s">
        <v>75</v>
      </c>
      <c r="S106" t="s">
        <v>104</v>
      </c>
      <c r="T106" t="s">
        <v>46</v>
      </c>
      <c r="U106" t="s">
        <v>47</v>
      </c>
      <c r="V106" t="s">
        <v>71</v>
      </c>
      <c r="W106" s="1">
        <v>41827</v>
      </c>
      <c r="X106" s="1">
        <v>42133</v>
      </c>
      <c r="Y106" t="s">
        <v>119</v>
      </c>
      <c r="Z106" t="s">
        <v>78</v>
      </c>
      <c r="AA106" t="s">
        <v>147</v>
      </c>
      <c r="AB106" t="s">
        <v>148</v>
      </c>
      <c r="AC106" t="s">
        <v>123</v>
      </c>
      <c r="AD106" t="s">
        <v>60</v>
      </c>
      <c r="AE106">
        <v>3.97</v>
      </c>
      <c r="AF106">
        <v>4</v>
      </c>
      <c r="AG106">
        <v>0</v>
      </c>
      <c r="AH106" s="1">
        <v>41654</v>
      </c>
      <c r="AI106">
        <v>7</v>
      </c>
      <c r="AJ106">
        <v>23</v>
      </c>
      <c r="AK106">
        <v>1</v>
      </c>
      <c r="AL106">
        <v>17</v>
      </c>
      <c r="AM106">
        <f>IF(Cleaned_Data[[#This Row],[DateofTermination]]="","",YEAR(Cleaned_Data[[#This Row],[DateofTermination]]))</f>
        <v>2015</v>
      </c>
      <c r="AN106">
        <v>1</v>
      </c>
    </row>
    <row r="107" spans="1:40" x14ac:dyDescent="0.35">
      <c r="A107" t="s">
        <v>251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41</v>
      </c>
      <c r="N107" t="s">
        <v>42</v>
      </c>
      <c r="O107">
        <v>2062</v>
      </c>
      <c r="P107" s="1">
        <v>25475</v>
      </c>
      <c r="Q107" t="s">
        <v>43</v>
      </c>
      <c r="R107" t="s">
        <v>44</v>
      </c>
      <c r="S107" t="s">
        <v>63</v>
      </c>
      <c r="T107" t="s">
        <v>46</v>
      </c>
      <c r="U107" t="s">
        <v>47</v>
      </c>
      <c r="V107" t="s">
        <v>71</v>
      </c>
      <c r="W107" s="1">
        <v>40943</v>
      </c>
      <c r="X107" s="1">
        <v>42180</v>
      </c>
      <c r="Y107" t="s">
        <v>218</v>
      </c>
      <c r="Z107" t="s">
        <v>58</v>
      </c>
      <c r="AA107" t="s">
        <v>51</v>
      </c>
      <c r="AB107" t="s">
        <v>93</v>
      </c>
      <c r="AC107" t="s">
        <v>72</v>
      </c>
      <c r="AD107" t="s">
        <v>124</v>
      </c>
      <c r="AE107">
        <v>3.97</v>
      </c>
      <c r="AF107">
        <v>4</v>
      </c>
      <c r="AG107">
        <v>0</v>
      </c>
      <c r="AH107" s="1">
        <v>42024</v>
      </c>
      <c r="AI107">
        <v>15</v>
      </c>
      <c r="AJ107">
        <v>46</v>
      </c>
      <c r="AK107">
        <v>3</v>
      </c>
      <c r="AL107">
        <v>39</v>
      </c>
      <c r="AM107">
        <f>IF(Cleaned_Data[[#This Row],[DateofTermination]]="","",YEAR(Cleaned_Data[[#This Row],[DateofTermination]]))</f>
        <v>2015</v>
      </c>
      <c r="AN107">
        <v>1</v>
      </c>
    </row>
    <row r="108" spans="1:40" x14ac:dyDescent="0.35">
      <c r="A108" t="s">
        <v>252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41</v>
      </c>
      <c r="N108" t="s">
        <v>42</v>
      </c>
      <c r="O108">
        <v>2451</v>
      </c>
      <c r="P108" s="1">
        <v>29692</v>
      </c>
      <c r="Q108" t="s">
        <v>43</v>
      </c>
      <c r="R108" t="s">
        <v>75</v>
      </c>
      <c r="S108" t="s">
        <v>45</v>
      </c>
      <c r="T108" t="s">
        <v>46</v>
      </c>
      <c r="U108" t="s">
        <v>76</v>
      </c>
      <c r="V108" t="s">
        <v>116</v>
      </c>
      <c r="W108" s="1">
        <v>41911</v>
      </c>
      <c r="X108" s="1"/>
      <c r="Y108" t="s">
        <v>49</v>
      </c>
      <c r="Z108" t="s">
        <v>50</v>
      </c>
      <c r="AA108" t="s">
        <v>51</v>
      </c>
      <c r="AB108" t="s">
        <v>97</v>
      </c>
      <c r="AC108" t="s">
        <v>67</v>
      </c>
      <c r="AD108" t="s">
        <v>54</v>
      </c>
      <c r="AE108">
        <v>3.9</v>
      </c>
      <c r="AF108">
        <v>4</v>
      </c>
      <c r="AG108">
        <v>0</v>
      </c>
      <c r="AH108" s="1">
        <v>43648</v>
      </c>
      <c r="AI108">
        <v>3</v>
      </c>
      <c r="AJ108">
        <v>39</v>
      </c>
      <c r="AK108">
        <v>5</v>
      </c>
      <c r="AL108">
        <v>11</v>
      </c>
      <c r="AM108" t="str">
        <f>IF(Cleaned_Data[[#This Row],[DateofTermination]]="","",YEAR(Cleaned_Data[[#This Row],[DateofTermination]]))</f>
        <v/>
      </c>
      <c r="AN108">
        <v>1</v>
      </c>
    </row>
    <row r="109" spans="1:40" x14ac:dyDescent="0.35">
      <c r="A109" t="s">
        <v>253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145</v>
      </c>
      <c r="N109" t="s">
        <v>254</v>
      </c>
      <c r="O109">
        <v>46204</v>
      </c>
      <c r="P109" s="1">
        <v>31557</v>
      </c>
      <c r="Q109" t="s">
        <v>43</v>
      </c>
      <c r="R109" t="s">
        <v>75</v>
      </c>
      <c r="S109" t="s">
        <v>45</v>
      </c>
      <c r="T109" t="s">
        <v>46</v>
      </c>
      <c r="U109" t="s">
        <v>47</v>
      </c>
      <c r="V109" t="s">
        <v>48</v>
      </c>
      <c r="W109" s="1">
        <v>42051</v>
      </c>
      <c r="X109" s="1"/>
      <c r="Y109" t="s">
        <v>49</v>
      </c>
      <c r="Z109" t="s">
        <v>50</v>
      </c>
      <c r="AA109" t="s">
        <v>147</v>
      </c>
      <c r="AB109" t="s">
        <v>166</v>
      </c>
      <c r="AC109" t="s">
        <v>67</v>
      </c>
      <c r="AD109" t="s">
        <v>60</v>
      </c>
      <c r="AE109">
        <v>4.5</v>
      </c>
      <c r="AF109">
        <v>5</v>
      </c>
      <c r="AG109">
        <v>0</v>
      </c>
      <c r="AH109" s="1">
        <v>43490</v>
      </c>
      <c r="AI109">
        <v>20</v>
      </c>
      <c r="AJ109">
        <v>34</v>
      </c>
      <c r="AK109">
        <v>5</v>
      </c>
      <c r="AL109">
        <v>21</v>
      </c>
      <c r="AM109" t="str">
        <f>IF(Cleaned_Data[[#This Row],[DateofTermination]]="","",YEAR(Cleaned_Data[[#This Row],[DateofTermination]]))</f>
        <v/>
      </c>
      <c r="AN109">
        <v>1</v>
      </c>
    </row>
    <row r="110" spans="1:40" x14ac:dyDescent="0.35">
      <c r="A110" t="s">
        <v>255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74</v>
      </c>
      <c r="N110" t="s">
        <v>42</v>
      </c>
      <c r="O110">
        <v>2127</v>
      </c>
      <c r="P110" s="1">
        <v>28996</v>
      </c>
      <c r="Q110" t="s">
        <v>43</v>
      </c>
      <c r="R110" t="s">
        <v>75</v>
      </c>
      <c r="S110" t="s">
        <v>45</v>
      </c>
      <c r="T110" t="s">
        <v>46</v>
      </c>
      <c r="U110" t="s">
        <v>47</v>
      </c>
      <c r="V110" t="s">
        <v>48</v>
      </c>
      <c r="W110" s="1">
        <v>42051</v>
      </c>
      <c r="X110" s="1">
        <v>42078</v>
      </c>
      <c r="Y110" t="s">
        <v>224</v>
      </c>
      <c r="Z110" t="s">
        <v>78</v>
      </c>
      <c r="AA110" t="s">
        <v>65</v>
      </c>
      <c r="AB110" t="s">
        <v>66</v>
      </c>
      <c r="AC110" t="s">
        <v>67</v>
      </c>
      <c r="AD110" t="s">
        <v>60</v>
      </c>
      <c r="AE110">
        <v>4.5999999999999996</v>
      </c>
      <c r="AF110">
        <v>4</v>
      </c>
      <c r="AG110">
        <v>4</v>
      </c>
      <c r="AH110" s="1">
        <v>42024</v>
      </c>
      <c r="AI110">
        <v>10</v>
      </c>
      <c r="AJ110">
        <v>36</v>
      </c>
      <c r="AK110">
        <v>0</v>
      </c>
      <c r="AL110">
        <v>4</v>
      </c>
      <c r="AM110">
        <f>IF(Cleaned_Data[[#This Row],[DateofTermination]]="","",YEAR(Cleaned_Data[[#This Row],[DateofTermination]]))</f>
        <v>2015</v>
      </c>
      <c r="AN110">
        <v>1</v>
      </c>
    </row>
    <row r="111" spans="1:40" x14ac:dyDescent="0.35">
      <c r="A111" t="s">
        <v>256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111</v>
      </c>
      <c r="N111" t="s">
        <v>42</v>
      </c>
      <c r="O111">
        <v>2135</v>
      </c>
      <c r="P111" s="1">
        <v>30457</v>
      </c>
      <c r="Q111" t="s">
        <v>43</v>
      </c>
      <c r="R111" t="s">
        <v>44</v>
      </c>
      <c r="S111" t="s">
        <v>63</v>
      </c>
      <c r="T111" t="s">
        <v>46</v>
      </c>
      <c r="U111" t="s">
        <v>76</v>
      </c>
      <c r="V111" t="s">
        <v>48</v>
      </c>
      <c r="W111" s="1">
        <v>42093</v>
      </c>
      <c r="X111" s="1"/>
      <c r="Y111" t="s">
        <v>49</v>
      </c>
      <c r="Z111" t="s">
        <v>50</v>
      </c>
      <c r="AA111" t="s">
        <v>65</v>
      </c>
      <c r="AB111" t="s">
        <v>112</v>
      </c>
      <c r="AC111" t="s">
        <v>53</v>
      </c>
      <c r="AD111" t="s">
        <v>60</v>
      </c>
      <c r="AE111">
        <v>4.3</v>
      </c>
      <c r="AF111">
        <v>5</v>
      </c>
      <c r="AG111">
        <v>7</v>
      </c>
      <c r="AH111" s="1">
        <v>43739</v>
      </c>
      <c r="AI111">
        <v>20</v>
      </c>
      <c r="AJ111">
        <v>37</v>
      </c>
      <c r="AK111">
        <v>5</v>
      </c>
      <c r="AL111">
        <v>7</v>
      </c>
      <c r="AM111" t="str">
        <f>IF(Cleaned_Data[[#This Row],[DateofTermination]]="","",YEAR(Cleaned_Data[[#This Row],[DateofTermination]]))</f>
        <v/>
      </c>
      <c r="AN111">
        <v>1</v>
      </c>
    </row>
    <row r="112" spans="1:40" x14ac:dyDescent="0.35">
      <c r="A112" t="s">
        <v>257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41</v>
      </c>
      <c r="N112" t="s">
        <v>42</v>
      </c>
      <c r="O112">
        <v>2451</v>
      </c>
      <c r="P112" s="1">
        <v>32689</v>
      </c>
      <c r="Q112" t="s">
        <v>43</v>
      </c>
      <c r="R112" t="s">
        <v>75</v>
      </c>
      <c r="S112" t="s">
        <v>45</v>
      </c>
      <c r="T112" t="s">
        <v>46</v>
      </c>
      <c r="U112" t="s">
        <v>76</v>
      </c>
      <c r="V112" t="s">
        <v>48</v>
      </c>
      <c r="W112" s="1">
        <v>41589</v>
      </c>
      <c r="X112" s="1"/>
      <c r="Y112" t="s">
        <v>49</v>
      </c>
      <c r="Z112" t="s">
        <v>50</v>
      </c>
      <c r="AA112" t="s">
        <v>51</v>
      </c>
      <c r="AB112" t="s">
        <v>105</v>
      </c>
      <c r="AC112" t="s">
        <v>67</v>
      </c>
      <c r="AD112" t="s">
        <v>60</v>
      </c>
      <c r="AE112">
        <v>4.3</v>
      </c>
      <c r="AF112">
        <v>5</v>
      </c>
      <c r="AG112">
        <v>0</v>
      </c>
      <c r="AH112" s="1">
        <v>43514</v>
      </c>
      <c r="AI112">
        <v>7</v>
      </c>
      <c r="AJ112">
        <v>31</v>
      </c>
      <c r="AK112">
        <v>6</v>
      </c>
      <c r="AL112">
        <v>19</v>
      </c>
      <c r="AM112" t="str">
        <f>IF(Cleaned_Data[[#This Row],[DateofTermination]]="","",YEAR(Cleaned_Data[[#This Row],[DateofTermination]]))</f>
        <v/>
      </c>
      <c r="AN112">
        <v>1</v>
      </c>
    </row>
    <row r="113" spans="1:40" x14ac:dyDescent="0.35">
      <c r="A113" t="s">
        <v>258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41</v>
      </c>
      <c r="N113" t="s">
        <v>42</v>
      </c>
      <c r="O113">
        <v>2108</v>
      </c>
      <c r="P113" s="1">
        <v>28207</v>
      </c>
      <c r="Q113" t="s">
        <v>43</v>
      </c>
      <c r="R113" t="s">
        <v>44</v>
      </c>
      <c r="S113" t="s">
        <v>56</v>
      </c>
      <c r="T113" t="s">
        <v>46</v>
      </c>
      <c r="U113" t="s">
        <v>47</v>
      </c>
      <c r="V113" t="s">
        <v>71</v>
      </c>
      <c r="W113" s="1">
        <v>40854</v>
      </c>
      <c r="X113" s="1"/>
      <c r="Y113" t="s">
        <v>49</v>
      </c>
      <c r="Z113" t="s">
        <v>50</v>
      </c>
      <c r="AA113" t="s">
        <v>51</v>
      </c>
      <c r="AB113" t="s">
        <v>109</v>
      </c>
      <c r="AC113" t="s">
        <v>72</v>
      </c>
      <c r="AD113" t="s">
        <v>54</v>
      </c>
      <c r="AE113">
        <v>4.5</v>
      </c>
      <c r="AF113">
        <v>4</v>
      </c>
      <c r="AG113">
        <v>0</v>
      </c>
      <c r="AH113" s="1">
        <v>43514</v>
      </c>
      <c r="AI113">
        <v>1</v>
      </c>
      <c r="AJ113">
        <v>43</v>
      </c>
      <c r="AK113">
        <v>8</v>
      </c>
      <c r="AL113">
        <v>12</v>
      </c>
      <c r="AM113" t="str">
        <f>IF(Cleaned_Data[[#This Row],[DateofTermination]]="","",YEAR(Cleaned_Data[[#This Row],[DateofTermination]]))</f>
        <v/>
      </c>
      <c r="AN113">
        <v>1</v>
      </c>
    </row>
    <row r="114" spans="1:40" x14ac:dyDescent="0.35">
      <c r="A114" t="s">
        <v>259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81</v>
      </c>
      <c r="N114" t="s">
        <v>42</v>
      </c>
      <c r="O114">
        <v>2128</v>
      </c>
      <c r="P114" s="1">
        <v>19224</v>
      </c>
      <c r="Q114" t="s">
        <v>85</v>
      </c>
      <c r="R114" t="s">
        <v>44</v>
      </c>
      <c r="S114" t="s">
        <v>63</v>
      </c>
      <c r="T114" t="s">
        <v>46</v>
      </c>
      <c r="U114" t="s">
        <v>47</v>
      </c>
      <c r="V114" t="s">
        <v>71</v>
      </c>
      <c r="W114" s="1">
        <v>40659</v>
      </c>
      <c r="X114" s="1">
        <v>40693</v>
      </c>
      <c r="Y114" t="s">
        <v>64</v>
      </c>
      <c r="Z114" t="s">
        <v>58</v>
      </c>
      <c r="AA114" t="s">
        <v>51</v>
      </c>
      <c r="AB114" t="s">
        <v>109</v>
      </c>
      <c r="AC114" t="s">
        <v>72</v>
      </c>
      <c r="AD114" t="s">
        <v>197</v>
      </c>
      <c r="AE114">
        <v>3</v>
      </c>
      <c r="AF114">
        <v>3</v>
      </c>
      <c r="AG114">
        <v>0</v>
      </c>
      <c r="AH114" s="1">
        <v>40697</v>
      </c>
      <c r="AI114">
        <v>10</v>
      </c>
      <c r="AJ114">
        <v>59</v>
      </c>
      <c r="AK114">
        <v>0</v>
      </c>
      <c r="AL114">
        <v>12</v>
      </c>
      <c r="AM114">
        <f>IF(Cleaned_Data[[#This Row],[DateofTermination]]="","",YEAR(Cleaned_Data[[#This Row],[DateofTermination]]))</f>
        <v>2011</v>
      </c>
      <c r="AN114">
        <v>1</v>
      </c>
    </row>
    <row r="115" spans="1:40" x14ac:dyDescent="0.35">
      <c r="A115" t="s">
        <v>260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111</v>
      </c>
      <c r="N115" t="s">
        <v>42</v>
      </c>
      <c r="O115">
        <v>2472</v>
      </c>
      <c r="P115" s="1">
        <v>26538</v>
      </c>
      <c r="Q115" t="s">
        <v>43</v>
      </c>
      <c r="R115" t="s">
        <v>75</v>
      </c>
      <c r="S115" t="s">
        <v>143</v>
      </c>
      <c r="T115" t="s">
        <v>46</v>
      </c>
      <c r="U115" t="s">
        <v>76</v>
      </c>
      <c r="V115" t="s">
        <v>48</v>
      </c>
      <c r="W115" s="1">
        <v>42125</v>
      </c>
      <c r="X115" s="1"/>
      <c r="Y115" t="s">
        <v>49</v>
      </c>
      <c r="Z115" t="s">
        <v>50</v>
      </c>
      <c r="AA115" t="s">
        <v>65</v>
      </c>
      <c r="AB115" t="s">
        <v>112</v>
      </c>
      <c r="AC115" t="s">
        <v>106</v>
      </c>
      <c r="AD115" t="s">
        <v>60</v>
      </c>
      <c r="AE115">
        <v>4.6100000000000003</v>
      </c>
      <c r="AF115">
        <v>4</v>
      </c>
      <c r="AG115">
        <v>5</v>
      </c>
      <c r="AH115" s="1">
        <v>43493</v>
      </c>
      <c r="AI115">
        <v>11</v>
      </c>
      <c r="AJ115">
        <v>47</v>
      </c>
      <c r="AK115">
        <v>5</v>
      </c>
      <c r="AL115">
        <v>7</v>
      </c>
      <c r="AM115" t="str">
        <f>IF(Cleaned_Data[[#This Row],[DateofTermination]]="","",YEAR(Cleaned_Data[[#This Row],[DateofTermination]]))</f>
        <v/>
      </c>
      <c r="AN115">
        <v>1</v>
      </c>
    </row>
    <row r="116" spans="1:40" x14ac:dyDescent="0.35">
      <c r="A116" t="s">
        <v>261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81</v>
      </c>
      <c r="N116" t="s">
        <v>42</v>
      </c>
      <c r="O116">
        <v>1886</v>
      </c>
      <c r="P116" s="1">
        <v>32400</v>
      </c>
      <c r="Q116" t="s">
        <v>43</v>
      </c>
      <c r="R116" t="s">
        <v>75</v>
      </c>
      <c r="S116" t="s">
        <v>63</v>
      </c>
      <c r="T116" t="s">
        <v>46</v>
      </c>
      <c r="U116" t="s">
        <v>47</v>
      </c>
      <c r="V116" t="s">
        <v>48</v>
      </c>
      <c r="W116" s="1">
        <v>41978</v>
      </c>
      <c r="X116" s="1"/>
      <c r="Y116" t="s">
        <v>49</v>
      </c>
      <c r="Z116" t="s">
        <v>50</v>
      </c>
      <c r="AA116" t="s">
        <v>51</v>
      </c>
      <c r="AB116" t="s">
        <v>114</v>
      </c>
      <c r="AC116" t="s">
        <v>53</v>
      </c>
      <c r="AD116" t="s">
        <v>60</v>
      </c>
      <c r="AE116">
        <v>4.5999999999999996</v>
      </c>
      <c r="AF116">
        <v>3</v>
      </c>
      <c r="AG116">
        <v>0</v>
      </c>
      <c r="AH116" s="1">
        <v>43648</v>
      </c>
      <c r="AI116">
        <v>20</v>
      </c>
      <c r="AJ116">
        <v>31</v>
      </c>
      <c r="AK116">
        <v>5</v>
      </c>
      <c r="AL116">
        <v>14</v>
      </c>
      <c r="AM116" t="str">
        <f>IF(Cleaned_Data[[#This Row],[DateofTermination]]="","",YEAR(Cleaned_Data[[#This Row],[DateofTermination]]))</f>
        <v/>
      </c>
      <c r="AN116">
        <v>1</v>
      </c>
    </row>
    <row r="117" spans="1:40" x14ac:dyDescent="0.35">
      <c r="A117" t="s">
        <v>262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41</v>
      </c>
      <c r="N117" t="s">
        <v>42</v>
      </c>
      <c r="O117">
        <v>2169</v>
      </c>
      <c r="P117" s="1">
        <v>30728</v>
      </c>
      <c r="Q117" t="s">
        <v>43</v>
      </c>
      <c r="R117" t="s">
        <v>44</v>
      </c>
      <c r="S117" t="s">
        <v>63</v>
      </c>
      <c r="T117" t="s">
        <v>46</v>
      </c>
      <c r="U117" t="s">
        <v>47</v>
      </c>
      <c r="V117" t="s">
        <v>48</v>
      </c>
      <c r="W117" s="1">
        <v>40946</v>
      </c>
      <c r="X117" s="1"/>
      <c r="Y117" t="s">
        <v>49</v>
      </c>
      <c r="Z117" t="s">
        <v>50</v>
      </c>
      <c r="AA117" t="s">
        <v>51</v>
      </c>
      <c r="AB117" t="s">
        <v>114</v>
      </c>
      <c r="AC117" t="s">
        <v>53</v>
      </c>
      <c r="AD117" t="s">
        <v>60</v>
      </c>
      <c r="AE117">
        <v>5</v>
      </c>
      <c r="AF117">
        <v>3</v>
      </c>
      <c r="AG117">
        <v>0</v>
      </c>
      <c r="AH117" s="1">
        <v>43479</v>
      </c>
      <c r="AI117">
        <v>2</v>
      </c>
      <c r="AJ117">
        <v>36</v>
      </c>
      <c r="AK117">
        <v>8</v>
      </c>
      <c r="AL117">
        <v>14</v>
      </c>
      <c r="AM117" t="str">
        <f>IF(Cleaned_Data[[#This Row],[DateofTermination]]="","",YEAR(Cleaned_Data[[#This Row],[DateofTermination]]))</f>
        <v/>
      </c>
      <c r="AN117">
        <v>1</v>
      </c>
    </row>
    <row r="118" spans="1:40" x14ac:dyDescent="0.35">
      <c r="A118" t="s">
        <v>263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81</v>
      </c>
      <c r="N118" t="s">
        <v>42</v>
      </c>
      <c r="O118">
        <v>1824</v>
      </c>
      <c r="P118" s="1">
        <v>30733</v>
      </c>
      <c r="Q118" t="s">
        <v>43</v>
      </c>
      <c r="R118" t="s">
        <v>75</v>
      </c>
      <c r="S118" t="s">
        <v>143</v>
      </c>
      <c r="T118" t="s">
        <v>46</v>
      </c>
      <c r="U118" t="s">
        <v>47</v>
      </c>
      <c r="V118" t="s">
        <v>264</v>
      </c>
      <c r="W118" s="1">
        <v>41547</v>
      </c>
      <c r="X118" s="1"/>
      <c r="Y118" t="s">
        <v>49</v>
      </c>
      <c r="Z118" t="s">
        <v>50</v>
      </c>
      <c r="AA118" t="s">
        <v>51</v>
      </c>
      <c r="AB118" t="s">
        <v>83</v>
      </c>
      <c r="AC118" t="s">
        <v>79</v>
      </c>
      <c r="AD118" t="s">
        <v>60</v>
      </c>
      <c r="AE118">
        <v>4.4000000000000004</v>
      </c>
      <c r="AF118">
        <v>5</v>
      </c>
      <c r="AG118">
        <v>0</v>
      </c>
      <c r="AH118" s="1">
        <v>43517</v>
      </c>
      <c r="AI118">
        <v>1</v>
      </c>
      <c r="AJ118">
        <v>36</v>
      </c>
      <c r="AK118">
        <v>6</v>
      </c>
      <c r="AL118">
        <v>20</v>
      </c>
      <c r="AM118" t="str">
        <f>IF(Cleaned_Data[[#This Row],[DateofTermination]]="","",YEAR(Cleaned_Data[[#This Row],[DateofTermination]]))</f>
        <v/>
      </c>
      <c r="AN118">
        <v>1</v>
      </c>
    </row>
    <row r="119" spans="1:40" x14ac:dyDescent="0.35">
      <c r="A119" t="s">
        <v>265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41</v>
      </c>
      <c r="N119" t="s">
        <v>42</v>
      </c>
      <c r="O119">
        <v>1864</v>
      </c>
      <c r="P119" s="1">
        <v>24183</v>
      </c>
      <c r="Q119" t="s">
        <v>43</v>
      </c>
      <c r="R119" t="s">
        <v>75</v>
      </c>
      <c r="S119" t="s">
        <v>63</v>
      </c>
      <c r="T119" t="s">
        <v>46</v>
      </c>
      <c r="U119" t="s">
        <v>47</v>
      </c>
      <c r="V119" t="s">
        <v>95</v>
      </c>
      <c r="W119" s="1">
        <v>41505</v>
      </c>
      <c r="X119" s="1"/>
      <c r="Y119" t="s">
        <v>49</v>
      </c>
      <c r="Z119" t="s">
        <v>50</v>
      </c>
      <c r="AA119" t="s">
        <v>51</v>
      </c>
      <c r="AB119" t="s">
        <v>83</v>
      </c>
      <c r="AC119" t="s">
        <v>53</v>
      </c>
      <c r="AD119" t="s">
        <v>60</v>
      </c>
      <c r="AE119">
        <v>4.0999999999999996</v>
      </c>
      <c r="AF119">
        <v>5</v>
      </c>
      <c r="AG119">
        <v>0</v>
      </c>
      <c r="AH119" s="1">
        <v>43511</v>
      </c>
      <c r="AI119">
        <v>3</v>
      </c>
      <c r="AJ119">
        <v>54</v>
      </c>
      <c r="AK119">
        <v>6</v>
      </c>
      <c r="AL119">
        <v>20</v>
      </c>
      <c r="AM119" t="str">
        <f>IF(Cleaned_Data[[#This Row],[DateofTermination]]="","",YEAR(Cleaned_Data[[#This Row],[DateofTermination]]))</f>
        <v/>
      </c>
      <c r="AN119">
        <v>1</v>
      </c>
    </row>
    <row r="120" spans="1:40" x14ac:dyDescent="0.35">
      <c r="A120" t="s">
        <v>266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135</v>
      </c>
      <c r="N120" t="s">
        <v>42</v>
      </c>
      <c r="O120">
        <v>1752</v>
      </c>
      <c r="P120" s="1">
        <v>31306</v>
      </c>
      <c r="Q120" t="s">
        <v>43</v>
      </c>
      <c r="R120" t="s">
        <v>44</v>
      </c>
      <c r="S120" t="s">
        <v>56</v>
      </c>
      <c r="T120" t="s">
        <v>46</v>
      </c>
      <c r="U120" t="s">
        <v>47</v>
      </c>
      <c r="V120" t="s">
        <v>48</v>
      </c>
      <c r="W120" s="1">
        <v>42041</v>
      </c>
      <c r="X120" s="1"/>
      <c r="Y120" t="s">
        <v>49</v>
      </c>
      <c r="Z120" t="s">
        <v>50</v>
      </c>
      <c r="AA120" t="s">
        <v>51</v>
      </c>
      <c r="AB120" t="s">
        <v>137</v>
      </c>
      <c r="AC120" t="s">
        <v>106</v>
      </c>
      <c r="AD120" t="s">
        <v>60</v>
      </c>
      <c r="AE120">
        <v>4.63</v>
      </c>
      <c r="AF120">
        <v>3</v>
      </c>
      <c r="AG120">
        <v>0</v>
      </c>
      <c r="AH120" s="1">
        <v>43556</v>
      </c>
      <c r="AI120">
        <v>2</v>
      </c>
      <c r="AJ120">
        <v>34</v>
      </c>
      <c r="AK120">
        <v>5</v>
      </c>
      <c r="AL120">
        <v>2</v>
      </c>
      <c r="AM120" t="str">
        <f>IF(Cleaned_Data[[#This Row],[DateofTermination]]="","",YEAR(Cleaned_Data[[#This Row],[DateofTermination]]))</f>
        <v/>
      </c>
      <c r="AN120">
        <v>1</v>
      </c>
    </row>
    <row r="121" spans="1:40" x14ac:dyDescent="0.35">
      <c r="A121" t="s">
        <v>267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41</v>
      </c>
      <c r="N121" t="s">
        <v>42</v>
      </c>
      <c r="O121">
        <v>2176</v>
      </c>
      <c r="P121" s="1">
        <v>28025</v>
      </c>
      <c r="Q121" t="s">
        <v>43</v>
      </c>
      <c r="R121" t="s">
        <v>75</v>
      </c>
      <c r="S121" t="s">
        <v>56</v>
      </c>
      <c r="T121" t="s">
        <v>46</v>
      </c>
      <c r="U121" t="s">
        <v>47</v>
      </c>
      <c r="V121" t="s">
        <v>48</v>
      </c>
      <c r="W121" s="1">
        <v>40595</v>
      </c>
      <c r="X121" s="1">
        <v>41944</v>
      </c>
      <c r="Y121" t="s">
        <v>199</v>
      </c>
      <c r="Z121" t="s">
        <v>58</v>
      </c>
      <c r="AA121" t="s">
        <v>51</v>
      </c>
      <c r="AB121" t="s">
        <v>117</v>
      </c>
      <c r="AC121" t="s">
        <v>123</v>
      </c>
      <c r="AD121" t="s">
        <v>60</v>
      </c>
      <c r="AE121">
        <v>5</v>
      </c>
      <c r="AF121">
        <v>5</v>
      </c>
      <c r="AG121">
        <v>0</v>
      </c>
      <c r="AH121" s="1">
        <v>41339</v>
      </c>
      <c r="AI121">
        <v>17</v>
      </c>
      <c r="AJ121">
        <v>38</v>
      </c>
      <c r="AK121">
        <v>4</v>
      </c>
      <c r="AL121">
        <v>18</v>
      </c>
      <c r="AM121">
        <f>IF(Cleaned_Data[[#This Row],[DateofTermination]]="","",YEAR(Cleaned_Data[[#This Row],[DateofTermination]]))</f>
        <v>2014</v>
      </c>
      <c r="AN121">
        <v>1</v>
      </c>
    </row>
    <row r="122" spans="1:40" x14ac:dyDescent="0.35">
      <c r="A122" t="s">
        <v>268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202</v>
      </c>
      <c r="N122" t="s">
        <v>42</v>
      </c>
      <c r="O122">
        <v>2134</v>
      </c>
      <c r="P122" s="1">
        <v>28079</v>
      </c>
      <c r="Q122" t="s">
        <v>43</v>
      </c>
      <c r="R122" t="s">
        <v>44</v>
      </c>
      <c r="S122" t="s">
        <v>63</v>
      </c>
      <c r="T122" t="s">
        <v>46</v>
      </c>
      <c r="U122" t="s">
        <v>47</v>
      </c>
      <c r="V122" t="s">
        <v>71</v>
      </c>
      <c r="W122" s="1">
        <v>42845</v>
      </c>
      <c r="X122" s="1"/>
      <c r="Y122" t="s">
        <v>49</v>
      </c>
      <c r="Z122" t="s">
        <v>50</v>
      </c>
      <c r="AA122" t="s">
        <v>65</v>
      </c>
      <c r="AB122" t="s">
        <v>203</v>
      </c>
      <c r="AC122" t="s">
        <v>67</v>
      </c>
      <c r="AD122" t="s">
        <v>60</v>
      </c>
      <c r="AE122">
        <v>4.2</v>
      </c>
      <c r="AF122">
        <v>5</v>
      </c>
      <c r="AG122">
        <v>5</v>
      </c>
      <c r="AH122" s="1">
        <v>43493</v>
      </c>
      <c r="AI122">
        <v>8</v>
      </c>
      <c r="AJ122">
        <v>43</v>
      </c>
      <c r="AK122">
        <v>3</v>
      </c>
      <c r="AL122">
        <v>13</v>
      </c>
      <c r="AM122" t="str">
        <f>IF(Cleaned_Data[[#This Row],[DateofTermination]]="","",YEAR(Cleaned_Data[[#This Row],[DateofTermination]]))</f>
        <v/>
      </c>
      <c r="AN122">
        <v>1</v>
      </c>
    </row>
    <row r="123" spans="1:40" x14ac:dyDescent="0.35">
      <c r="A123" t="s">
        <v>269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145</v>
      </c>
      <c r="N123" t="s">
        <v>270</v>
      </c>
      <c r="O123">
        <v>37129</v>
      </c>
      <c r="P123" s="1">
        <v>33266</v>
      </c>
      <c r="Q123" t="s">
        <v>43</v>
      </c>
      <c r="R123" t="s">
        <v>44</v>
      </c>
      <c r="S123" t="s">
        <v>45</v>
      </c>
      <c r="T123" t="s">
        <v>46</v>
      </c>
      <c r="U123" t="s">
        <v>47</v>
      </c>
      <c r="V123" t="s">
        <v>116</v>
      </c>
      <c r="W123" s="1">
        <v>41093</v>
      </c>
      <c r="X123" s="1">
        <v>41943</v>
      </c>
      <c r="Y123" t="s">
        <v>168</v>
      </c>
      <c r="Z123" t="s">
        <v>58</v>
      </c>
      <c r="AA123" t="s">
        <v>147</v>
      </c>
      <c r="AB123" t="s">
        <v>148</v>
      </c>
      <c r="AC123" t="s">
        <v>53</v>
      </c>
      <c r="AD123" t="s">
        <v>60</v>
      </c>
      <c r="AE123">
        <v>4.5</v>
      </c>
      <c r="AF123">
        <v>5</v>
      </c>
      <c r="AG123">
        <v>0</v>
      </c>
      <c r="AH123" s="1">
        <v>41276</v>
      </c>
      <c r="AI123">
        <v>20</v>
      </c>
      <c r="AJ123">
        <v>24</v>
      </c>
      <c r="AK123">
        <v>2</v>
      </c>
      <c r="AL123">
        <v>17</v>
      </c>
      <c r="AM123">
        <f>IF(Cleaned_Data[[#This Row],[DateofTermination]]="","",YEAR(Cleaned_Data[[#This Row],[DateofTermination]]))</f>
        <v>2014</v>
      </c>
      <c r="AN123">
        <v>1</v>
      </c>
    </row>
    <row r="124" spans="1:40" x14ac:dyDescent="0.35">
      <c r="A124" t="s">
        <v>271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41</v>
      </c>
      <c r="N124" t="s">
        <v>42</v>
      </c>
      <c r="O124">
        <v>2127</v>
      </c>
      <c r="P124" s="1">
        <v>24188</v>
      </c>
      <c r="Q124" t="s">
        <v>43</v>
      </c>
      <c r="R124" t="s">
        <v>75</v>
      </c>
      <c r="S124" t="s">
        <v>63</v>
      </c>
      <c r="T124" t="s">
        <v>46</v>
      </c>
      <c r="U124" t="s">
        <v>47</v>
      </c>
      <c r="V124" t="s">
        <v>48</v>
      </c>
      <c r="W124" s="1">
        <v>40875</v>
      </c>
      <c r="X124" s="1"/>
      <c r="Y124" t="s">
        <v>49</v>
      </c>
      <c r="Z124" t="s">
        <v>50</v>
      </c>
      <c r="AA124" t="s">
        <v>51</v>
      </c>
      <c r="AB124" t="s">
        <v>52</v>
      </c>
      <c r="AC124" t="s">
        <v>79</v>
      </c>
      <c r="AD124" t="s">
        <v>60</v>
      </c>
      <c r="AE124">
        <v>4.2</v>
      </c>
      <c r="AF124">
        <v>4</v>
      </c>
      <c r="AG124">
        <v>0</v>
      </c>
      <c r="AH124" s="1">
        <v>43518</v>
      </c>
      <c r="AI124">
        <v>13</v>
      </c>
      <c r="AJ124">
        <v>54</v>
      </c>
      <c r="AK124">
        <v>8</v>
      </c>
      <c r="AL124">
        <v>22</v>
      </c>
      <c r="AM124" t="str">
        <f>IF(Cleaned_Data[[#This Row],[DateofTermination]]="","",YEAR(Cleaned_Data[[#This Row],[DateofTermination]]))</f>
        <v/>
      </c>
      <c r="AN124">
        <v>1</v>
      </c>
    </row>
    <row r="125" spans="1:40" x14ac:dyDescent="0.35">
      <c r="A125" t="s">
        <v>272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81</v>
      </c>
      <c r="N125" t="s">
        <v>42</v>
      </c>
      <c r="O125">
        <v>2155</v>
      </c>
      <c r="P125" s="1">
        <v>23480</v>
      </c>
      <c r="Q125" t="s">
        <v>85</v>
      </c>
      <c r="R125" t="s">
        <v>44</v>
      </c>
      <c r="S125" t="s">
        <v>45</v>
      </c>
      <c r="T125" t="s">
        <v>46</v>
      </c>
      <c r="U125" t="s">
        <v>76</v>
      </c>
      <c r="V125" t="s">
        <v>48</v>
      </c>
      <c r="W125" s="1">
        <v>41589</v>
      </c>
      <c r="X125" s="1"/>
      <c r="Y125" t="s">
        <v>49</v>
      </c>
      <c r="Z125" t="s">
        <v>50</v>
      </c>
      <c r="AA125" t="s">
        <v>51</v>
      </c>
      <c r="AB125" t="s">
        <v>117</v>
      </c>
      <c r="AC125" t="s">
        <v>53</v>
      </c>
      <c r="AD125" t="s">
        <v>60</v>
      </c>
      <c r="AE125">
        <v>5</v>
      </c>
      <c r="AF125">
        <v>3</v>
      </c>
      <c r="AG125">
        <v>0</v>
      </c>
      <c r="AH125" s="1">
        <v>43678</v>
      </c>
      <c r="AI125">
        <v>20</v>
      </c>
      <c r="AJ125">
        <v>56</v>
      </c>
      <c r="AK125">
        <v>6</v>
      </c>
      <c r="AL125">
        <v>18</v>
      </c>
      <c r="AM125" t="str">
        <f>IF(Cleaned_Data[[#This Row],[DateofTermination]]="","",YEAR(Cleaned_Data[[#This Row],[DateofTermination]]))</f>
        <v/>
      </c>
      <c r="AN125">
        <v>1</v>
      </c>
    </row>
    <row r="126" spans="1:40" x14ac:dyDescent="0.35">
      <c r="A126" t="s">
        <v>273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41</v>
      </c>
      <c r="N126" t="s">
        <v>42</v>
      </c>
      <c r="O126">
        <v>2324</v>
      </c>
      <c r="P126" s="1">
        <v>21781</v>
      </c>
      <c r="Q126" t="s">
        <v>85</v>
      </c>
      <c r="R126" t="s">
        <v>75</v>
      </c>
      <c r="S126" t="s">
        <v>45</v>
      </c>
      <c r="T126" t="s">
        <v>46</v>
      </c>
      <c r="U126" t="s">
        <v>47</v>
      </c>
      <c r="V126" t="s">
        <v>48</v>
      </c>
      <c r="W126" s="1">
        <v>41153</v>
      </c>
      <c r="X126" s="1">
        <v>42353</v>
      </c>
      <c r="Y126" t="s">
        <v>136</v>
      </c>
      <c r="Z126" t="s">
        <v>58</v>
      </c>
      <c r="AA126" t="s">
        <v>51</v>
      </c>
      <c r="AB126" t="s">
        <v>93</v>
      </c>
      <c r="AC126" t="s">
        <v>123</v>
      </c>
      <c r="AD126" t="s">
        <v>60</v>
      </c>
      <c r="AE126">
        <v>4.6399999999999997</v>
      </c>
      <c r="AF126">
        <v>4</v>
      </c>
      <c r="AG126">
        <v>0</v>
      </c>
      <c r="AH126" s="1">
        <v>42040</v>
      </c>
      <c r="AI126">
        <v>8</v>
      </c>
      <c r="AJ126">
        <v>56</v>
      </c>
      <c r="AK126">
        <v>3</v>
      </c>
      <c r="AL126">
        <v>39</v>
      </c>
      <c r="AM126">
        <f>IF(Cleaned_Data[[#This Row],[DateofTermination]]="","",YEAR(Cleaned_Data[[#This Row],[DateofTermination]]))</f>
        <v>2015</v>
      </c>
      <c r="AN126">
        <v>1</v>
      </c>
    </row>
    <row r="127" spans="1:40" x14ac:dyDescent="0.35">
      <c r="A127" t="s">
        <v>274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41</v>
      </c>
      <c r="N127" t="s">
        <v>42</v>
      </c>
      <c r="O127">
        <v>1886</v>
      </c>
      <c r="P127" s="1">
        <v>31519</v>
      </c>
      <c r="Q127" t="s">
        <v>43</v>
      </c>
      <c r="R127" t="s">
        <v>75</v>
      </c>
      <c r="S127" t="s">
        <v>63</v>
      </c>
      <c r="T127" t="s">
        <v>46</v>
      </c>
      <c r="U127" t="s">
        <v>47</v>
      </c>
      <c r="V127" t="s">
        <v>48</v>
      </c>
      <c r="W127" s="1">
        <v>41978</v>
      </c>
      <c r="X127" s="1"/>
      <c r="Y127" t="s">
        <v>49</v>
      </c>
      <c r="Z127" t="s">
        <v>50</v>
      </c>
      <c r="AA127" t="s">
        <v>51</v>
      </c>
      <c r="AB127" t="s">
        <v>97</v>
      </c>
      <c r="AC127" t="s">
        <v>123</v>
      </c>
      <c r="AD127" t="s">
        <v>54</v>
      </c>
      <c r="AE127">
        <v>4.76</v>
      </c>
      <c r="AF127">
        <v>4</v>
      </c>
      <c r="AG127">
        <v>0</v>
      </c>
      <c r="AH127" s="1">
        <v>43511</v>
      </c>
      <c r="AI127">
        <v>5</v>
      </c>
      <c r="AJ127">
        <v>34</v>
      </c>
      <c r="AK127">
        <v>5</v>
      </c>
      <c r="AL127">
        <v>11</v>
      </c>
      <c r="AM127" t="str">
        <f>IF(Cleaned_Data[[#This Row],[DateofTermination]]="","",YEAR(Cleaned_Data[[#This Row],[DateofTermination]]))</f>
        <v/>
      </c>
      <c r="AN127">
        <v>1</v>
      </c>
    </row>
    <row r="128" spans="1:40" x14ac:dyDescent="0.35">
      <c r="A128" t="s">
        <v>275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41</v>
      </c>
      <c r="N128" t="s">
        <v>42</v>
      </c>
      <c r="O128">
        <v>2149</v>
      </c>
      <c r="P128" s="1">
        <v>27778</v>
      </c>
      <c r="Q128" t="s">
        <v>43</v>
      </c>
      <c r="R128" t="s">
        <v>44</v>
      </c>
      <c r="S128" t="s">
        <v>45</v>
      </c>
      <c r="T128" t="s">
        <v>46</v>
      </c>
      <c r="U128" t="s">
        <v>47</v>
      </c>
      <c r="V128" t="s">
        <v>48</v>
      </c>
      <c r="W128" s="1">
        <v>41134</v>
      </c>
      <c r="X128" s="1"/>
      <c r="Y128" t="s">
        <v>49</v>
      </c>
      <c r="Z128" t="s">
        <v>50</v>
      </c>
      <c r="AA128" t="s">
        <v>51</v>
      </c>
      <c r="AB128" t="s">
        <v>105</v>
      </c>
      <c r="AC128" t="s">
        <v>79</v>
      </c>
      <c r="AD128" t="s">
        <v>60</v>
      </c>
      <c r="AE128">
        <v>4.17</v>
      </c>
      <c r="AF128">
        <v>4</v>
      </c>
      <c r="AG128">
        <v>0</v>
      </c>
      <c r="AH128" s="1">
        <v>43771</v>
      </c>
      <c r="AI128">
        <v>1</v>
      </c>
      <c r="AJ128">
        <v>44</v>
      </c>
      <c r="AK128">
        <v>7</v>
      </c>
      <c r="AL128">
        <v>19</v>
      </c>
      <c r="AM128" t="str">
        <f>IF(Cleaned_Data[[#This Row],[DateofTermination]]="","",YEAR(Cleaned_Data[[#This Row],[DateofTermination]]))</f>
        <v/>
      </c>
      <c r="AN128">
        <v>1</v>
      </c>
    </row>
    <row r="129" spans="1:40" x14ac:dyDescent="0.35">
      <c r="A129" t="s">
        <v>276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81</v>
      </c>
      <c r="N129" t="s">
        <v>42</v>
      </c>
      <c r="O129">
        <v>2021</v>
      </c>
      <c r="P129" s="1">
        <v>29186</v>
      </c>
      <c r="Q129" t="s">
        <v>43</v>
      </c>
      <c r="R129" t="s">
        <v>75</v>
      </c>
      <c r="S129" t="s">
        <v>45</v>
      </c>
      <c r="T129" t="s">
        <v>46</v>
      </c>
      <c r="U129" t="s">
        <v>47</v>
      </c>
      <c r="V129" t="s">
        <v>48</v>
      </c>
      <c r="W129" s="1">
        <v>40817</v>
      </c>
      <c r="X129" s="1">
        <v>41502</v>
      </c>
      <c r="Y129" t="s">
        <v>82</v>
      </c>
      <c r="Z129" t="s">
        <v>58</v>
      </c>
      <c r="AA129" t="s">
        <v>51</v>
      </c>
      <c r="AB129" t="s">
        <v>117</v>
      </c>
      <c r="AC129" t="s">
        <v>123</v>
      </c>
      <c r="AD129" t="s">
        <v>60</v>
      </c>
      <c r="AE129">
        <v>5</v>
      </c>
      <c r="AF129">
        <v>3</v>
      </c>
      <c r="AG129">
        <v>0</v>
      </c>
      <c r="AH129" s="1">
        <v>41304</v>
      </c>
      <c r="AI129">
        <v>15</v>
      </c>
      <c r="AJ129">
        <v>34</v>
      </c>
      <c r="AK129">
        <v>2</v>
      </c>
      <c r="AL129">
        <v>18</v>
      </c>
      <c r="AM129">
        <f>IF(Cleaned_Data[[#This Row],[DateofTermination]]="","",YEAR(Cleaned_Data[[#This Row],[DateofTermination]]))</f>
        <v>2013</v>
      </c>
      <c r="AN129">
        <v>1</v>
      </c>
    </row>
    <row r="130" spans="1:40" x14ac:dyDescent="0.35">
      <c r="A130" t="s">
        <v>277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145</v>
      </c>
      <c r="N130" t="s">
        <v>278</v>
      </c>
      <c r="O130">
        <v>3062</v>
      </c>
      <c r="P130" s="1">
        <v>19988</v>
      </c>
      <c r="Q130" t="s">
        <v>85</v>
      </c>
      <c r="R130" t="s">
        <v>44</v>
      </c>
      <c r="S130" t="s">
        <v>63</v>
      </c>
      <c r="T130" t="s">
        <v>46</v>
      </c>
      <c r="U130" t="s">
        <v>47</v>
      </c>
      <c r="V130" t="s">
        <v>264</v>
      </c>
      <c r="W130" s="1">
        <v>41869</v>
      </c>
      <c r="X130" s="1"/>
      <c r="Y130" t="s">
        <v>49</v>
      </c>
      <c r="Z130" t="s">
        <v>50</v>
      </c>
      <c r="AA130" t="s">
        <v>147</v>
      </c>
      <c r="AB130" t="s">
        <v>148</v>
      </c>
      <c r="AC130" t="s">
        <v>67</v>
      </c>
      <c r="AD130" t="s">
        <v>60</v>
      </c>
      <c r="AE130">
        <v>3.6</v>
      </c>
      <c r="AF130">
        <v>5</v>
      </c>
      <c r="AG130">
        <v>0</v>
      </c>
      <c r="AH130" s="1">
        <v>43495</v>
      </c>
      <c r="AI130">
        <v>9</v>
      </c>
      <c r="AJ130">
        <v>65</v>
      </c>
      <c r="AK130">
        <v>5</v>
      </c>
      <c r="AL130">
        <v>17</v>
      </c>
      <c r="AM130" t="str">
        <f>IF(Cleaned_Data[[#This Row],[DateofTermination]]="","",YEAR(Cleaned_Data[[#This Row],[DateofTermination]]))</f>
        <v/>
      </c>
      <c r="AN130">
        <v>1</v>
      </c>
    </row>
    <row r="131" spans="1:40" x14ac:dyDescent="0.35">
      <c r="A131" t="s">
        <v>279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81</v>
      </c>
      <c r="N131" t="s">
        <v>42</v>
      </c>
      <c r="O131">
        <v>2445</v>
      </c>
      <c r="P131" s="1">
        <v>25258</v>
      </c>
      <c r="Q131" t="s">
        <v>43</v>
      </c>
      <c r="R131" t="s">
        <v>75</v>
      </c>
      <c r="S131" t="s">
        <v>63</v>
      </c>
      <c r="T131" t="s">
        <v>170</v>
      </c>
      <c r="U131" t="s">
        <v>47</v>
      </c>
      <c r="V131" t="s">
        <v>48</v>
      </c>
      <c r="W131" s="1">
        <v>40770</v>
      </c>
      <c r="X131" s="1">
        <v>41094</v>
      </c>
      <c r="Y131" t="s">
        <v>168</v>
      </c>
      <c r="Z131" t="s">
        <v>58</v>
      </c>
      <c r="AA131" t="s">
        <v>51</v>
      </c>
      <c r="AB131" t="s">
        <v>52</v>
      </c>
      <c r="AC131" t="s">
        <v>67</v>
      </c>
      <c r="AD131" t="s">
        <v>60</v>
      </c>
      <c r="AE131">
        <v>3.03</v>
      </c>
      <c r="AF131">
        <v>5</v>
      </c>
      <c r="AG131">
        <v>0</v>
      </c>
      <c r="AH131" s="1">
        <v>41032</v>
      </c>
      <c r="AI131">
        <v>16</v>
      </c>
      <c r="AJ131">
        <v>43</v>
      </c>
      <c r="AK131">
        <v>1</v>
      </c>
      <c r="AL131">
        <v>30</v>
      </c>
      <c r="AM131">
        <f>IF(Cleaned_Data[[#This Row],[DateofTermination]]="","",YEAR(Cleaned_Data[[#This Row],[DateofTermination]]))</f>
        <v>2012</v>
      </c>
      <c r="AN131">
        <v>1</v>
      </c>
    </row>
    <row r="132" spans="1:40" x14ac:dyDescent="0.35">
      <c r="A132" t="s">
        <v>280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74</v>
      </c>
      <c r="N132" t="s">
        <v>42</v>
      </c>
      <c r="O132">
        <v>2493</v>
      </c>
      <c r="P132" s="1">
        <v>31525</v>
      </c>
      <c r="Q132" t="s">
        <v>43</v>
      </c>
      <c r="R132" t="s">
        <v>75</v>
      </c>
      <c r="S132" t="s">
        <v>45</v>
      </c>
      <c r="T132" t="s">
        <v>46</v>
      </c>
      <c r="U132" t="s">
        <v>47</v>
      </c>
      <c r="V132" t="s">
        <v>48</v>
      </c>
      <c r="W132" s="1">
        <v>42093</v>
      </c>
      <c r="X132" s="1"/>
      <c r="Y132" t="s">
        <v>49</v>
      </c>
      <c r="Z132" t="s">
        <v>50</v>
      </c>
      <c r="AA132" t="s">
        <v>65</v>
      </c>
      <c r="AB132" t="s">
        <v>66</v>
      </c>
      <c r="AC132" t="s">
        <v>67</v>
      </c>
      <c r="AD132" t="s">
        <v>60</v>
      </c>
      <c r="AE132">
        <v>4.4800000000000004</v>
      </c>
      <c r="AF132">
        <v>5</v>
      </c>
      <c r="AG132">
        <v>6</v>
      </c>
      <c r="AH132" s="1">
        <v>43525</v>
      </c>
      <c r="AI132">
        <v>4</v>
      </c>
      <c r="AJ132">
        <v>34</v>
      </c>
      <c r="AK132">
        <v>5</v>
      </c>
      <c r="AL132">
        <v>4</v>
      </c>
      <c r="AM132" t="str">
        <f>IF(Cleaned_Data[[#This Row],[DateofTermination]]="","",YEAR(Cleaned_Data[[#This Row],[DateofTermination]]))</f>
        <v/>
      </c>
      <c r="AN132">
        <v>1</v>
      </c>
    </row>
    <row r="133" spans="1:40" x14ac:dyDescent="0.35">
      <c r="A133" t="s">
        <v>281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282</v>
      </c>
      <c r="N133" t="s">
        <v>283</v>
      </c>
      <c r="O133">
        <v>2908</v>
      </c>
      <c r="P133" s="1">
        <v>29061</v>
      </c>
      <c r="Q133" t="s">
        <v>43</v>
      </c>
      <c r="R133" t="s">
        <v>75</v>
      </c>
      <c r="S133" t="s">
        <v>63</v>
      </c>
      <c r="T133" t="s">
        <v>46</v>
      </c>
      <c r="U133" t="s">
        <v>47</v>
      </c>
      <c r="V133" t="s">
        <v>48</v>
      </c>
      <c r="W133" s="1">
        <v>41764</v>
      </c>
      <c r="X133" s="1"/>
      <c r="Y133" t="s">
        <v>49</v>
      </c>
      <c r="Z133" t="s">
        <v>50</v>
      </c>
      <c r="AA133" t="s">
        <v>147</v>
      </c>
      <c r="AB133" t="s">
        <v>137</v>
      </c>
      <c r="AC133" t="s">
        <v>53</v>
      </c>
      <c r="AD133" t="s">
        <v>60</v>
      </c>
      <c r="AE133">
        <v>4.5</v>
      </c>
      <c r="AF133">
        <v>4</v>
      </c>
      <c r="AG133">
        <v>0</v>
      </c>
      <c r="AH133" s="1">
        <v>43486</v>
      </c>
      <c r="AI133">
        <v>19</v>
      </c>
      <c r="AJ133">
        <v>40</v>
      </c>
      <c r="AK133">
        <v>6</v>
      </c>
      <c r="AL133">
        <v>2</v>
      </c>
      <c r="AM133" t="str">
        <f>IF(Cleaned_Data[[#This Row],[DateofTermination]]="","",YEAR(Cleaned_Data[[#This Row],[DateofTermination]]))</f>
        <v/>
      </c>
      <c r="AN133">
        <v>1</v>
      </c>
    </row>
    <row r="134" spans="1:40" x14ac:dyDescent="0.35">
      <c r="A134" t="s">
        <v>284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285</v>
      </c>
      <c r="N134" t="s">
        <v>42</v>
      </c>
      <c r="O134">
        <v>2170</v>
      </c>
      <c r="P134" s="1">
        <v>30798</v>
      </c>
      <c r="Q134" t="s">
        <v>43</v>
      </c>
      <c r="R134" t="s">
        <v>75</v>
      </c>
      <c r="S134" t="s">
        <v>63</v>
      </c>
      <c r="T134" t="s">
        <v>46</v>
      </c>
      <c r="U134" t="s">
        <v>47</v>
      </c>
      <c r="V134" t="s">
        <v>71</v>
      </c>
      <c r="W134" s="1">
        <v>42051</v>
      </c>
      <c r="X134" s="1">
        <v>42109</v>
      </c>
      <c r="Y134" t="s">
        <v>224</v>
      </c>
      <c r="Z134" t="s">
        <v>78</v>
      </c>
      <c r="AA134" t="s">
        <v>132</v>
      </c>
      <c r="AB134" t="s">
        <v>133</v>
      </c>
      <c r="AC134" t="s">
        <v>67</v>
      </c>
      <c r="AD134" t="s">
        <v>60</v>
      </c>
      <c r="AE134">
        <v>3.24</v>
      </c>
      <c r="AF134">
        <v>3</v>
      </c>
      <c r="AG134">
        <v>4</v>
      </c>
      <c r="AH134" s="1">
        <v>42109</v>
      </c>
      <c r="AI134">
        <v>6</v>
      </c>
      <c r="AJ134">
        <v>31</v>
      </c>
      <c r="AK134">
        <v>0</v>
      </c>
      <c r="AL134">
        <v>1</v>
      </c>
      <c r="AM134">
        <f>IF(Cleaned_Data[[#This Row],[DateofTermination]]="","",YEAR(Cleaned_Data[[#This Row],[DateofTermination]]))</f>
        <v>2015</v>
      </c>
      <c r="AN134">
        <v>1</v>
      </c>
    </row>
    <row r="135" spans="1:40" x14ac:dyDescent="0.35">
      <c r="A135" t="s">
        <v>286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41</v>
      </c>
      <c r="N135" t="s">
        <v>42</v>
      </c>
      <c r="O135">
        <v>2176</v>
      </c>
      <c r="P135" s="1">
        <v>31942</v>
      </c>
      <c r="Q135" t="s">
        <v>43</v>
      </c>
      <c r="R135" t="s">
        <v>75</v>
      </c>
      <c r="S135" t="s">
        <v>45</v>
      </c>
      <c r="T135" t="s">
        <v>46</v>
      </c>
      <c r="U135" t="s">
        <v>47</v>
      </c>
      <c r="V135" t="s">
        <v>48</v>
      </c>
      <c r="W135" s="1">
        <v>40959</v>
      </c>
      <c r="X135" s="1"/>
      <c r="Y135" t="s">
        <v>49</v>
      </c>
      <c r="Z135" t="s">
        <v>50</v>
      </c>
      <c r="AA135" t="s">
        <v>51</v>
      </c>
      <c r="AB135" t="s">
        <v>105</v>
      </c>
      <c r="AC135" t="s">
        <v>53</v>
      </c>
      <c r="AD135" t="s">
        <v>60</v>
      </c>
      <c r="AE135">
        <v>4.8</v>
      </c>
      <c r="AF135">
        <v>4</v>
      </c>
      <c r="AG135">
        <v>0</v>
      </c>
      <c r="AH135" s="1">
        <v>43647</v>
      </c>
      <c r="AI135">
        <v>4</v>
      </c>
      <c r="AJ135">
        <v>33</v>
      </c>
      <c r="AK135">
        <v>8</v>
      </c>
      <c r="AL135">
        <v>19</v>
      </c>
      <c r="AM135" t="str">
        <f>IF(Cleaned_Data[[#This Row],[DateofTermination]]="","",YEAR(Cleaned_Data[[#This Row],[DateofTermination]]))</f>
        <v/>
      </c>
      <c r="AN135">
        <v>1</v>
      </c>
    </row>
    <row r="136" spans="1:40" x14ac:dyDescent="0.35">
      <c r="A136" t="s">
        <v>287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81</v>
      </c>
      <c r="N136" t="s">
        <v>42</v>
      </c>
      <c r="O136">
        <v>2021</v>
      </c>
      <c r="P136" s="1">
        <v>31064</v>
      </c>
      <c r="Q136" t="s">
        <v>43</v>
      </c>
      <c r="R136" t="s">
        <v>75</v>
      </c>
      <c r="S136" t="s">
        <v>45</v>
      </c>
      <c r="T136" t="s">
        <v>46</v>
      </c>
      <c r="U136" t="s">
        <v>47</v>
      </c>
      <c r="V136" t="s">
        <v>48</v>
      </c>
      <c r="W136" s="1">
        <v>42527</v>
      </c>
      <c r="X136" s="1"/>
      <c r="Y136" t="s">
        <v>49</v>
      </c>
      <c r="Z136" t="s">
        <v>50</v>
      </c>
      <c r="AA136" t="s">
        <v>51</v>
      </c>
      <c r="AB136" t="s">
        <v>88</v>
      </c>
      <c r="AC136" t="s">
        <v>53</v>
      </c>
      <c r="AD136" t="s">
        <v>60</v>
      </c>
      <c r="AE136">
        <v>3</v>
      </c>
      <c r="AF136">
        <v>5</v>
      </c>
      <c r="AG136">
        <v>0</v>
      </c>
      <c r="AH136" s="1">
        <v>43483</v>
      </c>
      <c r="AI136">
        <v>4</v>
      </c>
      <c r="AJ136">
        <v>35</v>
      </c>
      <c r="AK136">
        <v>4</v>
      </c>
      <c r="AL136">
        <v>16</v>
      </c>
      <c r="AM136" t="str">
        <f>IF(Cleaned_Data[[#This Row],[DateofTermination]]="","",YEAR(Cleaned_Data[[#This Row],[DateofTermination]]))</f>
        <v/>
      </c>
      <c r="AN136">
        <v>1</v>
      </c>
    </row>
    <row r="137" spans="1:40" x14ac:dyDescent="0.35">
      <c r="A137" t="s">
        <v>288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81</v>
      </c>
      <c r="N137" t="s">
        <v>42</v>
      </c>
      <c r="O137">
        <v>2351</v>
      </c>
      <c r="P137" s="1">
        <v>32504</v>
      </c>
      <c r="Q137" t="s">
        <v>43</v>
      </c>
      <c r="R137" t="s">
        <v>75</v>
      </c>
      <c r="S137" t="s">
        <v>143</v>
      </c>
      <c r="T137" t="s">
        <v>46</v>
      </c>
      <c r="U137" t="s">
        <v>47</v>
      </c>
      <c r="V137" t="s">
        <v>48</v>
      </c>
      <c r="W137" s="1">
        <v>42130</v>
      </c>
      <c r="X137" s="1"/>
      <c r="Y137" t="s">
        <v>49</v>
      </c>
      <c r="Z137" t="s">
        <v>50</v>
      </c>
      <c r="AA137" t="s">
        <v>51</v>
      </c>
      <c r="AB137" t="s">
        <v>93</v>
      </c>
      <c r="AC137" t="s">
        <v>67</v>
      </c>
      <c r="AD137" t="s">
        <v>60</v>
      </c>
      <c r="AE137">
        <v>4.5</v>
      </c>
      <c r="AF137">
        <v>3</v>
      </c>
      <c r="AG137">
        <v>0</v>
      </c>
      <c r="AH137" s="1">
        <v>43510</v>
      </c>
      <c r="AI137">
        <v>6</v>
      </c>
      <c r="AJ137">
        <v>31</v>
      </c>
      <c r="AK137">
        <v>5</v>
      </c>
      <c r="AL137">
        <v>39</v>
      </c>
      <c r="AM137" t="str">
        <f>IF(Cleaned_Data[[#This Row],[DateofTermination]]="","",YEAR(Cleaned_Data[[#This Row],[DateofTermination]]))</f>
        <v/>
      </c>
      <c r="AN137">
        <v>1</v>
      </c>
    </row>
    <row r="138" spans="1:40" x14ac:dyDescent="0.35">
      <c r="A138" t="s">
        <v>289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81</v>
      </c>
      <c r="N138" t="s">
        <v>42</v>
      </c>
      <c r="O138">
        <v>1742</v>
      </c>
      <c r="P138" s="1">
        <v>29885</v>
      </c>
      <c r="Q138" t="s">
        <v>43</v>
      </c>
      <c r="R138" t="s">
        <v>75</v>
      </c>
      <c r="S138" t="s">
        <v>56</v>
      </c>
      <c r="T138" t="s">
        <v>46</v>
      </c>
      <c r="U138" t="s">
        <v>47</v>
      </c>
      <c r="V138" t="s">
        <v>48</v>
      </c>
      <c r="W138" s="1">
        <v>40595</v>
      </c>
      <c r="X138" s="1">
        <v>41278</v>
      </c>
      <c r="Y138" t="s">
        <v>86</v>
      </c>
      <c r="Z138" t="s">
        <v>58</v>
      </c>
      <c r="AA138" t="s">
        <v>51</v>
      </c>
      <c r="AB138" t="s">
        <v>97</v>
      </c>
      <c r="AC138" t="s">
        <v>79</v>
      </c>
      <c r="AD138" t="s">
        <v>60</v>
      </c>
      <c r="AE138">
        <v>3.72</v>
      </c>
      <c r="AF138">
        <v>3</v>
      </c>
      <c r="AG138">
        <v>0</v>
      </c>
      <c r="AH138" s="1">
        <v>41276</v>
      </c>
      <c r="AI138">
        <v>18</v>
      </c>
      <c r="AJ138">
        <v>31</v>
      </c>
      <c r="AK138">
        <v>2</v>
      </c>
      <c r="AL138">
        <v>11</v>
      </c>
      <c r="AM138">
        <f>IF(Cleaned_Data[[#This Row],[DateofTermination]]="","",YEAR(Cleaned_Data[[#This Row],[DateofTermination]]))</f>
        <v>2013</v>
      </c>
      <c r="AN138">
        <v>1</v>
      </c>
    </row>
    <row r="139" spans="1:40" x14ac:dyDescent="0.35">
      <c r="A139" t="s">
        <v>290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135</v>
      </c>
      <c r="N139" t="s">
        <v>42</v>
      </c>
      <c r="O139">
        <v>2128</v>
      </c>
      <c r="P139" s="1">
        <v>29671</v>
      </c>
      <c r="Q139" t="s">
        <v>43</v>
      </c>
      <c r="R139" t="s">
        <v>44</v>
      </c>
      <c r="S139" t="s">
        <v>63</v>
      </c>
      <c r="T139" t="s">
        <v>46</v>
      </c>
      <c r="U139" t="s">
        <v>47</v>
      </c>
      <c r="V139" t="s">
        <v>95</v>
      </c>
      <c r="W139" s="1">
        <v>40595</v>
      </c>
      <c r="X139" s="1">
        <v>41176</v>
      </c>
      <c r="Y139" t="s">
        <v>86</v>
      </c>
      <c r="Z139" t="s">
        <v>58</v>
      </c>
      <c r="AA139" t="s">
        <v>51</v>
      </c>
      <c r="AB139" t="s">
        <v>137</v>
      </c>
      <c r="AC139" t="s">
        <v>67</v>
      </c>
      <c r="AD139" t="s">
        <v>124</v>
      </c>
      <c r="AE139">
        <v>2.34</v>
      </c>
      <c r="AF139">
        <v>2</v>
      </c>
      <c r="AG139">
        <v>0</v>
      </c>
      <c r="AH139" s="1">
        <v>41247</v>
      </c>
      <c r="AI139">
        <v>4</v>
      </c>
      <c r="AJ139">
        <v>31</v>
      </c>
      <c r="AK139">
        <v>2</v>
      </c>
      <c r="AL139">
        <v>2</v>
      </c>
      <c r="AM139">
        <f>IF(Cleaned_Data[[#This Row],[DateofTermination]]="","",YEAR(Cleaned_Data[[#This Row],[DateofTermination]]))</f>
        <v>2012</v>
      </c>
      <c r="AN139">
        <v>1</v>
      </c>
    </row>
    <row r="140" spans="1:40" x14ac:dyDescent="0.35">
      <c r="A140" t="s">
        <v>291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41</v>
      </c>
      <c r="N140" t="s">
        <v>42</v>
      </c>
      <c r="O140">
        <v>1775</v>
      </c>
      <c r="P140" s="1">
        <v>28933</v>
      </c>
      <c r="Q140" t="s">
        <v>43</v>
      </c>
      <c r="R140" t="s">
        <v>75</v>
      </c>
      <c r="S140" t="s">
        <v>45</v>
      </c>
      <c r="T140" t="s">
        <v>46</v>
      </c>
      <c r="U140" t="s">
        <v>47</v>
      </c>
      <c r="V140" t="s">
        <v>48</v>
      </c>
      <c r="W140" s="1">
        <v>41505</v>
      </c>
      <c r="X140" s="1"/>
      <c r="Y140" t="s">
        <v>49</v>
      </c>
      <c r="Z140" t="s">
        <v>50</v>
      </c>
      <c r="AA140" t="s">
        <v>51</v>
      </c>
      <c r="AB140" t="s">
        <v>109</v>
      </c>
      <c r="AC140" t="s">
        <v>67</v>
      </c>
      <c r="AD140" t="s">
        <v>60</v>
      </c>
      <c r="AE140">
        <v>3.99</v>
      </c>
      <c r="AF140">
        <v>3</v>
      </c>
      <c r="AG140">
        <v>0</v>
      </c>
      <c r="AH140" s="1">
        <v>43479</v>
      </c>
      <c r="AI140">
        <v>14</v>
      </c>
      <c r="AJ140">
        <v>41</v>
      </c>
      <c r="AK140">
        <v>6</v>
      </c>
      <c r="AL140">
        <v>12</v>
      </c>
      <c r="AM140" t="str">
        <f>IF(Cleaned_Data[[#This Row],[DateofTermination]]="","",YEAR(Cleaned_Data[[#This Row],[DateofTermination]]))</f>
        <v/>
      </c>
      <c r="AN140">
        <v>1</v>
      </c>
    </row>
    <row r="141" spans="1:40" x14ac:dyDescent="0.35">
      <c r="A141" t="s">
        <v>292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41</v>
      </c>
      <c r="N141" t="s">
        <v>42</v>
      </c>
      <c r="O141">
        <v>2081</v>
      </c>
      <c r="P141" s="1">
        <v>28120</v>
      </c>
      <c r="Q141" t="s">
        <v>43</v>
      </c>
      <c r="R141" t="s">
        <v>75</v>
      </c>
      <c r="S141" t="s">
        <v>45</v>
      </c>
      <c r="T141" t="s">
        <v>46</v>
      </c>
      <c r="U141" t="s">
        <v>47</v>
      </c>
      <c r="V141" t="s">
        <v>71</v>
      </c>
      <c r="W141" s="1">
        <v>41040</v>
      </c>
      <c r="X141" s="1"/>
      <c r="Y141" t="s">
        <v>49</v>
      </c>
      <c r="Z141" t="s">
        <v>50</v>
      </c>
      <c r="AA141" t="s">
        <v>51</v>
      </c>
      <c r="AB141" t="s">
        <v>114</v>
      </c>
      <c r="AC141" t="s">
        <v>53</v>
      </c>
      <c r="AD141" t="s">
        <v>60</v>
      </c>
      <c r="AE141">
        <v>4.0999999999999996</v>
      </c>
      <c r="AF141">
        <v>3</v>
      </c>
      <c r="AG141">
        <v>0</v>
      </c>
      <c r="AH141" s="1">
        <v>43482</v>
      </c>
      <c r="AI141">
        <v>7</v>
      </c>
      <c r="AJ141">
        <v>43</v>
      </c>
      <c r="AK141">
        <v>8</v>
      </c>
      <c r="AL141">
        <v>14</v>
      </c>
      <c r="AM141" t="str">
        <f>IF(Cleaned_Data[[#This Row],[DateofTermination]]="","",YEAR(Cleaned_Data[[#This Row],[DateofTermination]]))</f>
        <v/>
      </c>
      <c r="AN141">
        <v>1</v>
      </c>
    </row>
    <row r="142" spans="1:40" x14ac:dyDescent="0.35">
      <c r="A142" t="s">
        <v>293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41</v>
      </c>
      <c r="N142" t="s">
        <v>42</v>
      </c>
      <c r="O142">
        <v>1778</v>
      </c>
      <c r="P142" s="1">
        <v>30038</v>
      </c>
      <c r="Q142" t="s">
        <v>43</v>
      </c>
      <c r="R142" t="s">
        <v>75</v>
      </c>
      <c r="S142" t="s">
        <v>56</v>
      </c>
      <c r="T142" t="s">
        <v>46</v>
      </c>
      <c r="U142" t="s">
        <v>47</v>
      </c>
      <c r="V142" t="s">
        <v>48</v>
      </c>
      <c r="W142" s="1">
        <v>41547</v>
      </c>
      <c r="X142" s="1"/>
      <c r="Y142" t="s">
        <v>49</v>
      </c>
      <c r="Z142" t="s">
        <v>50</v>
      </c>
      <c r="AA142" t="s">
        <v>51</v>
      </c>
      <c r="AB142" t="s">
        <v>83</v>
      </c>
      <c r="AC142" t="s">
        <v>106</v>
      </c>
      <c r="AD142" t="s">
        <v>60</v>
      </c>
      <c r="AE142">
        <v>4.3</v>
      </c>
      <c r="AF142">
        <v>5</v>
      </c>
      <c r="AG142">
        <v>0</v>
      </c>
      <c r="AH142" s="1">
        <v>43518</v>
      </c>
      <c r="AI142">
        <v>7</v>
      </c>
      <c r="AJ142">
        <v>38</v>
      </c>
      <c r="AK142">
        <v>6</v>
      </c>
      <c r="AL142">
        <v>20</v>
      </c>
      <c r="AM142" t="str">
        <f>IF(Cleaned_Data[[#This Row],[DateofTermination]]="","",YEAR(Cleaned_Data[[#This Row],[DateofTermination]]))</f>
        <v/>
      </c>
      <c r="AN142">
        <v>1</v>
      </c>
    </row>
    <row r="143" spans="1:40" x14ac:dyDescent="0.35">
      <c r="A143" t="s">
        <v>294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81</v>
      </c>
      <c r="N143" t="s">
        <v>42</v>
      </c>
      <c r="O143">
        <v>1821</v>
      </c>
      <c r="P143" s="1">
        <v>27689</v>
      </c>
      <c r="Q143" t="s">
        <v>43</v>
      </c>
      <c r="R143" t="s">
        <v>75</v>
      </c>
      <c r="S143" t="s">
        <v>56</v>
      </c>
      <c r="T143" t="s">
        <v>46</v>
      </c>
      <c r="U143" t="s">
        <v>47</v>
      </c>
      <c r="V143" t="s">
        <v>264</v>
      </c>
      <c r="W143" s="1">
        <v>40670</v>
      </c>
      <c r="X143" s="1"/>
      <c r="Y143" t="s">
        <v>49</v>
      </c>
      <c r="Z143" t="s">
        <v>50</v>
      </c>
      <c r="AA143" t="s">
        <v>51</v>
      </c>
      <c r="AB143" t="s">
        <v>105</v>
      </c>
      <c r="AC143" t="s">
        <v>53</v>
      </c>
      <c r="AD143" t="s">
        <v>54</v>
      </c>
      <c r="AE143">
        <v>4.5999999999999996</v>
      </c>
      <c r="AF143">
        <v>4</v>
      </c>
      <c r="AG143">
        <v>0</v>
      </c>
      <c r="AH143" s="1">
        <v>43521</v>
      </c>
      <c r="AI143">
        <v>11</v>
      </c>
      <c r="AJ143">
        <v>44</v>
      </c>
      <c r="AK143">
        <v>9</v>
      </c>
      <c r="AL143">
        <v>19</v>
      </c>
      <c r="AM143" t="str">
        <f>IF(Cleaned_Data[[#This Row],[DateofTermination]]="","",YEAR(Cleaned_Data[[#This Row],[DateofTermination]]))</f>
        <v/>
      </c>
      <c r="AN143">
        <v>1</v>
      </c>
    </row>
    <row r="144" spans="1:40" x14ac:dyDescent="0.35">
      <c r="A144" t="s">
        <v>295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41</v>
      </c>
      <c r="N144" t="s">
        <v>42</v>
      </c>
      <c r="O144">
        <v>2109</v>
      </c>
      <c r="P144" s="1">
        <v>26709</v>
      </c>
      <c r="Q144" t="s">
        <v>43</v>
      </c>
      <c r="R144" t="s">
        <v>75</v>
      </c>
      <c r="S144" t="s">
        <v>143</v>
      </c>
      <c r="T144" t="s">
        <v>46</v>
      </c>
      <c r="U144" t="s">
        <v>47</v>
      </c>
      <c r="V144" t="s">
        <v>48</v>
      </c>
      <c r="W144" s="1">
        <v>41791</v>
      </c>
      <c r="X144" s="1"/>
      <c r="Y144" t="s">
        <v>49</v>
      </c>
      <c r="Z144" t="s">
        <v>50</v>
      </c>
      <c r="AA144" t="s">
        <v>51</v>
      </c>
      <c r="AB144" t="s">
        <v>117</v>
      </c>
      <c r="AC144" t="s">
        <v>53</v>
      </c>
      <c r="AD144" t="s">
        <v>60</v>
      </c>
      <c r="AE144">
        <v>5</v>
      </c>
      <c r="AF144">
        <v>5</v>
      </c>
      <c r="AG144">
        <v>0</v>
      </c>
      <c r="AH144" s="1">
        <v>43486</v>
      </c>
      <c r="AI144">
        <v>9</v>
      </c>
      <c r="AJ144">
        <v>47</v>
      </c>
      <c r="AK144">
        <v>6</v>
      </c>
      <c r="AL144">
        <v>18</v>
      </c>
      <c r="AM144" t="str">
        <f>IF(Cleaned_Data[[#This Row],[DateofTermination]]="","",YEAR(Cleaned_Data[[#This Row],[DateofTermination]]))</f>
        <v/>
      </c>
      <c r="AN144">
        <v>1</v>
      </c>
    </row>
    <row r="145" spans="1:40" x14ac:dyDescent="0.35">
      <c r="A145" t="s">
        <v>296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41</v>
      </c>
      <c r="N145" t="s">
        <v>42</v>
      </c>
      <c r="O145">
        <v>2445</v>
      </c>
      <c r="P145" s="1">
        <v>27997</v>
      </c>
      <c r="Q145" t="s">
        <v>43</v>
      </c>
      <c r="R145" t="s">
        <v>44</v>
      </c>
      <c r="S145" t="s">
        <v>63</v>
      </c>
      <c r="T145" t="s">
        <v>46</v>
      </c>
      <c r="U145" t="s">
        <v>47</v>
      </c>
      <c r="V145" t="s">
        <v>48</v>
      </c>
      <c r="W145" s="1">
        <v>40735</v>
      </c>
      <c r="X145" s="1">
        <v>43219</v>
      </c>
      <c r="Y145" t="s">
        <v>199</v>
      </c>
      <c r="Z145" t="s">
        <v>58</v>
      </c>
      <c r="AA145" t="s">
        <v>51</v>
      </c>
      <c r="AB145" t="s">
        <v>52</v>
      </c>
      <c r="AC145" t="s">
        <v>123</v>
      </c>
      <c r="AD145" t="s">
        <v>54</v>
      </c>
      <c r="AE145">
        <v>4.7</v>
      </c>
      <c r="AF145">
        <v>4</v>
      </c>
      <c r="AG145">
        <v>0</v>
      </c>
      <c r="AH145" s="1">
        <v>43145</v>
      </c>
      <c r="AI145">
        <v>9</v>
      </c>
      <c r="AJ145">
        <v>42</v>
      </c>
      <c r="AK145">
        <v>7</v>
      </c>
      <c r="AL145">
        <v>22</v>
      </c>
      <c r="AM145">
        <f>IF(Cleaned_Data[[#This Row],[DateofTermination]]="","",YEAR(Cleaned_Data[[#This Row],[DateofTermination]]))</f>
        <v>2018</v>
      </c>
      <c r="AN145">
        <v>1</v>
      </c>
    </row>
    <row r="146" spans="1:40" x14ac:dyDescent="0.35">
      <c r="A146" t="s">
        <v>297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74</v>
      </c>
      <c r="N146" t="s">
        <v>42</v>
      </c>
      <c r="O146">
        <v>2301</v>
      </c>
      <c r="P146" s="1">
        <v>28451</v>
      </c>
      <c r="Q146" t="s">
        <v>43</v>
      </c>
      <c r="R146" t="s">
        <v>75</v>
      </c>
      <c r="S146" t="s">
        <v>63</v>
      </c>
      <c r="T146" t="s">
        <v>46</v>
      </c>
      <c r="U146" t="s">
        <v>47</v>
      </c>
      <c r="V146" t="s">
        <v>95</v>
      </c>
      <c r="W146" s="1">
        <v>42125</v>
      </c>
      <c r="X146" s="1"/>
      <c r="Y146" t="s">
        <v>49</v>
      </c>
      <c r="Z146" t="s">
        <v>50</v>
      </c>
      <c r="AA146" t="s">
        <v>65</v>
      </c>
      <c r="AB146" t="s">
        <v>66</v>
      </c>
      <c r="AC146" t="s">
        <v>67</v>
      </c>
      <c r="AD146" t="s">
        <v>60</v>
      </c>
      <c r="AE146">
        <v>3.75</v>
      </c>
      <c r="AF146">
        <v>3</v>
      </c>
      <c r="AG146">
        <v>5</v>
      </c>
      <c r="AH146" s="1">
        <v>43771</v>
      </c>
      <c r="AI146">
        <v>2</v>
      </c>
      <c r="AJ146">
        <v>42</v>
      </c>
      <c r="AK146">
        <v>5</v>
      </c>
      <c r="AL146">
        <v>4</v>
      </c>
      <c r="AM146" t="str">
        <f>IF(Cleaned_Data[[#This Row],[DateofTermination]]="","",YEAR(Cleaned_Data[[#This Row],[DateofTermination]]))</f>
        <v/>
      </c>
      <c r="AN146">
        <v>1</v>
      </c>
    </row>
    <row r="147" spans="1:40" x14ac:dyDescent="0.35">
      <c r="A147" t="s">
        <v>298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81</v>
      </c>
      <c r="N147" t="s">
        <v>42</v>
      </c>
      <c r="O147">
        <v>2128</v>
      </c>
      <c r="P147" s="1">
        <v>31918</v>
      </c>
      <c r="Q147" t="s">
        <v>43</v>
      </c>
      <c r="R147" t="s">
        <v>75</v>
      </c>
      <c r="S147" t="s">
        <v>45</v>
      </c>
      <c r="T147" t="s">
        <v>46</v>
      </c>
      <c r="U147" t="s">
        <v>47</v>
      </c>
      <c r="V147" t="s">
        <v>48</v>
      </c>
      <c r="W147" s="1">
        <v>41827</v>
      </c>
      <c r="X147" s="1"/>
      <c r="Y147" t="s">
        <v>49</v>
      </c>
      <c r="Z147" t="s">
        <v>50</v>
      </c>
      <c r="AA147" t="s">
        <v>51</v>
      </c>
      <c r="AB147" t="s">
        <v>109</v>
      </c>
      <c r="AC147" t="s">
        <v>53</v>
      </c>
      <c r="AD147" t="s">
        <v>54</v>
      </c>
      <c r="AE147">
        <v>4.3</v>
      </c>
      <c r="AF147">
        <v>3</v>
      </c>
      <c r="AG147">
        <v>0</v>
      </c>
      <c r="AH147" s="1">
        <v>43770</v>
      </c>
      <c r="AI147">
        <v>1</v>
      </c>
      <c r="AJ147">
        <v>33</v>
      </c>
      <c r="AK147">
        <v>5</v>
      </c>
      <c r="AL147">
        <v>12</v>
      </c>
      <c r="AM147" t="str">
        <f>IF(Cleaned_Data[[#This Row],[DateofTermination]]="","",YEAR(Cleaned_Data[[#This Row],[DateofTermination]]))</f>
        <v/>
      </c>
      <c r="AN147">
        <v>1</v>
      </c>
    </row>
    <row r="148" spans="1:40" x14ac:dyDescent="0.35">
      <c r="A148" t="s">
        <v>299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41</v>
      </c>
      <c r="N148" t="s">
        <v>42</v>
      </c>
      <c r="O148">
        <v>2446</v>
      </c>
      <c r="P148" s="1">
        <v>24988</v>
      </c>
      <c r="Q148" t="s">
        <v>43</v>
      </c>
      <c r="R148" t="s">
        <v>75</v>
      </c>
      <c r="S148" t="s">
        <v>63</v>
      </c>
      <c r="T148" t="s">
        <v>46</v>
      </c>
      <c r="U148" t="s">
        <v>47</v>
      </c>
      <c r="V148" t="s">
        <v>71</v>
      </c>
      <c r="W148" s="1">
        <v>40817</v>
      </c>
      <c r="X148" s="1">
        <v>42373</v>
      </c>
      <c r="Y148" t="s">
        <v>86</v>
      </c>
      <c r="Z148" t="s">
        <v>58</v>
      </c>
      <c r="AA148" t="s">
        <v>51</v>
      </c>
      <c r="AB148" t="s">
        <v>88</v>
      </c>
      <c r="AC148" t="s">
        <v>123</v>
      </c>
      <c r="AD148" t="s">
        <v>60</v>
      </c>
      <c r="AE148">
        <v>4</v>
      </c>
      <c r="AF148">
        <v>4</v>
      </c>
      <c r="AG148">
        <v>0</v>
      </c>
      <c r="AH148" s="1">
        <v>42431</v>
      </c>
      <c r="AI148">
        <v>4</v>
      </c>
      <c r="AJ148">
        <v>48</v>
      </c>
      <c r="AK148">
        <v>4</v>
      </c>
      <c r="AL148">
        <v>16</v>
      </c>
      <c r="AM148">
        <f>IF(Cleaned_Data[[#This Row],[DateofTermination]]="","",YEAR(Cleaned_Data[[#This Row],[DateofTermination]]))</f>
        <v>2016</v>
      </c>
      <c r="AN148">
        <v>1</v>
      </c>
    </row>
    <row r="149" spans="1:40" x14ac:dyDescent="0.35">
      <c r="A149" t="s">
        <v>300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187</v>
      </c>
      <c r="N149" t="s">
        <v>301</v>
      </c>
      <c r="O149">
        <v>19444</v>
      </c>
      <c r="P149" s="1">
        <v>28025</v>
      </c>
      <c r="Q149" t="s">
        <v>43</v>
      </c>
      <c r="R149" t="s">
        <v>75</v>
      </c>
      <c r="S149" t="s">
        <v>45</v>
      </c>
      <c r="T149" t="s">
        <v>46</v>
      </c>
      <c r="U149" t="s">
        <v>47</v>
      </c>
      <c r="V149" t="s">
        <v>48</v>
      </c>
      <c r="W149" s="1">
        <v>40735</v>
      </c>
      <c r="X149" s="1">
        <v>41753</v>
      </c>
      <c r="Y149" t="s">
        <v>302</v>
      </c>
      <c r="Z149" t="s">
        <v>58</v>
      </c>
      <c r="AA149" t="s">
        <v>147</v>
      </c>
      <c r="AB149" t="s">
        <v>188</v>
      </c>
      <c r="AC149" t="s">
        <v>79</v>
      </c>
      <c r="AD149" t="s">
        <v>60</v>
      </c>
      <c r="AE149">
        <v>4.5</v>
      </c>
      <c r="AF149">
        <v>5</v>
      </c>
      <c r="AG149">
        <v>0</v>
      </c>
      <c r="AH149" s="1">
        <v>41363</v>
      </c>
      <c r="AI149">
        <v>2</v>
      </c>
      <c r="AJ149">
        <v>38</v>
      </c>
      <c r="AK149">
        <v>3</v>
      </c>
      <c r="AL149">
        <v>15</v>
      </c>
      <c r="AM149">
        <f>IF(Cleaned_Data[[#This Row],[DateofTermination]]="","",YEAR(Cleaned_Data[[#This Row],[DateofTermination]]))</f>
        <v>2014</v>
      </c>
      <c r="AN149">
        <v>1</v>
      </c>
    </row>
    <row r="150" spans="1:40" x14ac:dyDescent="0.35">
      <c r="A150" t="s">
        <v>303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41</v>
      </c>
      <c r="N150" t="s">
        <v>42</v>
      </c>
      <c r="O150">
        <v>1887</v>
      </c>
      <c r="P150" s="1">
        <v>31227</v>
      </c>
      <c r="Q150" t="s">
        <v>43</v>
      </c>
      <c r="R150" t="s">
        <v>44</v>
      </c>
      <c r="S150" t="s">
        <v>45</v>
      </c>
      <c r="T150" t="s">
        <v>46</v>
      </c>
      <c r="U150" t="s">
        <v>47</v>
      </c>
      <c r="V150" t="s">
        <v>48</v>
      </c>
      <c r="W150" s="1">
        <v>41547</v>
      </c>
      <c r="X150" s="1"/>
      <c r="Y150" t="s">
        <v>49</v>
      </c>
      <c r="Z150" t="s">
        <v>50</v>
      </c>
      <c r="AA150" t="s">
        <v>51</v>
      </c>
      <c r="AB150" t="s">
        <v>52</v>
      </c>
      <c r="AC150" t="s">
        <v>67</v>
      </c>
      <c r="AD150" t="s">
        <v>60</v>
      </c>
      <c r="AE150">
        <v>3.07</v>
      </c>
      <c r="AF150">
        <v>4</v>
      </c>
      <c r="AG150">
        <v>0</v>
      </c>
      <c r="AH150" s="1">
        <v>43488</v>
      </c>
      <c r="AI150">
        <v>10</v>
      </c>
      <c r="AJ150">
        <v>35</v>
      </c>
      <c r="AK150">
        <v>6</v>
      </c>
      <c r="AL150">
        <v>22</v>
      </c>
      <c r="AM150" t="str">
        <f>IF(Cleaned_Data[[#This Row],[DateofTermination]]="","",YEAR(Cleaned_Data[[#This Row],[DateofTermination]]))</f>
        <v/>
      </c>
      <c r="AN150">
        <v>1</v>
      </c>
    </row>
    <row r="151" spans="1:40" x14ac:dyDescent="0.35">
      <c r="A151" t="s">
        <v>304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145</v>
      </c>
      <c r="N151" t="s">
        <v>305</v>
      </c>
      <c r="O151">
        <v>80820</v>
      </c>
      <c r="P151" s="1">
        <v>33833</v>
      </c>
      <c r="Q151" t="s">
        <v>43</v>
      </c>
      <c r="R151" t="s">
        <v>44</v>
      </c>
      <c r="S151" t="s">
        <v>45</v>
      </c>
      <c r="T151" t="s">
        <v>46</v>
      </c>
      <c r="U151" t="s">
        <v>47</v>
      </c>
      <c r="V151" t="s">
        <v>48</v>
      </c>
      <c r="W151" s="1">
        <v>41505</v>
      </c>
      <c r="X151" s="1"/>
      <c r="Y151" t="s">
        <v>49</v>
      </c>
      <c r="Z151" t="s">
        <v>50</v>
      </c>
      <c r="AA151" t="s">
        <v>147</v>
      </c>
      <c r="AB151" t="s">
        <v>166</v>
      </c>
      <c r="AC151" t="s">
        <v>67</v>
      </c>
      <c r="AD151" t="s">
        <v>60</v>
      </c>
      <c r="AE151">
        <v>4.3</v>
      </c>
      <c r="AF151">
        <v>5</v>
      </c>
      <c r="AG151">
        <v>0</v>
      </c>
      <c r="AH151" s="1">
        <v>43487</v>
      </c>
      <c r="AI151">
        <v>13</v>
      </c>
      <c r="AJ151">
        <v>27</v>
      </c>
      <c r="AK151">
        <v>6</v>
      </c>
      <c r="AL151">
        <v>21</v>
      </c>
      <c r="AM151" t="str">
        <f>IF(Cleaned_Data[[#This Row],[DateofTermination]]="","",YEAR(Cleaned_Data[[#This Row],[DateofTermination]]))</f>
        <v/>
      </c>
      <c r="AN151">
        <v>1</v>
      </c>
    </row>
    <row r="152" spans="1:40" x14ac:dyDescent="0.35">
      <c r="A152" t="s">
        <v>306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307</v>
      </c>
      <c r="N152" t="s">
        <v>42</v>
      </c>
      <c r="O152">
        <v>1902</v>
      </c>
      <c r="P152" s="1">
        <v>25682</v>
      </c>
      <c r="Q152" t="s">
        <v>43</v>
      </c>
      <c r="R152" t="s">
        <v>75</v>
      </c>
      <c r="S152" t="s">
        <v>63</v>
      </c>
      <c r="T152" t="s">
        <v>46</v>
      </c>
      <c r="U152" t="s">
        <v>76</v>
      </c>
      <c r="V152" t="s">
        <v>48</v>
      </c>
      <c r="W152" s="1">
        <v>40946</v>
      </c>
      <c r="X152" s="1"/>
      <c r="Y152" t="s">
        <v>49</v>
      </c>
      <c r="Z152" t="s">
        <v>50</v>
      </c>
      <c r="AA152" t="s">
        <v>308</v>
      </c>
      <c r="AB152" t="s">
        <v>241</v>
      </c>
      <c r="AC152" t="s">
        <v>67</v>
      </c>
      <c r="AD152" t="s">
        <v>60</v>
      </c>
      <c r="AE152">
        <v>4.83</v>
      </c>
      <c r="AF152">
        <v>3</v>
      </c>
      <c r="AG152">
        <v>0</v>
      </c>
      <c r="AH152" s="1">
        <v>43482</v>
      </c>
      <c r="AI152">
        <v>10</v>
      </c>
      <c r="AJ152">
        <v>50</v>
      </c>
      <c r="AK152">
        <v>8</v>
      </c>
      <c r="AL152">
        <v>9</v>
      </c>
      <c r="AM152" t="str">
        <f>IF(Cleaned_Data[[#This Row],[DateofTermination]]="","",YEAR(Cleaned_Data[[#This Row],[DateofTermination]]))</f>
        <v/>
      </c>
      <c r="AN152">
        <v>1</v>
      </c>
    </row>
    <row r="153" spans="1:40" x14ac:dyDescent="0.35">
      <c r="A153" t="s">
        <v>309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41</v>
      </c>
      <c r="N153" t="s">
        <v>42</v>
      </c>
      <c r="O153">
        <v>2170</v>
      </c>
      <c r="P153" s="1">
        <v>29329</v>
      </c>
      <c r="Q153" t="s">
        <v>43</v>
      </c>
      <c r="R153" t="s">
        <v>75</v>
      </c>
      <c r="S153" t="s">
        <v>63</v>
      </c>
      <c r="T153" t="s">
        <v>46</v>
      </c>
      <c r="U153" t="s">
        <v>47</v>
      </c>
      <c r="V153" t="s">
        <v>48</v>
      </c>
      <c r="W153" s="1">
        <v>40812</v>
      </c>
      <c r="X153" s="1">
        <v>42100</v>
      </c>
      <c r="Y153" t="s">
        <v>199</v>
      </c>
      <c r="Z153" t="s">
        <v>58</v>
      </c>
      <c r="AA153" t="s">
        <v>51</v>
      </c>
      <c r="AB153" t="s">
        <v>93</v>
      </c>
      <c r="AC153" t="s">
        <v>79</v>
      </c>
      <c r="AD153" t="s">
        <v>60</v>
      </c>
      <c r="AE153">
        <v>3.6</v>
      </c>
      <c r="AF153">
        <v>5</v>
      </c>
      <c r="AG153">
        <v>0</v>
      </c>
      <c r="AH153" s="1">
        <v>42007</v>
      </c>
      <c r="AI153">
        <v>16</v>
      </c>
      <c r="AJ153">
        <v>35</v>
      </c>
      <c r="AK153">
        <v>4</v>
      </c>
      <c r="AL153">
        <v>39</v>
      </c>
      <c r="AM153">
        <f>IF(Cleaned_Data[[#This Row],[DateofTermination]]="","",YEAR(Cleaned_Data[[#This Row],[DateofTermination]]))</f>
        <v>2015</v>
      </c>
      <c r="AN153">
        <v>1</v>
      </c>
    </row>
    <row r="154" spans="1:40" x14ac:dyDescent="0.35">
      <c r="A154" t="s">
        <v>310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41</v>
      </c>
      <c r="N154" t="s">
        <v>42</v>
      </c>
      <c r="O154">
        <v>2127</v>
      </c>
      <c r="P154" s="1">
        <v>25683</v>
      </c>
      <c r="Q154" t="s">
        <v>43</v>
      </c>
      <c r="R154" t="s">
        <v>75</v>
      </c>
      <c r="S154" t="s">
        <v>63</v>
      </c>
      <c r="T154" t="s">
        <v>46</v>
      </c>
      <c r="U154" t="s">
        <v>47</v>
      </c>
      <c r="V154" t="s">
        <v>48</v>
      </c>
      <c r="W154" s="1">
        <v>40812</v>
      </c>
      <c r="X154" s="1">
        <v>41883</v>
      </c>
      <c r="Y154" t="s">
        <v>199</v>
      </c>
      <c r="Z154" t="s">
        <v>58</v>
      </c>
      <c r="AA154" t="s">
        <v>51</v>
      </c>
      <c r="AB154" t="s">
        <v>97</v>
      </c>
      <c r="AC154" t="s">
        <v>79</v>
      </c>
      <c r="AD154" t="s">
        <v>60</v>
      </c>
      <c r="AE154">
        <v>3.49</v>
      </c>
      <c r="AF154">
        <v>4</v>
      </c>
      <c r="AG154">
        <v>0</v>
      </c>
      <c r="AH154" s="1">
        <v>41304</v>
      </c>
      <c r="AI154">
        <v>6</v>
      </c>
      <c r="AJ154">
        <v>44</v>
      </c>
      <c r="AK154">
        <v>3</v>
      </c>
      <c r="AL154">
        <v>11</v>
      </c>
      <c r="AM154">
        <f>IF(Cleaned_Data[[#This Row],[DateofTermination]]="","",YEAR(Cleaned_Data[[#This Row],[DateofTermination]]))</f>
        <v>2014</v>
      </c>
      <c r="AN154">
        <v>1</v>
      </c>
    </row>
    <row r="155" spans="1:40" x14ac:dyDescent="0.35">
      <c r="A155" t="s">
        <v>311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41</v>
      </c>
      <c r="N155" t="s">
        <v>42</v>
      </c>
      <c r="O155">
        <v>1721</v>
      </c>
      <c r="P155" s="1">
        <v>30403</v>
      </c>
      <c r="Q155" t="s">
        <v>43</v>
      </c>
      <c r="R155" t="s">
        <v>44</v>
      </c>
      <c r="S155" t="s">
        <v>45</v>
      </c>
      <c r="T155" t="s">
        <v>46</v>
      </c>
      <c r="U155" t="s">
        <v>47</v>
      </c>
      <c r="V155" t="s">
        <v>71</v>
      </c>
      <c r="W155" s="1">
        <v>41687</v>
      </c>
      <c r="X155" s="1"/>
      <c r="Y155" t="s">
        <v>49</v>
      </c>
      <c r="Z155" t="s">
        <v>50</v>
      </c>
      <c r="AA155" t="s">
        <v>51</v>
      </c>
      <c r="AB155" t="s">
        <v>105</v>
      </c>
      <c r="AC155" t="s">
        <v>53</v>
      </c>
      <c r="AD155" t="s">
        <v>60</v>
      </c>
      <c r="AE155">
        <v>3.1</v>
      </c>
      <c r="AF155">
        <v>3</v>
      </c>
      <c r="AG155">
        <v>0</v>
      </c>
      <c r="AH155" s="1">
        <v>43618</v>
      </c>
      <c r="AI155">
        <v>3</v>
      </c>
      <c r="AJ155">
        <v>37</v>
      </c>
      <c r="AK155">
        <v>6</v>
      </c>
      <c r="AL155">
        <v>19</v>
      </c>
      <c r="AM155" t="str">
        <f>IF(Cleaned_Data[[#This Row],[DateofTermination]]="","",YEAR(Cleaned_Data[[#This Row],[DateofTermination]]))</f>
        <v/>
      </c>
      <c r="AN155">
        <v>1</v>
      </c>
    </row>
    <row r="156" spans="1:40" x14ac:dyDescent="0.35">
      <c r="A156" t="s">
        <v>312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41</v>
      </c>
      <c r="N156" t="s">
        <v>42</v>
      </c>
      <c r="O156">
        <v>1801</v>
      </c>
      <c r="P156" s="1">
        <v>32598</v>
      </c>
      <c r="Q156" t="s">
        <v>43</v>
      </c>
      <c r="R156" t="s">
        <v>44</v>
      </c>
      <c r="S156" t="s">
        <v>63</v>
      </c>
      <c r="T156" t="s">
        <v>46</v>
      </c>
      <c r="U156" t="s">
        <v>47</v>
      </c>
      <c r="V156" t="s">
        <v>95</v>
      </c>
      <c r="W156" s="1">
        <v>40817</v>
      </c>
      <c r="X156" s="1"/>
      <c r="Y156" t="s">
        <v>49</v>
      </c>
      <c r="Z156" t="s">
        <v>50</v>
      </c>
      <c r="AA156" t="s">
        <v>51</v>
      </c>
      <c r="AB156" t="s">
        <v>109</v>
      </c>
      <c r="AC156" t="s">
        <v>67</v>
      </c>
      <c r="AD156" t="s">
        <v>60</v>
      </c>
      <c r="AE156">
        <v>3.38</v>
      </c>
      <c r="AF156">
        <v>3</v>
      </c>
      <c r="AG156">
        <v>0</v>
      </c>
      <c r="AH156" s="1">
        <v>43486</v>
      </c>
      <c r="AI156">
        <v>17</v>
      </c>
      <c r="AJ156">
        <v>31</v>
      </c>
      <c r="AK156">
        <v>8</v>
      </c>
      <c r="AL156">
        <v>12</v>
      </c>
      <c r="AM156" t="str">
        <f>IF(Cleaned_Data[[#This Row],[DateofTermination]]="","",YEAR(Cleaned_Data[[#This Row],[DateofTermination]]))</f>
        <v/>
      </c>
      <c r="AN156">
        <v>1</v>
      </c>
    </row>
    <row r="157" spans="1:40" x14ac:dyDescent="0.35">
      <c r="A157" t="s">
        <v>313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145</v>
      </c>
      <c r="N157" t="s">
        <v>314</v>
      </c>
      <c r="O157">
        <v>10171</v>
      </c>
      <c r="P157" s="1">
        <v>31374</v>
      </c>
      <c r="Q157" t="s">
        <v>43</v>
      </c>
      <c r="R157" t="s">
        <v>44</v>
      </c>
      <c r="S157" t="s">
        <v>45</v>
      </c>
      <c r="T157" t="s">
        <v>46</v>
      </c>
      <c r="U157" t="s">
        <v>76</v>
      </c>
      <c r="V157" t="s">
        <v>71</v>
      </c>
      <c r="W157" s="1">
        <v>40727</v>
      </c>
      <c r="X157" s="1"/>
      <c r="Y157" t="s">
        <v>49</v>
      </c>
      <c r="Z157" t="s">
        <v>50</v>
      </c>
      <c r="AA157" t="s">
        <v>147</v>
      </c>
      <c r="AB157" t="s">
        <v>148</v>
      </c>
      <c r="AC157" t="s">
        <v>72</v>
      </c>
      <c r="AD157" t="s">
        <v>60</v>
      </c>
      <c r="AE157">
        <v>3.65</v>
      </c>
      <c r="AF157">
        <v>5</v>
      </c>
      <c r="AG157">
        <v>0</v>
      </c>
      <c r="AH157" s="1">
        <v>43482</v>
      </c>
      <c r="AI157">
        <v>20</v>
      </c>
      <c r="AJ157">
        <v>34</v>
      </c>
      <c r="AK157">
        <v>8</v>
      </c>
      <c r="AL157">
        <v>17</v>
      </c>
      <c r="AM157" t="str">
        <f>IF(Cleaned_Data[[#This Row],[DateofTermination]]="","",YEAR(Cleaned_Data[[#This Row],[DateofTermination]]))</f>
        <v/>
      </c>
      <c r="AN157">
        <v>1</v>
      </c>
    </row>
    <row r="158" spans="1:40" x14ac:dyDescent="0.35">
      <c r="A158" t="s">
        <v>315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185</v>
      </c>
      <c r="N158" t="s">
        <v>42</v>
      </c>
      <c r="O158">
        <v>2169</v>
      </c>
      <c r="P158" s="1">
        <v>29494</v>
      </c>
      <c r="Q158" t="s">
        <v>43</v>
      </c>
      <c r="R158" t="s">
        <v>44</v>
      </c>
      <c r="S158" t="s">
        <v>63</v>
      </c>
      <c r="T158" t="s">
        <v>46</v>
      </c>
      <c r="U158" t="s">
        <v>47</v>
      </c>
      <c r="V158" t="s">
        <v>48</v>
      </c>
      <c r="W158" s="1">
        <v>41923</v>
      </c>
      <c r="X158" s="1"/>
      <c r="Y158" t="s">
        <v>49</v>
      </c>
      <c r="Z158" t="s">
        <v>50</v>
      </c>
      <c r="AA158" t="s">
        <v>65</v>
      </c>
      <c r="AB158" t="s">
        <v>112</v>
      </c>
      <c r="AC158" t="s">
        <v>106</v>
      </c>
      <c r="AD158" t="s">
        <v>60</v>
      </c>
      <c r="AE158">
        <v>4.46</v>
      </c>
      <c r="AF158">
        <v>5</v>
      </c>
      <c r="AG158">
        <v>6</v>
      </c>
      <c r="AH158" s="1">
        <v>43647</v>
      </c>
      <c r="AI158">
        <v>7</v>
      </c>
      <c r="AJ158">
        <v>39</v>
      </c>
      <c r="AK158">
        <v>5</v>
      </c>
      <c r="AL158">
        <v>7</v>
      </c>
      <c r="AM158" t="str">
        <f>IF(Cleaned_Data[[#This Row],[DateofTermination]]="","",YEAR(Cleaned_Data[[#This Row],[DateofTermination]]))</f>
        <v/>
      </c>
      <c r="AN158">
        <v>1</v>
      </c>
    </row>
    <row r="159" spans="1:40" x14ac:dyDescent="0.35">
      <c r="A159" t="s">
        <v>316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135</v>
      </c>
      <c r="N159" t="s">
        <v>42</v>
      </c>
      <c r="O159">
        <v>1890</v>
      </c>
      <c r="P159" s="1">
        <v>29183</v>
      </c>
      <c r="Q159" t="s">
        <v>43</v>
      </c>
      <c r="R159" t="s">
        <v>44</v>
      </c>
      <c r="S159" t="s">
        <v>63</v>
      </c>
      <c r="T159" t="s">
        <v>46</v>
      </c>
      <c r="U159" t="s">
        <v>47</v>
      </c>
      <c r="V159" t="s">
        <v>48</v>
      </c>
      <c r="W159" s="1">
        <v>40817</v>
      </c>
      <c r="X159" s="1">
        <v>42350</v>
      </c>
      <c r="Y159" t="s">
        <v>119</v>
      </c>
      <c r="Z159" t="s">
        <v>78</v>
      </c>
      <c r="AA159" t="s">
        <v>51</v>
      </c>
      <c r="AB159" t="s">
        <v>137</v>
      </c>
      <c r="AC159" t="s">
        <v>106</v>
      </c>
      <c r="AD159" t="s">
        <v>60</v>
      </c>
      <c r="AE159">
        <v>4.78</v>
      </c>
      <c r="AF159">
        <v>4</v>
      </c>
      <c r="AG159">
        <v>0</v>
      </c>
      <c r="AH159" s="1">
        <v>42050</v>
      </c>
      <c r="AI159">
        <v>9</v>
      </c>
      <c r="AJ159">
        <v>36</v>
      </c>
      <c r="AK159">
        <v>4</v>
      </c>
      <c r="AL159">
        <v>2</v>
      </c>
      <c r="AM159">
        <f>IF(Cleaned_Data[[#This Row],[DateofTermination]]="","",YEAR(Cleaned_Data[[#This Row],[DateofTermination]]))</f>
        <v>2015</v>
      </c>
      <c r="AN159">
        <v>1</v>
      </c>
    </row>
    <row r="160" spans="1:40" x14ac:dyDescent="0.35">
      <c r="A160" t="s">
        <v>317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81</v>
      </c>
      <c r="N160" t="s">
        <v>42</v>
      </c>
      <c r="O160">
        <v>2090</v>
      </c>
      <c r="P160" s="1">
        <v>30090</v>
      </c>
      <c r="Q160" t="s">
        <v>43</v>
      </c>
      <c r="R160" t="s">
        <v>75</v>
      </c>
      <c r="S160" t="s">
        <v>56</v>
      </c>
      <c r="T160" t="s">
        <v>46</v>
      </c>
      <c r="U160" t="s">
        <v>47</v>
      </c>
      <c r="V160" t="s">
        <v>95</v>
      </c>
      <c r="W160" s="1">
        <v>41456</v>
      </c>
      <c r="X160" s="1">
        <v>41729</v>
      </c>
      <c r="Y160" t="s">
        <v>57</v>
      </c>
      <c r="Z160" t="s">
        <v>58</v>
      </c>
      <c r="AA160" t="s">
        <v>51</v>
      </c>
      <c r="AB160" t="s">
        <v>114</v>
      </c>
      <c r="AC160" t="s">
        <v>67</v>
      </c>
      <c r="AD160" t="s">
        <v>60</v>
      </c>
      <c r="AE160">
        <v>4.5199999999999996</v>
      </c>
      <c r="AF160">
        <v>3</v>
      </c>
      <c r="AG160">
        <v>0</v>
      </c>
      <c r="AH160" s="1">
        <v>41690</v>
      </c>
      <c r="AI160">
        <v>20</v>
      </c>
      <c r="AJ160">
        <v>32</v>
      </c>
      <c r="AK160">
        <v>1</v>
      </c>
      <c r="AL160">
        <v>14</v>
      </c>
      <c r="AM160">
        <f>IF(Cleaned_Data[[#This Row],[DateofTermination]]="","",YEAR(Cleaned_Data[[#This Row],[DateofTermination]]))</f>
        <v>2014</v>
      </c>
      <c r="AN160">
        <v>1</v>
      </c>
    </row>
    <row r="161" spans="1:40" x14ac:dyDescent="0.35">
      <c r="A161" t="s">
        <v>318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41</v>
      </c>
      <c r="N161" t="s">
        <v>42</v>
      </c>
      <c r="O161">
        <v>2048</v>
      </c>
      <c r="P161" s="1">
        <v>28906</v>
      </c>
      <c r="Q161" t="s">
        <v>43</v>
      </c>
      <c r="R161" t="s">
        <v>44</v>
      </c>
      <c r="S161" t="s">
        <v>63</v>
      </c>
      <c r="T161" t="s">
        <v>46</v>
      </c>
      <c r="U161" t="s">
        <v>47</v>
      </c>
      <c r="V161" t="s">
        <v>48</v>
      </c>
      <c r="W161" s="1">
        <v>41159</v>
      </c>
      <c r="X161" s="1"/>
      <c r="Y161" t="s">
        <v>49</v>
      </c>
      <c r="Z161" t="s">
        <v>50</v>
      </c>
      <c r="AA161" t="s">
        <v>51</v>
      </c>
      <c r="AB161" t="s">
        <v>114</v>
      </c>
      <c r="AC161" t="s">
        <v>53</v>
      </c>
      <c r="AD161" t="s">
        <v>60</v>
      </c>
      <c r="AE161">
        <v>5</v>
      </c>
      <c r="AF161">
        <v>5</v>
      </c>
      <c r="AG161">
        <v>0</v>
      </c>
      <c r="AH161" s="1">
        <v>43557</v>
      </c>
      <c r="AI161">
        <v>13</v>
      </c>
      <c r="AJ161">
        <v>41</v>
      </c>
      <c r="AK161">
        <v>7</v>
      </c>
      <c r="AL161">
        <v>14</v>
      </c>
      <c r="AM161" t="str">
        <f>IF(Cleaned_Data[[#This Row],[DateofTermination]]="","",YEAR(Cleaned_Data[[#This Row],[DateofTermination]]))</f>
        <v/>
      </c>
      <c r="AN161">
        <v>1</v>
      </c>
    </row>
    <row r="162" spans="1:40" x14ac:dyDescent="0.35">
      <c r="A162" t="s">
        <v>319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140</v>
      </c>
      <c r="N162" t="s">
        <v>42</v>
      </c>
      <c r="O162">
        <v>1460</v>
      </c>
      <c r="P162" s="1">
        <v>32219</v>
      </c>
      <c r="Q162" t="s">
        <v>43</v>
      </c>
      <c r="R162" t="s">
        <v>44</v>
      </c>
      <c r="S162" t="s">
        <v>56</v>
      </c>
      <c r="T162" t="s">
        <v>46</v>
      </c>
      <c r="U162" t="s">
        <v>47</v>
      </c>
      <c r="V162" t="s">
        <v>71</v>
      </c>
      <c r="W162" s="1">
        <v>41791</v>
      </c>
      <c r="X162" s="1"/>
      <c r="Y162" t="s">
        <v>49</v>
      </c>
      <c r="Z162" t="s">
        <v>50</v>
      </c>
      <c r="AA162" t="s">
        <v>132</v>
      </c>
      <c r="AB162" t="s">
        <v>133</v>
      </c>
      <c r="AC162" t="s">
        <v>207</v>
      </c>
      <c r="AD162" t="s">
        <v>60</v>
      </c>
      <c r="AE162">
        <v>5</v>
      </c>
      <c r="AF162">
        <v>4</v>
      </c>
      <c r="AG162">
        <v>4</v>
      </c>
      <c r="AH162" s="1">
        <v>43482</v>
      </c>
      <c r="AI162">
        <v>3</v>
      </c>
      <c r="AJ162">
        <v>32</v>
      </c>
      <c r="AK162">
        <v>6</v>
      </c>
      <c r="AL162">
        <v>1</v>
      </c>
      <c r="AM162" t="str">
        <f>IF(Cleaned_Data[[#This Row],[DateofTermination]]="","",YEAR(Cleaned_Data[[#This Row],[DateofTermination]]))</f>
        <v/>
      </c>
      <c r="AN162">
        <v>1</v>
      </c>
    </row>
    <row r="163" spans="1:40" x14ac:dyDescent="0.35">
      <c r="A163" t="s">
        <v>320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81</v>
      </c>
      <c r="N163" t="s">
        <v>42</v>
      </c>
      <c r="O163">
        <v>2126</v>
      </c>
      <c r="P163" s="1">
        <v>32707</v>
      </c>
      <c r="Q163" t="s">
        <v>43</v>
      </c>
      <c r="R163" t="s">
        <v>44</v>
      </c>
      <c r="S163" t="s">
        <v>63</v>
      </c>
      <c r="T163" t="s">
        <v>46</v>
      </c>
      <c r="U163" t="s">
        <v>47</v>
      </c>
      <c r="V163" t="s">
        <v>48</v>
      </c>
      <c r="W163" s="1">
        <v>40943</v>
      </c>
      <c r="X163" s="1">
        <v>41379</v>
      </c>
      <c r="Y163" t="s">
        <v>199</v>
      </c>
      <c r="Z163" t="s">
        <v>58</v>
      </c>
      <c r="AA163" t="s">
        <v>51</v>
      </c>
      <c r="AB163" t="s">
        <v>83</v>
      </c>
      <c r="AC163" t="s">
        <v>79</v>
      </c>
      <c r="AD163" t="s">
        <v>60</v>
      </c>
      <c r="AE163">
        <v>4.9000000000000004</v>
      </c>
      <c r="AF163">
        <v>3</v>
      </c>
      <c r="AG163">
        <v>0</v>
      </c>
      <c r="AH163" s="1">
        <v>41325</v>
      </c>
      <c r="AI163">
        <v>20</v>
      </c>
      <c r="AJ163">
        <v>24</v>
      </c>
      <c r="AK163">
        <v>1</v>
      </c>
      <c r="AL163">
        <v>20</v>
      </c>
      <c r="AM163">
        <f>IF(Cleaned_Data[[#This Row],[DateofTermination]]="","",YEAR(Cleaned_Data[[#This Row],[DateofTermination]]))</f>
        <v>2013</v>
      </c>
      <c r="AN163">
        <v>1</v>
      </c>
    </row>
    <row r="164" spans="1:40" x14ac:dyDescent="0.35">
      <c r="A164" t="s">
        <v>321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322</v>
      </c>
      <c r="N164" t="s">
        <v>42</v>
      </c>
      <c r="O164">
        <v>1886</v>
      </c>
      <c r="P164" s="1">
        <v>31613</v>
      </c>
      <c r="Q164" t="s">
        <v>43</v>
      </c>
      <c r="R164" t="s">
        <v>75</v>
      </c>
      <c r="S164" t="s">
        <v>45</v>
      </c>
      <c r="T164" t="s">
        <v>46</v>
      </c>
      <c r="U164" t="s">
        <v>47</v>
      </c>
      <c r="V164" t="s">
        <v>95</v>
      </c>
      <c r="W164" s="1">
        <v>42410</v>
      </c>
      <c r="X164" s="1"/>
      <c r="Y164" t="s">
        <v>49</v>
      </c>
      <c r="Z164" t="s">
        <v>50</v>
      </c>
      <c r="AA164" t="s">
        <v>65</v>
      </c>
      <c r="AB164" t="s">
        <v>203</v>
      </c>
      <c r="AC164" t="s">
        <v>67</v>
      </c>
      <c r="AD164" t="s">
        <v>60</v>
      </c>
      <c r="AE164">
        <v>4.0999999999999996</v>
      </c>
      <c r="AF164">
        <v>5</v>
      </c>
      <c r="AG164">
        <v>7</v>
      </c>
      <c r="AH164" s="1">
        <v>43678</v>
      </c>
      <c r="AI164">
        <v>2</v>
      </c>
      <c r="AJ164">
        <v>33</v>
      </c>
      <c r="AK164">
        <v>4</v>
      </c>
      <c r="AL164">
        <v>13</v>
      </c>
      <c r="AM164" t="str">
        <f>IF(Cleaned_Data[[#This Row],[DateofTermination]]="","",YEAR(Cleaned_Data[[#This Row],[DateofTermination]]))</f>
        <v/>
      </c>
      <c r="AN164">
        <v>1</v>
      </c>
    </row>
    <row r="165" spans="1:40" x14ac:dyDescent="0.35">
      <c r="A165" t="s">
        <v>323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41</v>
      </c>
      <c r="N165" t="s">
        <v>42</v>
      </c>
      <c r="O165">
        <v>1810</v>
      </c>
      <c r="P165" s="1">
        <v>31641</v>
      </c>
      <c r="Q165" t="s">
        <v>43</v>
      </c>
      <c r="R165" t="s">
        <v>75</v>
      </c>
      <c r="S165" t="s">
        <v>45</v>
      </c>
      <c r="T165" t="s">
        <v>46</v>
      </c>
      <c r="U165" t="s">
        <v>47</v>
      </c>
      <c r="V165" t="s">
        <v>95</v>
      </c>
      <c r="W165" s="1">
        <v>40812</v>
      </c>
      <c r="X165" s="1">
        <v>43331</v>
      </c>
      <c r="Y165" t="s">
        <v>92</v>
      </c>
      <c r="Z165" t="s">
        <v>58</v>
      </c>
      <c r="AA165" t="s">
        <v>51</v>
      </c>
      <c r="AB165" t="s">
        <v>83</v>
      </c>
      <c r="AC165" t="s">
        <v>123</v>
      </c>
      <c r="AD165" t="s">
        <v>60</v>
      </c>
      <c r="AE165">
        <v>4.88</v>
      </c>
      <c r="AF165">
        <v>3</v>
      </c>
      <c r="AG165">
        <v>0</v>
      </c>
      <c r="AH165" s="1">
        <v>42773</v>
      </c>
      <c r="AI165">
        <v>17</v>
      </c>
      <c r="AJ165">
        <v>32</v>
      </c>
      <c r="AK165">
        <v>7</v>
      </c>
      <c r="AL165">
        <v>20</v>
      </c>
      <c r="AM165">
        <f>IF(Cleaned_Data[[#This Row],[DateofTermination]]="","",YEAR(Cleaned_Data[[#This Row],[DateofTermination]]))</f>
        <v>2018</v>
      </c>
      <c r="AN165">
        <v>1</v>
      </c>
    </row>
    <row r="166" spans="1:40" x14ac:dyDescent="0.35">
      <c r="A166" t="s">
        <v>324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325</v>
      </c>
      <c r="N166" t="s">
        <v>42</v>
      </c>
      <c r="O166">
        <v>1460</v>
      </c>
      <c r="P166" s="1">
        <v>30941</v>
      </c>
      <c r="Q166" t="s">
        <v>43</v>
      </c>
      <c r="R166" t="s">
        <v>44</v>
      </c>
      <c r="S166" t="s">
        <v>63</v>
      </c>
      <c r="T166" t="s">
        <v>46</v>
      </c>
      <c r="U166" t="s">
        <v>47</v>
      </c>
      <c r="V166" t="s">
        <v>48</v>
      </c>
      <c r="W166" s="1">
        <v>42491</v>
      </c>
      <c r="X166" s="1"/>
      <c r="Y166" t="s">
        <v>49</v>
      </c>
      <c r="Z166" t="s">
        <v>50</v>
      </c>
      <c r="AA166" t="s">
        <v>132</v>
      </c>
      <c r="AB166" t="s">
        <v>137</v>
      </c>
      <c r="AC166" t="s">
        <v>123</v>
      </c>
      <c r="AD166" t="s">
        <v>60</v>
      </c>
      <c r="AE166">
        <v>4.0999999999999996</v>
      </c>
      <c r="AF166">
        <v>4</v>
      </c>
      <c r="AG166">
        <v>0</v>
      </c>
      <c r="AH166" s="1">
        <v>43493</v>
      </c>
      <c r="AI166">
        <v>20</v>
      </c>
      <c r="AJ166">
        <v>35</v>
      </c>
      <c r="AK166">
        <v>4</v>
      </c>
      <c r="AL166">
        <v>2</v>
      </c>
      <c r="AM166" t="str">
        <f>IF(Cleaned_Data[[#This Row],[DateofTermination]]="","",YEAR(Cleaned_Data[[#This Row],[DateofTermination]]))</f>
        <v/>
      </c>
      <c r="AN166">
        <v>1</v>
      </c>
    </row>
    <row r="167" spans="1:40" x14ac:dyDescent="0.35">
      <c r="A167" t="s">
        <v>326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41</v>
      </c>
      <c r="N167" t="s">
        <v>42</v>
      </c>
      <c r="O167">
        <v>1776</v>
      </c>
      <c r="P167" s="1">
        <v>29913</v>
      </c>
      <c r="Q167" t="s">
        <v>43</v>
      </c>
      <c r="R167" t="s">
        <v>44</v>
      </c>
      <c r="S167" t="s">
        <v>63</v>
      </c>
      <c r="T167" t="s">
        <v>46</v>
      </c>
      <c r="U167" t="s">
        <v>47</v>
      </c>
      <c r="V167" t="s">
        <v>95</v>
      </c>
      <c r="W167" s="1">
        <v>41043</v>
      </c>
      <c r="X167" s="1"/>
      <c r="Y167" t="s">
        <v>49</v>
      </c>
      <c r="Z167" t="s">
        <v>50</v>
      </c>
      <c r="AA167" t="s">
        <v>51</v>
      </c>
      <c r="AB167" t="s">
        <v>88</v>
      </c>
      <c r="AC167" t="s">
        <v>79</v>
      </c>
      <c r="AD167" t="s">
        <v>60</v>
      </c>
      <c r="AE167">
        <v>4.0999999999999996</v>
      </c>
      <c r="AF167">
        <v>3</v>
      </c>
      <c r="AG167">
        <v>0</v>
      </c>
      <c r="AH167" s="1">
        <v>43518</v>
      </c>
      <c r="AI167">
        <v>10</v>
      </c>
      <c r="AJ167">
        <v>38</v>
      </c>
      <c r="AK167">
        <v>8</v>
      </c>
      <c r="AL167">
        <v>16</v>
      </c>
      <c r="AM167" t="str">
        <f>IF(Cleaned_Data[[#This Row],[DateofTermination]]="","",YEAR(Cleaned_Data[[#This Row],[DateofTermination]]))</f>
        <v/>
      </c>
      <c r="AN167">
        <v>1</v>
      </c>
    </row>
    <row r="168" spans="1:40" x14ac:dyDescent="0.35">
      <c r="A168" t="s">
        <v>327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145</v>
      </c>
      <c r="N168" t="s">
        <v>328</v>
      </c>
      <c r="O168">
        <v>84111</v>
      </c>
      <c r="P168" s="1">
        <v>32384</v>
      </c>
      <c r="Q168" t="s">
        <v>43</v>
      </c>
      <c r="R168" t="s">
        <v>44</v>
      </c>
      <c r="S168" t="s">
        <v>143</v>
      </c>
      <c r="T168" t="s">
        <v>46</v>
      </c>
      <c r="U168" t="s">
        <v>47</v>
      </c>
      <c r="V168" t="s">
        <v>71</v>
      </c>
      <c r="W168" s="1">
        <v>41029</v>
      </c>
      <c r="X168" s="1"/>
      <c r="Y168" t="s">
        <v>49</v>
      </c>
      <c r="Z168" t="s">
        <v>50</v>
      </c>
      <c r="AA168" t="s">
        <v>147</v>
      </c>
      <c r="AB168" t="s">
        <v>148</v>
      </c>
      <c r="AC168" t="s">
        <v>207</v>
      </c>
      <c r="AD168" t="s">
        <v>60</v>
      </c>
      <c r="AE168">
        <v>4.53</v>
      </c>
      <c r="AF168">
        <v>3</v>
      </c>
      <c r="AG168">
        <v>0</v>
      </c>
      <c r="AH168" s="1">
        <v>43494</v>
      </c>
      <c r="AI168">
        <v>16</v>
      </c>
      <c r="AJ168">
        <v>31</v>
      </c>
      <c r="AK168">
        <v>8</v>
      </c>
      <c r="AL168">
        <v>17</v>
      </c>
      <c r="AM168" t="str">
        <f>IF(Cleaned_Data[[#This Row],[DateofTermination]]="","",YEAR(Cleaned_Data[[#This Row],[DateofTermination]]))</f>
        <v/>
      </c>
      <c r="AN168">
        <v>1</v>
      </c>
    </row>
    <row r="169" spans="1:40" x14ac:dyDescent="0.35">
      <c r="A169" t="s">
        <v>329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135</v>
      </c>
      <c r="N169" t="s">
        <v>42</v>
      </c>
      <c r="O169">
        <v>2110</v>
      </c>
      <c r="P169" s="1">
        <v>30970</v>
      </c>
      <c r="Q169" t="s">
        <v>43</v>
      </c>
      <c r="R169" t="s">
        <v>75</v>
      </c>
      <c r="S169" t="s">
        <v>63</v>
      </c>
      <c r="T169" t="s">
        <v>46</v>
      </c>
      <c r="U169" t="s">
        <v>47</v>
      </c>
      <c r="V169" t="s">
        <v>48</v>
      </c>
      <c r="W169" s="1">
        <v>41547</v>
      </c>
      <c r="X169" s="1"/>
      <c r="Y169" t="s">
        <v>49</v>
      </c>
      <c r="Z169" t="s">
        <v>50</v>
      </c>
      <c r="AA169" t="s">
        <v>51</v>
      </c>
      <c r="AB169" t="s">
        <v>137</v>
      </c>
      <c r="AC169" t="s">
        <v>207</v>
      </c>
      <c r="AD169" t="s">
        <v>54</v>
      </c>
      <c r="AE169">
        <v>4.0999999999999996</v>
      </c>
      <c r="AF169">
        <v>3</v>
      </c>
      <c r="AG169">
        <v>0</v>
      </c>
      <c r="AH169" s="1">
        <v>43486</v>
      </c>
      <c r="AI169">
        <v>11</v>
      </c>
      <c r="AJ169">
        <v>35</v>
      </c>
      <c r="AK169">
        <v>6</v>
      </c>
      <c r="AL169">
        <v>2</v>
      </c>
      <c r="AM169" t="str">
        <f>IF(Cleaned_Data[[#This Row],[DateofTermination]]="","",YEAR(Cleaned_Data[[#This Row],[DateofTermination]]))</f>
        <v/>
      </c>
      <c r="AN169">
        <v>1</v>
      </c>
    </row>
    <row r="170" spans="1:40" x14ac:dyDescent="0.35">
      <c r="A170" t="s">
        <v>330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41</v>
      </c>
      <c r="N170" t="s">
        <v>42</v>
      </c>
      <c r="O170">
        <v>1886</v>
      </c>
      <c r="P170" s="1">
        <v>22451</v>
      </c>
      <c r="Q170" t="s">
        <v>85</v>
      </c>
      <c r="R170" t="s">
        <v>75</v>
      </c>
      <c r="S170" t="s">
        <v>63</v>
      </c>
      <c r="T170" t="s">
        <v>46</v>
      </c>
      <c r="U170" t="s">
        <v>47</v>
      </c>
      <c r="V170" t="s">
        <v>48</v>
      </c>
      <c r="W170" s="1">
        <v>40670</v>
      </c>
      <c r="X170" s="1">
        <v>43369</v>
      </c>
      <c r="Y170" t="s">
        <v>86</v>
      </c>
      <c r="Z170" t="s">
        <v>58</v>
      </c>
      <c r="AA170" t="s">
        <v>51</v>
      </c>
      <c r="AB170" t="s">
        <v>52</v>
      </c>
      <c r="AC170" t="s">
        <v>67</v>
      </c>
      <c r="AD170" t="s">
        <v>60</v>
      </c>
      <c r="AE170">
        <v>3.18</v>
      </c>
      <c r="AF170">
        <v>4</v>
      </c>
      <c r="AG170">
        <v>0</v>
      </c>
      <c r="AH170" s="1">
        <v>43134</v>
      </c>
      <c r="AI170">
        <v>16</v>
      </c>
      <c r="AJ170">
        <v>57</v>
      </c>
      <c r="AK170">
        <v>7</v>
      </c>
      <c r="AL170">
        <v>22</v>
      </c>
      <c r="AM170">
        <f>IF(Cleaned_Data[[#This Row],[DateofTermination]]="","",YEAR(Cleaned_Data[[#This Row],[DateofTermination]]))</f>
        <v>2018</v>
      </c>
      <c r="AN170">
        <v>1</v>
      </c>
    </row>
    <row r="171" spans="1:40" x14ac:dyDescent="0.35">
      <c r="A171" t="s">
        <v>331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81</v>
      </c>
      <c r="N171" t="s">
        <v>42</v>
      </c>
      <c r="O171">
        <v>1770</v>
      </c>
      <c r="P171" s="1">
        <v>25833</v>
      </c>
      <c r="Q171" t="s">
        <v>43</v>
      </c>
      <c r="R171" t="s">
        <v>44</v>
      </c>
      <c r="S171" t="s">
        <v>63</v>
      </c>
      <c r="T171" t="s">
        <v>46</v>
      </c>
      <c r="U171" t="s">
        <v>47</v>
      </c>
      <c r="V171" t="s">
        <v>48</v>
      </c>
      <c r="W171" s="1">
        <v>41493</v>
      </c>
      <c r="X171" s="1"/>
      <c r="Y171" t="s">
        <v>49</v>
      </c>
      <c r="Z171" t="s">
        <v>50</v>
      </c>
      <c r="AA171" t="s">
        <v>51</v>
      </c>
      <c r="AB171" t="s">
        <v>117</v>
      </c>
      <c r="AC171" t="s">
        <v>53</v>
      </c>
      <c r="AD171" t="s">
        <v>60</v>
      </c>
      <c r="AE171">
        <v>4</v>
      </c>
      <c r="AF171">
        <v>3</v>
      </c>
      <c r="AG171">
        <v>0</v>
      </c>
      <c r="AH171" s="1">
        <v>43514</v>
      </c>
      <c r="AI171">
        <v>7</v>
      </c>
      <c r="AJ171">
        <v>49</v>
      </c>
      <c r="AK171">
        <v>6</v>
      </c>
      <c r="AL171">
        <v>18</v>
      </c>
      <c r="AM171" t="str">
        <f>IF(Cleaned_Data[[#This Row],[DateofTermination]]="","",YEAR(Cleaned_Data[[#This Row],[DateofTermination]]))</f>
        <v/>
      </c>
      <c r="AN171">
        <v>1</v>
      </c>
    </row>
    <row r="172" spans="1:40" x14ac:dyDescent="0.35">
      <c r="A172" t="s">
        <v>332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111</v>
      </c>
      <c r="N172" t="s">
        <v>128</v>
      </c>
      <c r="O172">
        <v>6070</v>
      </c>
      <c r="P172" s="1">
        <v>31047</v>
      </c>
      <c r="Q172" t="s">
        <v>43</v>
      </c>
      <c r="R172" t="s">
        <v>75</v>
      </c>
      <c r="S172" t="s">
        <v>45</v>
      </c>
      <c r="T172" t="s">
        <v>46</v>
      </c>
      <c r="U172" t="s">
        <v>76</v>
      </c>
      <c r="V172" t="s">
        <v>71</v>
      </c>
      <c r="W172" s="1">
        <v>40564</v>
      </c>
      <c r="X172" s="1"/>
      <c r="Y172" t="s">
        <v>49</v>
      </c>
      <c r="Z172" t="s">
        <v>50</v>
      </c>
      <c r="AA172" t="s">
        <v>65</v>
      </c>
      <c r="AB172" t="s">
        <v>172</v>
      </c>
      <c r="AC172" t="s">
        <v>72</v>
      </c>
      <c r="AD172" t="s">
        <v>54</v>
      </c>
      <c r="AE172">
        <v>4.6399999999999997</v>
      </c>
      <c r="AF172">
        <v>4</v>
      </c>
      <c r="AG172">
        <v>5</v>
      </c>
      <c r="AH172" s="1">
        <v>43490</v>
      </c>
      <c r="AI172">
        <v>14</v>
      </c>
      <c r="AJ172">
        <v>35</v>
      </c>
      <c r="AK172">
        <v>9</v>
      </c>
      <c r="AL172">
        <v>6</v>
      </c>
      <c r="AM172" t="str">
        <f>IF(Cleaned_Data[[#This Row],[DateofTermination]]="","",YEAR(Cleaned_Data[[#This Row],[DateofTermination]]))</f>
        <v/>
      </c>
      <c r="AN172">
        <v>1</v>
      </c>
    </row>
    <row r="173" spans="1:40" x14ac:dyDescent="0.35">
      <c r="A173" t="s">
        <v>333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81</v>
      </c>
      <c r="N173" t="s">
        <v>42</v>
      </c>
      <c r="O173">
        <v>2122</v>
      </c>
      <c r="P173" s="1">
        <v>30154</v>
      </c>
      <c r="Q173" t="s">
        <v>43</v>
      </c>
      <c r="R173" t="s">
        <v>75</v>
      </c>
      <c r="S173" t="s">
        <v>104</v>
      </c>
      <c r="T173" t="s">
        <v>46</v>
      </c>
      <c r="U173" t="s">
        <v>47</v>
      </c>
      <c r="V173" t="s">
        <v>48</v>
      </c>
      <c r="W173" s="1">
        <v>41493</v>
      </c>
      <c r="X173" s="1">
        <v>42628</v>
      </c>
      <c r="Y173" t="s">
        <v>199</v>
      </c>
      <c r="Z173" t="s">
        <v>58</v>
      </c>
      <c r="AA173" t="s">
        <v>51</v>
      </c>
      <c r="AB173" t="s">
        <v>52</v>
      </c>
      <c r="AC173" t="s">
        <v>53</v>
      </c>
      <c r="AD173" t="s">
        <v>60</v>
      </c>
      <c r="AE173">
        <v>4.6500000000000004</v>
      </c>
      <c r="AF173">
        <v>4</v>
      </c>
      <c r="AG173">
        <v>0</v>
      </c>
      <c r="AH173" s="1">
        <v>42649</v>
      </c>
      <c r="AI173">
        <v>15</v>
      </c>
      <c r="AJ173">
        <v>34</v>
      </c>
      <c r="AK173">
        <v>3</v>
      </c>
      <c r="AL173">
        <v>22</v>
      </c>
      <c r="AM173">
        <f>IF(Cleaned_Data[[#This Row],[DateofTermination]]="","",YEAR(Cleaned_Data[[#This Row],[DateofTermination]]))</f>
        <v>2016</v>
      </c>
      <c r="AN173">
        <v>1</v>
      </c>
    </row>
    <row r="174" spans="1:40" x14ac:dyDescent="0.35">
      <c r="A174" t="s">
        <v>334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81</v>
      </c>
      <c r="N174" t="s">
        <v>42</v>
      </c>
      <c r="O174">
        <v>2324</v>
      </c>
      <c r="P174" s="1">
        <v>31075</v>
      </c>
      <c r="Q174" t="s">
        <v>43</v>
      </c>
      <c r="R174" t="s">
        <v>75</v>
      </c>
      <c r="S174" t="s">
        <v>45</v>
      </c>
      <c r="T174" t="s">
        <v>46</v>
      </c>
      <c r="U174" t="s">
        <v>47</v>
      </c>
      <c r="V174" t="s">
        <v>71</v>
      </c>
      <c r="W174" s="1">
        <v>41505</v>
      </c>
      <c r="X174" s="1"/>
      <c r="Y174" t="s">
        <v>49</v>
      </c>
      <c r="Z174" t="s">
        <v>50</v>
      </c>
      <c r="AA174" t="s">
        <v>51</v>
      </c>
      <c r="AB174" t="s">
        <v>88</v>
      </c>
      <c r="AC174" t="s">
        <v>67</v>
      </c>
      <c r="AD174" t="s">
        <v>54</v>
      </c>
      <c r="AE174">
        <v>4.2</v>
      </c>
      <c r="AF174">
        <v>4</v>
      </c>
      <c r="AG174">
        <v>0</v>
      </c>
      <c r="AH174" s="1">
        <v>43801</v>
      </c>
      <c r="AI174">
        <v>19</v>
      </c>
      <c r="AJ174">
        <v>35</v>
      </c>
      <c r="AK174">
        <v>6</v>
      </c>
      <c r="AL174">
        <v>16</v>
      </c>
      <c r="AM174" t="str">
        <f>IF(Cleaned_Data[[#This Row],[DateofTermination]]="","",YEAR(Cleaned_Data[[#This Row],[DateofTermination]]))</f>
        <v/>
      </c>
      <c r="AN174">
        <v>1</v>
      </c>
    </row>
    <row r="175" spans="1:40" x14ac:dyDescent="0.35">
      <c r="A175" t="s">
        <v>335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41</v>
      </c>
      <c r="N175" t="s">
        <v>42</v>
      </c>
      <c r="O175">
        <v>2122</v>
      </c>
      <c r="P175" s="1">
        <v>26811</v>
      </c>
      <c r="Q175" t="s">
        <v>43</v>
      </c>
      <c r="R175" t="s">
        <v>75</v>
      </c>
      <c r="S175" t="s">
        <v>63</v>
      </c>
      <c r="T175" t="s">
        <v>46</v>
      </c>
      <c r="U175" t="s">
        <v>47</v>
      </c>
      <c r="V175" t="s">
        <v>71</v>
      </c>
      <c r="W175" s="1">
        <v>42051</v>
      </c>
      <c r="X175" s="1"/>
      <c r="Y175" t="s">
        <v>49</v>
      </c>
      <c r="Z175" t="s">
        <v>50</v>
      </c>
      <c r="AA175" t="s">
        <v>51</v>
      </c>
      <c r="AB175" t="s">
        <v>88</v>
      </c>
      <c r="AC175" t="s">
        <v>207</v>
      </c>
      <c r="AD175" t="s">
        <v>60</v>
      </c>
      <c r="AE175">
        <v>5</v>
      </c>
      <c r="AF175">
        <v>3</v>
      </c>
      <c r="AG175">
        <v>0</v>
      </c>
      <c r="AH175" s="1">
        <v>43488</v>
      </c>
      <c r="AI175">
        <v>6</v>
      </c>
      <c r="AJ175">
        <v>47</v>
      </c>
      <c r="AK175">
        <v>5</v>
      </c>
      <c r="AL175">
        <v>16</v>
      </c>
      <c r="AM175" t="str">
        <f>IF(Cleaned_Data[[#This Row],[DateofTermination]]="","",YEAR(Cleaned_Data[[#This Row],[DateofTermination]]))</f>
        <v/>
      </c>
      <c r="AN175">
        <v>1</v>
      </c>
    </row>
    <row r="176" spans="1:40" x14ac:dyDescent="0.35">
      <c r="A176" t="s">
        <v>336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41</v>
      </c>
      <c r="N176" t="s">
        <v>42</v>
      </c>
      <c r="O176">
        <v>1844</v>
      </c>
      <c r="P176" s="1">
        <v>26624</v>
      </c>
      <c r="Q176" t="s">
        <v>43</v>
      </c>
      <c r="R176" t="s">
        <v>75</v>
      </c>
      <c r="S176" t="s">
        <v>45</v>
      </c>
      <c r="T176" t="s">
        <v>46</v>
      </c>
      <c r="U176" t="s">
        <v>76</v>
      </c>
      <c r="V176" t="s">
        <v>71</v>
      </c>
      <c r="W176" s="1">
        <v>40735</v>
      </c>
      <c r="X176" s="1">
        <v>42322</v>
      </c>
      <c r="Y176" t="s">
        <v>57</v>
      </c>
      <c r="Z176" t="s">
        <v>58</v>
      </c>
      <c r="AA176" t="s">
        <v>51</v>
      </c>
      <c r="AB176" t="s">
        <v>93</v>
      </c>
      <c r="AC176" t="s">
        <v>72</v>
      </c>
      <c r="AD176" t="s">
        <v>54</v>
      </c>
      <c r="AE176">
        <v>5</v>
      </c>
      <c r="AF176">
        <v>4</v>
      </c>
      <c r="AG176">
        <v>0</v>
      </c>
      <c r="AH176" s="1">
        <v>42037</v>
      </c>
      <c r="AI176">
        <v>17</v>
      </c>
      <c r="AJ176">
        <v>43</v>
      </c>
      <c r="AK176">
        <v>4</v>
      </c>
      <c r="AL176">
        <v>39</v>
      </c>
      <c r="AM176">
        <f>IF(Cleaned_Data[[#This Row],[DateofTermination]]="","",YEAR(Cleaned_Data[[#This Row],[DateofTermination]]))</f>
        <v>2015</v>
      </c>
      <c r="AN176">
        <v>1</v>
      </c>
    </row>
    <row r="177" spans="1:40" x14ac:dyDescent="0.35">
      <c r="A177" t="s">
        <v>337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41</v>
      </c>
      <c r="N177" t="s">
        <v>42</v>
      </c>
      <c r="O177">
        <v>1938</v>
      </c>
      <c r="P177" s="1">
        <v>31854</v>
      </c>
      <c r="Q177" t="s">
        <v>43</v>
      </c>
      <c r="R177" t="s">
        <v>44</v>
      </c>
      <c r="S177" t="s">
        <v>104</v>
      </c>
      <c r="T177" t="s">
        <v>46</v>
      </c>
      <c r="U177" t="s">
        <v>47</v>
      </c>
      <c r="V177" t="s">
        <v>48</v>
      </c>
      <c r="W177" s="1">
        <v>41176</v>
      </c>
      <c r="X177" s="1">
        <v>43004</v>
      </c>
      <c r="Y177" t="s">
        <v>82</v>
      </c>
      <c r="Z177" t="s">
        <v>58</v>
      </c>
      <c r="AA177" t="s">
        <v>51</v>
      </c>
      <c r="AB177" t="s">
        <v>97</v>
      </c>
      <c r="AC177" t="s">
        <v>67</v>
      </c>
      <c r="AD177" t="s">
        <v>60</v>
      </c>
      <c r="AE177">
        <v>3.08</v>
      </c>
      <c r="AF177">
        <v>4</v>
      </c>
      <c r="AG177">
        <v>0</v>
      </c>
      <c r="AH177" s="1">
        <v>42739</v>
      </c>
      <c r="AI177">
        <v>18</v>
      </c>
      <c r="AJ177">
        <v>31</v>
      </c>
      <c r="AK177">
        <v>5</v>
      </c>
      <c r="AL177">
        <v>11</v>
      </c>
      <c r="AM177">
        <f>IF(Cleaned_Data[[#This Row],[DateofTermination]]="","",YEAR(Cleaned_Data[[#This Row],[DateofTermination]]))</f>
        <v>2017</v>
      </c>
      <c r="AN177">
        <v>1</v>
      </c>
    </row>
    <row r="178" spans="1:40" x14ac:dyDescent="0.35">
      <c r="A178" t="s">
        <v>338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41</v>
      </c>
      <c r="N178" t="s">
        <v>42</v>
      </c>
      <c r="O178">
        <v>2189</v>
      </c>
      <c r="P178" s="1">
        <v>31620</v>
      </c>
      <c r="Q178" t="s">
        <v>43</v>
      </c>
      <c r="R178" t="s">
        <v>75</v>
      </c>
      <c r="S178" t="s">
        <v>45</v>
      </c>
      <c r="T178" t="s">
        <v>46</v>
      </c>
      <c r="U178" t="s">
        <v>47</v>
      </c>
      <c r="V178" t="s">
        <v>48</v>
      </c>
      <c r="W178" s="1">
        <v>41791</v>
      </c>
      <c r="X178" s="1"/>
      <c r="Y178" t="s">
        <v>49</v>
      </c>
      <c r="Z178" t="s">
        <v>50</v>
      </c>
      <c r="AA178" t="s">
        <v>51</v>
      </c>
      <c r="AB178" t="s">
        <v>105</v>
      </c>
      <c r="AC178" t="s">
        <v>53</v>
      </c>
      <c r="AD178" t="s">
        <v>60</v>
      </c>
      <c r="AE178">
        <v>4.5999999999999996</v>
      </c>
      <c r="AF178">
        <v>4</v>
      </c>
      <c r="AG178">
        <v>0</v>
      </c>
      <c r="AH178" s="1">
        <v>43522</v>
      </c>
      <c r="AI178">
        <v>14</v>
      </c>
      <c r="AJ178">
        <v>33</v>
      </c>
      <c r="AK178">
        <v>6</v>
      </c>
      <c r="AL178">
        <v>19</v>
      </c>
      <c r="AM178" t="str">
        <f>IF(Cleaned_Data[[#This Row],[DateofTermination]]="","",YEAR(Cleaned_Data[[#This Row],[DateofTermination]]))</f>
        <v/>
      </c>
      <c r="AN178">
        <v>1</v>
      </c>
    </row>
    <row r="179" spans="1:40" x14ac:dyDescent="0.35">
      <c r="A179" t="s">
        <v>339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81</v>
      </c>
      <c r="N179" t="s">
        <v>42</v>
      </c>
      <c r="O179">
        <v>2324</v>
      </c>
      <c r="P179" s="1">
        <v>27384</v>
      </c>
      <c r="Q179" t="s">
        <v>43</v>
      </c>
      <c r="R179" t="s">
        <v>75</v>
      </c>
      <c r="S179" t="s">
        <v>63</v>
      </c>
      <c r="T179" t="s">
        <v>46</v>
      </c>
      <c r="U179" t="s">
        <v>47</v>
      </c>
      <c r="V179" t="s">
        <v>48</v>
      </c>
      <c r="W179" s="1">
        <v>42679</v>
      </c>
      <c r="X179" s="1"/>
      <c r="Y179" t="s">
        <v>49</v>
      </c>
      <c r="Z179" t="s">
        <v>50</v>
      </c>
      <c r="AA179" t="s">
        <v>51</v>
      </c>
      <c r="AB179" t="s">
        <v>93</v>
      </c>
      <c r="AC179" t="s">
        <v>53</v>
      </c>
      <c r="AD179" t="s">
        <v>60</v>
      </c>
      <c r="AE179">
        <v>5</v>
      </c>
      <c r="AF179">
        <v>3</v>
      </c>
      <c r="AG179">
        <v>0</v>
      </c>
      <c r="AH179" s="1">
        <v>43486</v>
      </c>
      <c r="AI179">
        <v>4</v>
      </c>
      <c r="AJ179">
        <v>45</v>
      </c>
      <c r="AK179">
        <v>3</v>
      </c>
      <c r="AL179">
        <v>39</v>
      </c>
      <c r="AM179" t="str">
        <f>IF(Cleaned_Data[[#This Row],[DateofTermination]]="","",YEAR(Cleaned_Data[[#This Row],[DateofTermination]]))</f>
        <v/>
      </c>
      <c r="AN179">
        <v>1</v>
      </c>
    </row>
    <row r="180" spans="1:40" x14ac:dyDescent="0.35">
      <c r="A180" t="s">
        <v>340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81</v>
      </c>
      <c r="N180" t="s">
        <v>42</v>
      </c>
      <c r="O180">
        <v>2176</v>
      </c>
      <c r="P180" s="1">
        <v>31528</v>
      </c>
      <c r="Q180" t="s">
        <v>43</v>
      </c>
      <c r="R180" t="s">
        <v>75</v>
      </c>
      <c r="S180" t="s">
        <v>63</v>
      </c>
      <c r="T180" t="s">
        <v>46</v>
      </c>
      <c r="U180" t="s">
        <v>47</v>
      </c>
      <c r="V180" t="s">
        <v>116</v>
      </c>
      <c r="W180" s="1">
        <v>40670</v>
      </c>
      <c r="X180" s="1">
        <v>41140</v>
      </c>
      <c r="Y180" t="s">
        <v>57</v>
      </c>
      <c r="Z180" t="s">
        <v>58</v>
      </c>
      <c r="AA180" t="s">
        <v>51</v>
      </c>
      <c r="AB180" t="s">
        <v>97</v>
      </c>
      <c r="AC180" t="s">
        <v>53</v>
      </c>
      <c r="AD180" t="s">
        <v>60</v>
      </c>
      <c r="AE180">
        <v>5</v>
      </c>
      <c r="AF180">
        <v>4</v>
      </c>
      <c r="AG180">
        <v>0</v>
      </c>
      <c r="AH180" s="1">
        <v>40946</v>
      </c>
      <c r="AI180">
        <v>16</v>
      </c>
      <c r="AJ180">
        <v>26</v>
      </c>
      <c r="AK180">
        <v>1</v>
      </c>
      <c r="AL180">
        <v>11</v>
      </c>
      <c r="AM180">
        <f>IF(Cleaned_Data[[#This Row],[DateofTermination]]="","",YEAR(Cleaned_Data[[#This Row],[DateofTermination]]))</f>
        <v>2012</v>
      </c>
      <c r="AN180">
        <v>1</v>
      </c>
    </row>
    <row r="181" spans="1:40" x14ac:dyDescent="0.35">
      <c r="A181" t="s">
        <v>341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41</v>
      </c>
      <c r="N181" t="s">
        <v>42</v>
      </c>
      <c r="O181">
        <v>2451</v>
      </c>
      <c r="P181" s="1">
        <v>32128</v>
      </c>
      <c r="Q181" t="s">
        <v>43</v>
      </c>
      <c r="R181" t="s">
        <v>75</v>
      </c>
      <c r="S181" t="s">
        <v>63</v>
      </c>
      <c r="T181" t="s">
        <v>46</v>
      </c>
      <c r="U181" t="s">
        <v>47</v>
      </c>
      <c r="V181" t="s">
        <v>48</v>
      </c>
      <c r="W181" s="1">
        <v>41589</v>
      </c>
      <c r="X181" s="1"/>
      <c r="Y181" t="s">
        <v>49</v>
      </c>
      <c r="Z181" t="s">
        <v>50</v>
      </c>
      <c r="AA181" t="s">
        <v>51</v>
      </c>
      <c r="AB181" t="s">
        <v>109</v>
      </c>
      <c r="AC181" t="s">
        <v>53</v>
      </c>
      <c r="AD181" t="s">
        <v>60</v>
      </c>
      <c r="AE181">
        <v>4.0999999999999996</v>
      </c>
      <c r="AF181">
        <v>3</v>
      </c>
      <c r="AG181">
        <v>0</v>
      </c>
      <c r="AH181" s="1">
        <v>43487</v>
      </c>
      <c r="AI181">
        <v>11</v>
      </c>
      <c r="AJ181">
        <v>32</v>
      </c>
      <c r="AK181">
        <v>6</v>
      </c>
      <c r="AL181">
        <v>12</v>
      </c>
      <c r="AM181" t="str">
        <f>IF(Cleaned_Data[[#This Row],[DateofTermination]]="","",YEAR(Cleaned_Data[[#This Row],[DateofTermination]]))</f>
        <v/>
      </c>
      <c r="AN181">
        <v>1</v>
      </c>
    </row>
    <row r="182" spans="1:40" x14ac:dyDescent="0.35">
      <c r="A182" t="s">
        <v>342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100</v>
      </c>
      <c r="N182" t="s">
        <v>42</v>
      </c>
      <c r="O182">
        <v>2135</v>
      </c>
      <c r="P182" s="1">
        <v>29690</v>
      </c>
      <c r="Q182" t="s">
        <v>43</v>
      </c>
      <c r="R182" t="s">
        <v>75</v>
      </c>
      <c r="S182" t="s">
        <v>45</v>
      </c>
      <c r="T182" t="s">
        <v>46</v>
      </c>
      <c r="U182" t="s">
        <v>47</v>
      </c>
      <c r="V182" t="s">
        <v>95</v>
      </c>
      <c r="W182" s="1">
        <v>41589</v>
      </c>
      <c r="X182" s="1"/>
      <c r="Y182" t="s">
        <v>49</v>
      </c>
      <c r="Z182" t="s">
        <v>50</v>
      </c>
      <c r="AA182" t="s">
        <v>101</v>
      </c>
      <c r="AB182" t="s">
        <v>102</v>
      </c>
      <c r="AC182" t="s">
        <v>79</v>
      </c>
      <c r="AD182" t="s">
        <v>60</v>
      </c>
      <c r="AE182">
        <v>4.5</v>
      </c>
      <c r="AF182">
        <v>5</v>
      </c>
      <c r="AG182">
        <v>4</v>
      </c>
      <c r="AH182" s="1">
        <v>43479</v>
      </c>
      <c r="AI182">
        <v>14</v>
      </c>
      <c r="AJ182">
        <v>39</v>
      </c>
      <c r="AK182">
        <v>6</v>
      </c>
      <c r="AL182">
        <v>10</v>
      </c>
      <c r="AM182" t="str">
        <f>IF(Cleaned_Data[[#This Row],[DateofTermination]]="","",YEAR(Cleaned_Data[[#This Row],[DateofTermination]]))</f>
        <v/>
      </c>
      <c r="AN182">
        <v>1</v>
      </c>
    </row>
    <row r="183" spans="1:40" x14ac:dyDescent="0.35">
      <c r="A183" t="s">
        <v>343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41</v>
      </c>
      <c r="N183" t="s">
        <v>42</v>
      </c>
      <c r="O183">
        <v>2330</v>
      </c>
      <c r="P183" s="1">
        <v>31283</v>
      </c>
      <c r="Q183" t="s">
        <v>43</v>
      </c>
      <c r="R183" t="s">
        <v>75</v>
      </c>
      <c r="S183" t="s">
        <v>63</v>
      </c>
      <c r="T183" t="s">
        <v>46</v>
      </c>
      <c r="U183" t="s">
        <v>47</v>
      </c>
      <c r="V183" t="s">
        <v>48</v>
      </c>
      <c r="W183" s="1">
        <v>40694</v>
      </c>
      <c r="X183" s="1"/>
      <c r="Y183" t="s">
        <v>49</v>
      </c>
      <c r="Z183" t="s">
        <v>50</v>
      </c>
      <c r="AA183" t="s">
        <v>51</v>
      </c>
      <c r="AB183" t="s">
        <v>114</v>
      </c>
      <c r="AC183" t="s">
        <v>67</v>
      </c>
      <c r="AD183" t="s">
        <v>60</v>
      </c>
      <c r="AE183">
        <v>5</v>
      </c>
      <c r="AF183">
        <v>4</v>
      </c>
      <c r="AG183">
        <v>0</v>
      </c>
      <c r="AH183" s="1">
        <v>43739</v>
      </c>
      <c r="AI183">
        <v>8</v>
      </c>
      <c r="AJ183">
        <v>34</v>
      </c>
      <c r="AK183">
        <v>9</v>
      </c>
      <c r="AL183">
        <v>14</v>
      </c>
      <c r="AM183" t="str">
        <f>IF(Cleaned_Data[[#This Row],[DateofTermination]]="","",YEAR(Cleaned_Data[[#This Row],[DateofTermination]]))</f>
        <v/>
      </c>
      <c r="AN183">
        <v>1</v>
      </c>
    </row>
    <row r="184" spans="1:40" x14ac:dyDescent="0.35">
      <c r="A184" t="s">
        <v>344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81</v>
      </c>
      <c r="N184" t="s">
        <v>42</v>
      </c>
      <c r="O184">
        <v>2149</v>
      </c>
      <c r="P184" s="1">
        <v>32282</v>
      </c>
      <c r="Q184" t="s">
        <v>43</v>
      </c>
      <c r="R184" t="s">
        <v>75</v>
      </c>
      <c r="S184" t="s">
        <v>45</v>
      </c>
      <c r="T184" t="s">
        <v>46</v>
      </c>
      <c r="U184" t="s">
        <v>47</v>
      </c>
      <c r="V184" t="s">
        <v>71</v>
      </c>
      <c r="W184" s="1">
        <v>42093</v>
      </c>
      <c r="X184" s="1"/>
      <c r="Y184" t="s">
        <v>49</v>
      </c>
      <c r="Z184" t="s">
        <v>50</v>
      </c>
      <c r="AA184" t="s">
        <v>51</v>
      </c>
      <c r="AB184" t="s">
        <v>105</v>
      </c>
      <c r="AC184" t="s">
        <v>53</v>
      </c>
      <c r="AD184" t="s">
        <v>60</v>
      </c>
      <c r="AE184">
        <v>5</v>
      </c>
      <c r="AF184">
        <v>5</v>
      </c>
      <c r="AG184">
        <v>0</v>
      </c>
      <c r="AH184" s="1">
        <v>43648</v>
      </c>
      <c r="AI184">
        <v>16</v>
      </c>
      <c r="AJ184">
        <v>32</v>
      </c>
      <c r="AK184">
        <v>5</v>
      </c>
      <c r="AL184">
        <v>19</v>
      </c>
      <c r="AM184" t="str">
        <f>IF(Cleaned_Data[[#This Row],[DateofTermination]]="","",YEAR(Cleaned_Data[[#This Row],[DateofTermination]]))</f>
        <v/>
      </c>
      <c r="AN184">
        <v>1</v>
      </c>
    </row>
    <row r="185" spans="1:40" x14ac:dyDescent="0.35">
      <c r="A185" t="s">
        <v>345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41</v>
      </c>
      <c r="N185" t="s">
        <v>42</v>
      </c>
      <c r="O185">
        <v>2184</v>
      </c>
      <c r="P185" s="1">
        <v>32106</v>
      </c>
      <c r="Q185" t="s">
        <v>43</v>
      </c>
      <c r="R185" t="s">
        <v>75</v>
      </c>
      <c r="S185" t="s">
        <v>63</v>
      </c>
      <c r="T185" t="s">
        <v>46</v>
      </c>
      <c r="U185" t="s">
        <v>47</v>
      </c>
      <c r="V185" t="s">
        <v>71</v>
      </c>
      <c r="W185" s="1">
        <v>41456</v>
      </c>
      <c r="X185" s="1"/>
      <c r="Y185" t="s">
        <v>49</v>
      </c>
      <c r="Z185" t="s">
        <v>50</v>
      </c>
      <c r="AA185" t="s">
        <v>51</v>
      </c>
      <c r="AB185" t="s">
        <v>83</v>
      </c>
      <c r="AC185" t="s">
        <v>123</v>
      </c>
      <c r="AD185" t="s">
        <v>60</v>
      </c>
      <c r="AE185">
        <v>3.93</v>
      </c>
      <c r="AF185">
        <v>3</v>
      </c>
      <c r="AG185">
        <v>0</v>
      </c>
      <c r="AH185" s="1">
        <v>43495</v>
      </c>
      <c r="AI185">
        <v>20</v>
      </c>
      <c r="AJ185">
        <v>32</v>
      </c>
      <c r="AK185">
        <v>6</v>
      </c>
      <c r="AL185">
        <v>20</v>
      </c>
      <c r="AM185" t="str">
        <f>IF(Cleaned_Data[[#This Row],[DateofTermination]]="","",YEAR(Cleaned_Data[[#This Row],[DateofTermination]]))</f>
        <v/>
      </c>
      <c r="AN185">
        <v>1</v>
      </c>
    </row>
    <row r="186" spans="1:40" x14ac:dyDescent="0.35">
      <c r="A186" t="s">
        <v>346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145</v>
      </c>
      <c r="N186" t="s">
        <v>70</v>
      </c>
      <c r="O186">
        <v>78789</v>
      </c>
      <c r="P186" s="1">
        <v>23314</v>
      </c>
      <c r="Q186" t="s">
        <v>85</v>
      </c>
      <c r="R186" t="s">
        <v>44</v>
      </c>
      <c r="S186" t="s">
        <v>63</v>
      </c>
      <c r="T186" t="s">
        <v>46</v>
      </c>
      <c r="U186" t="s">
        <v>47</v>
      </c>
      <c r="V186" t="s">
        <v>116</v>
      </c>
      <c r="W186" s="1">
        <v>42528</v>
      </c>
      <c r="X186" s="1"/>
      <c r="Y186" t="s">
        <v>49</v>
      </c>
      <c r="Z186" t="s">
        <v>50</v>
      </c>
      <c r="AA186" t="s">
        <v>147</v>
      </c>
      <c r="AB186" t="s">
        <v>166</v>
      </c>
      <c r="AC186" t="s">
        <v>207</v>
      </c>
      <c r="AD186" t="s">
        <v>60</v>
      </c>
      <c r="AE186">
        <v>3.4</v>
      </c>
      <c r="AF186">
        <v>4</v>
      </c>
      <c r="AG186">
        <v>0</v>
      </c>
      <c r="AH186" s="1">
        <v>43494</v>
      </c>
      <c r="AI186">
        <v>7</v>
      </c>
      <c r="AJ186">
        <v>56</v>
      </c>
      <c r="AK186">
        <v>4</v>
      </c>
      <c r="AL186">
        <v>21</v>
      </c>
      <c r="AM186" t="str">
        <f>IF(Cleaned_Data[[#This Row],[DateofTermination]]="","",YEAR(Cleaned_Data[[#This Row],[DateofTermination]]))</f>
        <v/>
      </c>
      <c r="AN186">
        <v>1</v>
      </c>
    </row>
    <row r="187" spans="1:40" x14ac:dyDescent="0.35">
      <c r="A187" t="s">
        <v>347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41</v>
      </c>
      <c r="N187" t="s">
        <v>42</v>
      </c>
      <c r="O187">
        <v>1760</v>
      </c>
      <c r="P187" s="1">
        <v>30910</v>
      </c>
      <c r="Q187" t="s">
        <v>43</v>
      </c>
      <c r="R187" t="s">
        <v>75</v>
      </c>
      <c r="S187" t="s">
        <v>45</v>
      </c>
      <c r="T187" t="s">
        <v>46</v>
      </c>
      <c r="U187" t="s">
        <v>47</v>
      </c>
      <c r="V187" t="s">
        <v>71</v>
      </c>
      <c r="W187" s="1">
        <v>40943</v>
      </c>
      <c r="X187" s="1">
        <v>42685</v>
      </c>
      <c r="Y187" t="s">
        <v>57</v>
      </c>
      <c r="Z187" t="s">
        <v>58</v>
      </c>
      <c r="AA187" t="s">
        <v>51</v>
      </c>
      <c r="AB187" t="s">
        <v>117</v>
      </c>
      <c r="AC187" t="s">
        <v>72</v>
      </c>
      <c r="AD187" t="s">
        <v>60</v>
      </c>
      <c r="AE187">
        <v>4.18</v>
      </c>
      <c r="AF187">
        <v>4</v>
      </c>
      <c r="AG187">
        <v>0</v>
      </c>
      <c r="AH187" s="1">
        <v>42492</v>
      </c>
      <c r="AI187">
        <v>17</v>
      </c>
      <c r="AJ187">
        <v>32</v>
      </c>
      <c r="AK187">
        <v>5</v>
      </c>
      <c r="AL187">
        <v>18</v>
      </c>
      <c r="AM187">
        <f>IF(Cleaned_Data[[#This Row],[DateofTermination]]="","",YEAR(Cleaned_Data[[#This Row],[DateofTermination]]))</f>
        <v>2016</v>
      </c>
      <c r="AN187">
        <v>1</v>
      </c>
    </row>
    <row r="188" spans="1:40" x14ac:dyDescent="0.35">
      <c r="A188" t="s">
        <v>348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41</v>
      </c>
      <c r="N188" t="s">
        <v>42</v>
      </c>
      <c r="O188">
        <v>2346</v>
      </c>
      <c r="P188" s="1">
        <v>31942</v>
      </c>
      <c r="Q188" t="s">
        <v>43</v>
      </c>
      <c r="R188" t="s">
        <v>75</v>
      </c>
      <c r="S188" t="s">
        <v>45</v>
      </c>
      <c r="T188" t="s">
        <v>46</v>
      </c>
      <c r="U188" t="s">
        <v>47</v>
      </c>
      <c r="V188" t="s">
        <v>48</v>
      </c>
      <c r="W188" s="1">
        <v>42093</v>
      </c>
      <c r="X188" s="1"/>
      <c r="Y188" t="s">
        <v>49</v>
      </c>
      <c r="Z188" t="s">
        <v>50</v>
      </c>
      <c r="AA188" t="s">
        <v>51</v>
      </c>
      <c r="AB188" t="s">
        <v>52</v>
      </c>
      <c r="AC188" t="s">
        <v>123</v>
      </c>
      <c r="AD188" t="s">
        <v>60</v>
      </c>
      <c r="AE188">
        <v>5</v>
      </c>
      <c r="AF188">
        <v>4</v>
      </c>
      <c r="AG188">
        <v>0</v>
      </c>
      <c r="AH188" s="1">
        <v>43486</v>
      </c>
      <c r="AI188">
        <v>10</v>
      </c>
      <c r="AJ188">
        <v>33</v>
      </c>
      <c r="AK188">
        <v>5</v>
      </c>
      <c r="AL188">
        <v>22</v>
      </c>
      <c r="AM188" t="str">
        <f>IF(Cleaned_Data[[#This Row],[DateofTermination]]="","",YEAR(Cleaned_Data[[#This Row],[DateofTermination]]))</f>
        <v/>
      </c>
      <c r="AN188">
        <v>1</v>
      </c>
    </row>
    <row r="189" spans="1:40" x14ac:dyDescent="0.35">
      <c r="A189" t="s">
        <v>349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135</v>
      </c>
      <c r="N189" t="s">
        <v>42</v>
      </c>
      <c r="O189">
        <v>2045</v>
      </c>
      <c r="P189" s="1">
        <v>25039</v>
      </c>
      <c r="Q189" t="s">
        <v>43</v>
      </c>
      <c r="R189" t="s">
        <v>44</v>
      </c>
      <c r="S189" t="s">
        <v>45</v>
      </c>
      <c r="T189" t="s">
        <v>46</v>
      </c>
      <c r="U189" t="s">
        <v>350</v>
      </c>
      <c r="V189" t="s">
        <v>351</v>
      </c>
      <c r="W189" s="1">
        <v>41137</v>
      </c>
      <c r="X189" s="1"/>
      <c r="Y189" t="s">
        <v>49</v>
      </c>
      <c r="Z189" t="s">
        <v>50</v>
      </c>
      <c r="AA189" t="s">
        <v>51</v>
      </c>
      <c r="AB189" t="s">
        <v>137</v>
      </c>
      <c r="AC189" t="s">
        <v>67</v>
      </c>
      <c r="AD189" t="s">
        <v>60</v>
      </c>
      <c r="AE189">
        <v>4.37</v>
      </c>
      <c r="AF189">
        <v>3</v>
      </c>
      <c r="AG189">
        <v>0</v>
      </c>
      <c r="AH189" s="1">
        <v>43479</v>
      </c>
      <c r="AI189">
        <v>2</v>
      </c>
      <c r="AJ189">
        <v>51</v>
      </c>
      <c r="AK189">
        <v>7</v>
      </c>
      <c r="AL189">
        <v>2</v>
      </c>
      <c r="AM189" t="str">
        <f>IF(Cleaned_Data[[#This Row],[DateofTermination]]="","",YEAR(Cleaned_Data[[#This Row],[DateofTermination]]))</f>
        <v/>
      </c>
      <c r="AN189">
        <v>1</v>
      </c>
    </row>
    <row r="190" spans="1:40" x14ac:dyDescent="0.35">
      <c r="A190" t="s">
        <v>352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81</v>
      </c>
      <c r="N190" t="s">
        <v>42</v>
      </c>
      <c r="O190">
        <v>2472</v>
      </c>
      <c r="P190" s="1">
        <v>27667</v>
      </c>
      <c r="Q190" t="s">
        <v>43</v>
      </c>
      <c r="R190" t="s">
        <v>44</v>
      </c>
      <c r="S190" t="s">
        <v>45</v>
      </c>
      <c r="T190" t="s">
        <v>46</v>
      </c>
      <c r="U190" t="s">
        <v>47</v>
      </c>
      <c r="V190" t="s">
        <v>48</v>
      </c>
      <c r="W190" s="1">
        <v>40770</v>
      </c>
      <c r="X190" s="1">
        <v>41738</v>
      </c>
      <c r="Y190" t="s">
        <v>86</v>
      </c>
      <c r="Z190" t="s">
        <v>58</v>
      </c>
      <c r="AA190" t="s">
        <v>51</v>
      </c>
      <c r="AB190" t="s">
        <v>109</v>
      </c>
      <c r="AC190" t="s">
        <v>53</v>
      </c>
      <c r="AD190" t="s">
        <v>197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39</v>
      </c>
      <c r="AK190">
        <v>3</v>
      </c>
      <c r="AL190">
        <v>12</v>
      </c>
      <c r="AM190">
        <f>IF(Cleaned_Data[[#This Row],[DateofTermination]]="","",YEAR(Cleaned_Data[[#This Row],[DateofTermination]]))</f>
        <v>2014</v>
      </c>
      <c r="AN190">
        <v>1</v>
      </c>
    </row>
    <row r="191" spans="1:40" x14ac:dyDescent="0.35">
      <c r="A191" t="s">
        <v>353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81</v>
      </c>
      <c r="N191" t="s">
        <v>42</v>
      </c>
      <c r="O191">
        <v>1450</v>
      </c>
      <c r="P191" s="1">
        <v>26749</v>
      </c>
      <c r="Q191" t="s">
        <v>43</v>
      </c>
      <c r="R191" t="s">
        <v>44</v>
      </c>
      <c r="S191" t="s">
        <v>63</v>
      </c>
      <c r="T191" t="s">
        <v>46</v>
      </c>
      <c r="U191" t="s">
        <v>47</v>
      </c>
      <c r="V191" t="s">
        <v>48</v>
      </c>
      <c r="W191" s="1">
        <v>40735</v>
      </c>
      <c r="X191" s="1"/>
      <c r="Y191" t="s">
        <v>49</v>
      </c>
      <c r="Z191" t="s">
        <v>50</v>
      </c>
      <c r="AA191" t="s">
        <v>51</v>
      </c>
      <c r="AB191" t="s">
        <v>114</v>
      </c>
      <c r="AC191" t="s">
        <v>53</v>
      </c>
      <c r="AD191" t="s">
        <v>60</v>
      </c>
      <c r="AE191">
        <v>3.7</v>
      </c>
      <c r="AF191">
        <v>3</v>
      </c>
      <c r="AG191">
        <v>0</v>
      </c>
      <c r="AH191" s="1">
        <v>43678</v>
      </c>
      <c r="AI191">
        <v>14</v>
      </c>
      <c r="AJ191">
        <v>47</v>
      </c>
      <c r="AK191">
        <v>8</v>
      </c>
      <c r="AL191">
        <v>14</v>
      </c>
      <c r="AM191" t="str">
        <f>IF(Cleaned_Data[[#This Row],[DateofTermination]]="","",YEAR(Cleaned_Data[[#This Row],[DateofTermination]]))</f>
        <v/>
      </c>
      <c r="AN191">
        <v>1</v>
      </c>
    </row>
    <row r="192" spans="1:40" x14ac:dyDescent="0.35">
      <c r="A192" t="s">
        <v>354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355</v>
      </c>
      <c r="N192" t="s">
        <v>42</v>
      </c>
      <c r="O192">
        <v>2134</v>
      </c>
      <c r="P192" s="1">
        <v>30188</v>
      </c>
      <c r="Q192" t="s">
        <v>43</v>
      </c>
      <c r="R192" t="s">
        <v>44</v>
      </c>
      <c r="S192" t="s">
        <v>63</v>
      </c>
      <c r="T192" t="s">
        <v>90</v>
      </c>
      <c r="U192" t="s">
        <v>76</v>
      </c>
      <c r="V192" t="s">
        <v>71</v>
      </c>
      <c r="W192" s="1">
        <v>40954</v>
      </c>
      <c r="X192" s="1"/>
      <c r="Y192" t="s">
        <v>49</v>
      </c>
      <c r="Z192" t="s">
        <v>50</v>
      </c>
      <c r="AA192" t="s">
        <v>65</v>
      </c>
      <c r="AB192" t="s">
        <v>153</v>
      </c>
      <c r="AC192" t="s">
        <v>72</v>
      </c>
      <c r="AD192" t="s">
        <v>124</v>
      </c>
      <c r="AE192">
        <v>2.39</v>
      </c>
      <c r="AF192">
        <v>3</v>
      </c>
      <c r="AG192">
        <v>6</v>
      </c>
      <c r="AH192" s="1">
        <v>43518</v>
      </c>
      <c r="AI192">
        <v>13</v>
      </c>
      <c r="AJ192">
        <v>37</v>
      </c>
      <c r="AK192">
        <v>8</v>
      </c>
      <c r="AL192">
        <v>5</v>
      </c>
      <c r="AM192" t="str">
        <f>IF(Cleaned_Data[[#This Row],[DateofTermination]]="","",YEAR(Cleaned_Data[[#This Row],[DateofTermination]]))</f>
        <v/>
      </c>
      <c r="AN192">
        <v>1</v>
      </c>
    </row>
    <row r="193" spans="1:40" x14ac:dyDescent="0.35">
      <c r="A193" t="s">
        <v>356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81</v>
      </c>
      <c r="N193" t="s">
        <v>42</v>
      </c>
      <c r="O193">
        <v>2126</v>
      </c>
      <c r="P193" s="1">
        <v>31120</v>
      </c>
      <c r="Q193" t="s">
        <v>43</v>
      </c>
      <c r="R193" t="s">
        <v>75</v>
      </c>
      <c r="S193" t="s">
        <v>45</v>
      </c>
      <c r="T193" t="s">
        <v>46</v>
      </c>
      <c r="U193" t="s">
        <v>47</v>
      </c>
      <c r="V193" t="s">
        <v>71</v>
      </c>
      <c r="W193" s="1">
        <v>41407</v>
      </c>
      <c r="X193" s="1"/>
      <c r="Y193" t="s">
        <v>49</v>
      </c>
      <c r="Z193" t="s">
        <v>50</v>
      </c>
      <c r="AA193" t="s">
        <v>51</v>
      </c>
      <c r="AB193" t="s">
        <v>83</v>
      </c>
      <c r="AC193" t="s">
        <v>67</v>
      </c>
      <c r="AD193" t="s">
        <v>54</v>
      </c>
      <c r="AE193">
        <v>4.7</v>
      </c>
      <c r="AF193">
        <v>3</v>
      </c>
      <c r="AG193">
        <v>0</v>
      </c>
      <c r="AH193" s="1">
        <v>43479</v>
      </c>
      <c r="AI193">
        <v>1</v>
      </c>
      <c r="AJ193">
        <v>35</v>
      </c>
      <c r="AK193">
        <v>7</v>
      </c>
      <c r="AL193">
        <v>20</v>
      </c>
      <c r="AM193" t="str">
        <f>IF(Cleaned_Data[[#This Row],[DateofTermination]]="","",YEAR(Cleaned_Data[[#This Row],[DateofTermination]]))</f>
        <v/>
      </c>
      <c r="AN193">
        <v>1</v>
      </c>
    </row>
    <row r="194" spans="1:40" x14ac:dyDescent="0.35">
      <c r="A194" t="s">
        <v>357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81</v>
      </c>
      <c r="N194" t="s">
        <v>42</v>
      </c>
      <c r="O194">
        <v>2127</v>
      </c>
      <c r="P194" s="1">
        <v>28577</v>
      </c>
      <c r="Q194" t="s">
        <v>43</v>
      </c>
      <c r="R194" t="s">
        <v>44</v>
      </c>
      <c r="S194" t="s">
        <v>45</v>
      </c>
      <c r="T194" t="s">
        <v>46</v>
      </c>
      <c r="U194" t="s">
        <v>47</v>
      </c>
      <c r="V194" t="s">
        <v>71</v>
      </c>
      <c r="W194" s="1">
        <v>41153</v>
      </c>
      <c r="X194" s="1"/>
      <c r="Y194" t="s">
        <v>49</v>
      </c>
      <c r="Z194" t="s">
        <v>50</v>
      </c>
      <c r="AA194" t="s">
        <v>51</v>
      </c>
      <c r="AB194" t="s">
        <v>117</v>
      </c>
      <c r="AC194" t="s">
        <v>72</v>
      </c>
      <c r="AD194" t="s">
        <v>60</v>
      </c>
      <c r="AE194">
        <v>4.0999999999999996</v>
      </c>
      <c r="AF194">
        <v>4</v>
      </c>
      <c r="AG194">
        <v>0</v>
      </c>
      <c r="AH194" s="1">
        <v>43496</v>
      </c>
      <c r="AI194">
        <v>12</v>
      </c>
      <c r="AJ194">
        <v>42</v>
      </c>
      <c r="AK194">
        <v>7</v>
      </c>
      <c r="AL194">
        <v>18</v>
      </c>
      <c r="AM194" t="str">
        <f>IF(Cleaned_Data[[#This Row],[DateofTermination]]="","",YEAR(Cleaned_Data[[#This Row],[DateofTermination]]))</f>
        <v/>
      </c>
      <c r="AN194">
        <v>1</v>
      </c>
    </row>
    <row r="195" spans="1:40" x14ac:dyDescent="0.35">
      <c r="A195" t="s">
        <v>358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231</v>
      </c>
      <c r="N195" t="s">
        <v>42</v>
      </c>
      <c r="O195">
        <v>2048</v>
      </c>
      <c r="P195" s="1">
        <v>25065</v>
      </c>
      <c r="Q195" t="s">
        <v>43</v>
      </c>
      <c r="R195" t="s">
        <v>75</v>
      </c>
      <c r="S195" t="s">
        <v>63</v>
      </c>
      <c r="T195" t="s">
        <v>46</v>
      </c>
      <c r="U195" t="s">
        <v>47</v>
      </c>
      <c r="V195" t="s">
        <v>48</v>
      </c>
      <c r="W195" s="1">
        <v>42051</v>
      </c>
      <c r="X195" s="1"/>
      <c r="Y195" t="s">
        <v>49</v>
      </c>
      <c r="Z195" t="s">
        <v>50</v>
      </c>
      <c r="AA195" t="s">
        <v>65</v>
      </c>
      <c r="AB195" t="s">
        <v>112</v>
      </c>
      <c r="AC195" t="s">
        <v>123</v>
      </c>
      <c r="AD195" t="s">
        <v>60</v>
      </c>
      <c r="AE195">
        <v>3.81</v>
      </c>
      <c r="AF195">
        <v>3</v>
      </c>
      <c r="AG195">
        <v>6</v>
      </c>
      <c r="AH195" s="1">
        <v>43771</v>
      </c>
      <c r="AI195">
        <v>6</v>
      </c>
      <c r="AJ195">
        <v>51</v>
      </c>
      <c r="AK195">
        <v>5</v>
      </c>
      <c r="AL195">
        <v>7</v>
      </c>
      <c r="AM195" t="str">
        <f>IF(Cleaned_Data[[#This Row],[DateofTermination]]="","",YEAR(Cleaned_Data[[#This Row],[DateofTermination]]))</f>
        <v/>
      </c>
      <c r="AN195">
        <v>1</v>
      </c>
    </row>
    <row r="196" spans="1:40" x14ac:dyDescent="0.35">
      <c r="A196" t="s">
        <v>359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41</v>
      </c>
      <c r="N196" t="s">
        <v>42</v>
      </c>
      <c r="O196">
        <v>2453</v>
      </c>
      <c r="P196" s="1">
        <v>32074</v>
      </c>
      <c r="Q196" t="s">
        <v>43</v>
      </c>
      <c r="R196" t="s">
        <v>75</v>
      </c>
      <c r="S196" t="s">
        <v>56</v>
      </c>
      <c r="T196" t="s">
        <v>46</v>
      </c>
      <c r="U196" t="s">
        <v>47</v>
      </c>
      <c r="V196" t="s">
        <v>48</v>
      </c>
      <c r="W196" s="1">
        <v>41278</v>
      </c>
      <c r="X196" s="1"/>
      <c r="Y196" t="s">
        <v>49</v>
      </c>
      <c r="Z196" t="s">
        <v>50</v>
      </c>
      <c r="AA196" t="s">
        <v>51</v>
      </c>
      <c r="AB196" t="s">
        <v>88</v>
      </c>
      <c r="AC196" t="s">
        <v>53</v>
      </c>
      <c r="AD196" t="s">
        <v>60</v>
      </c>
      <c r="AE196">
        <v>4.4000000000000004</v>
      </c>
      <c r="AF196">
        <v>4</v>
      </c>
      <c r="AG196">
        <v>0</v>
      </c>
      <c r="AH196" s="1">
        <v>43482</v>
      </c>
      <c r="AI196">
        <v>18</v>
      </c>
      <c r="AJ196">
        <v>32</v>
      </c>
      <c r="AK196">
        <v>7</v>
      </c>
      <c r="AL196">
        <v>16</v>
      </c>
      <c r="AM196" t="str">
        <f>IF(Cleaned_Data[[#This Row],[DateofTermination]]="","",YEAR(Cleaned_Data[[#This Row],[DateofTermination]]))</f>
        <v/>
      </c>
      <c r="AN196">
        <v>1</v>
      </c>
    </row>
    <row r="197" spans="1:40" x14ac:dyDescent="0.35">
      <c r="A197" t="s">
        <v>360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81</v>
      </c>
      <c r="N197" t="s">
        <v>42</v>
      </c>
      <c r="O197">
        <v>1460</v>
      </c>
      <c r="P197" s="1">
        <v>19503</v>
      </c>
      <c r="Q197" t="s">
        <v>85</v>
      </c>
      <c r="R197" t="s">
        <v>44</v>
      </c>
      <c r="S197" t="s">
        <v>143</v>
      </c>
      <c r="T197" t="s">
        <v>46</v>
      </c>
      <c r="U197" t="s">
        <v>47</v>
      </c>
      <c r="V197" t="s">
        <v>71</v>
      </c>
      <c r="W197" s="1">
        <v>41407</v>
      </c>
      <c r="X197" s="1"/>
      <c r="Y197" t="s">
        <v>49</v>
      </c>
      <c r="Z197" t="s">
        <v>50</v>
      </c>
      <c r="AA197" t="s">
        <v>51</v>
      </c>
      <c r="AB197" t="s">
        <v>52</v>
      </c>
      <c r="AC197" t="s">
        <v>53</v>
      </c>
      <c r="AD197" t="s">
        <v>60</v>
      </c>
      <c r="AE197">
        <v>4.29</v>
      </c>
      <c r="AF197">
        <v>5</v>
      </c>
      <c r="AG197">
        <v>0</v>
      </c>
      <c r="AH197" s="1">
        <v>43493</v>
      </c>
      <c r="AI197">
        <v>11</v>
      </c>
      <c r="AJ197">
        <v>67</v>
      </c>
      <c r="AK197">
        <v>7</v>
      </c>
      <c r="AL197">
        <v>22</v>
      </c>
      <c r="AM197" t="str">
        <f>IF(Cleaned_Data[[#This Row],[DateofTermination]]="","",YEAR(Cleaned_Data[[#This Row],[DateofTermination]]))</f>
        <v/>
      </c>
      <c r="AN197">
        <v>1</v>
      </c>
    </row>
    <row r="198" spans="1:40" x14ac:dyDescent="0.35">
      <c r="A198" t="s">
        <v>361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41</v>
      </c>
      <c r="N198" t="s">
        <v>42</v>
      </c>
      <c r="O198">
        <v>1550</v>
      </c>
      <c r="P198" s="1">
        <v>27653</v>
      </c>
      <c r="Q198" t="s">
        <v>43</v>
      </c>
      <c r="R198" t="s">
        <v>44</v>
      </c>
      <c r="S198" t="s">
        <v>45</v>
      </c>
      <c r="T198" t="s">
        <v>46</v>
      </c>
      <c r="U198" t="s">
        <v>47</v>
      </c>
      <c r="V198" t="s">
        <v>95</v>
      </c>
      <c r="W198" s="1">
        <v>41493</v>
      </c>
      <c r="X198" s="1"/>
      <c r="Y198" t="s">
        <v>49</v>
      </c>
      <c r="Z198" t="s">
        <v>50</v>
      </c>
      <c r="AA198" t="s">
        <v>51</v>
      </c>
      <c r="AB198" t="s">
        <v>83</v>
      </c>
      <c r="AC198" t="s">
        <v>53</v>
      </c>
      <c r="AD198" t="s">
        <v>60</v>
      </c>
      <c r="AE198">
        <v>4.0999999999999996</v>
      </c>
      <c r="AF198">
        <v>4</v>
      </c>
      <c r="AG198">
        <v>0</v>
      </c>
      <c r="AH198" s="1">
        <v>43487</v>
      </c>
      <c r="AI198">
        <v>13</v>
      </c>
      <c r="AJ198">
        <v>44</v>
      </c>
      <c r="AK198">
        <v>6</v>
      </c>
      <c r="AL198">
        <v>20</v>
      </c>
      <c r="AM198" t="str">
        <f>IF(Cleaned_Data[[#This Row],[DateofTermination]]="","",YEAR(Cleaned_Data[[#This Row],[DateofTermination]]))</f>
        <v/>
      </c>
      <c r="AN198">
        <v>1</v>
      </c>
    </row>
    <row r="199" spans="1:40" x14ac:dyDescent="0.35">
      <c r="A199" t="s">
        <v>362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322</v>
      </c>
      <c r="N199" t="s">
        <v>42</v>
      </c>
      <c r="O199">
        <v>2056</v>
      </c>
      <c r="P199" s="1">
        <v>24852</v>
      </c>
      <c r="Q199" t="s">
        <v>43</v>
      </c>
      <c r="R199" t="s">
        <v>44</v>
      </c>
      <c r="S199" t="s">
        <v>45</v>
      </c>
      <c r="T199" t="s">
        <v>46</v>
      </c>
      <c r="U199" t="s">
        <v>47</v>
      </c>
      <c r="V199" t="s">
        <v>95</v>
      </c>
      <c r="W199" s="1">
        <v>43010</v>
      </c>
      <c r="X199" s="1"/>
      <c r="Y199" t="s">
        <v>49</v>
      </c>
      <c r="Z199" t="s">
        <v>50</v>
      </c>
      <c r="AA199" t="s">
        <v>65</v>
      </c>
      <c r="AB199" t="s">
        <v>203</v>
      </c>
      <c r="AC199" t="s">
        <v>67</v>
      </c>
      <c r="AD199" t="s">
        <v>60</v>
      </c>
      <c r="AE199">
        <v>5</v>
      </c>
      <c r="AF199">
        <v>3</v>
      </c>
      <c r="AG199">
        <v>6</v>
      </c>
      <c r="AH199" s="1">
        <v>43521</v>
      </c>
      <c r="AI199">
        <v>17</v>
      </c>
      <c r="AJ199">
        <v>52</v>
      </c>
      <c r="AK199">
        <v>2</v>
      </c>
      <c r="AL199">
        <v>13</v>
      </c>
      <c r="AM199" t="str">
        <f>IF(Cleaned_Data[[#This Row],[DateofTermination]]="","",YEAR(Cleaned_Data[[#This Row],[DateofTermination]]))</f>
        <v/>
      </c>
      <c r="AN199">
        <v>1</v>
      </c>
    </row>
    <row r="200" spans="1:40" x14ac:dyDescent="0.35">
      <c r="A200" t="s">
        <v>363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41</v>
      </c>
      <c r="N200" t="s">
        <v>42</v>
      </c>
      <c r="O200">
        <v>2110</v>
      </c>
      <c r="P200" s="1">
        <v>30452</v>
      </c>
      <c r="Q200" t="s">
        <v>43</v>
      </c>
      <c r="R200" t="s">
        <v>44</v>
      </c>
      <c r="S200" t="s">
        <v>45</v>
      </c>
      <c r="T200" t="s">
        <v>46</v>
      </c>
      <c r="U200" t="s">
        <v>47</v>
      </c>
      <c r="V200" t="s">
        <v>71</v>
      </c>
      <c r="W200" s="1">
        <v>40812</v>
      </c>
      <c r="X200" s="1">
        <v>41733</v>
      </c>
      <c r="Y200" t="s">
        <v>92</v>
      </c>
      <c r="Z200" t="s">
        <v>58</v>
      </c>
      <c r="AA200" t="s">
        <v>51</v>
      </c>
      <c r="AB200" t="s">
        <v>93</v>
      </c>
      <c r="AC200" t="s">
        <v>72</v>
      </c>
      <c r="AD200" t="s">
        <v>60</v>
      </c>
      <c r="AE200">
        <v>4.3</v>
      </c>
      <c r="AF200">
        <v>3</v>
      </c>
      <c r="AG200">
        <v>0</v>
      </c>
      <c r="AH200" s="1">
        <v>41308</v>
      </c>
      <c r="AI200">
        <v>19</v>
      </c>
      <c r="AJ200">
        <v>31</v>
      </c>
      <c r="AK200">
        <v>3</v>
      </c>
      <c r="AL200">
        <v>39</v>
      </c>
      <c r="AM200">
        <f>IF(Cleaned_Data[[#This Row],[DateofTermination]]="","",YEAR(Cleaned_Data[[#This Row],[DateofTermination]]))</f>
        <v>2014</v>
      </c>
      <c r="AN200">
        <v>1</v>
      </c>
    </row>
    <row r="201" spans="1:40" x14ac:dyDescent="0.35">
      <c r="A201" t="s">
        <v>364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41</v>
      </c>
      <c r="N201" t="s">
        <v>42</v>
      </c>
      <c r="O201">
        <v>2421</v>
      </c>
      <c r="P201" s="1">
        <v>30481</v>
      </c>
      <c r="Q201" t="s">
        <v>43</v>
      </c>
      <c r="R201" t="s">
        <v>44</v>
      </c>
      <c r="S201" t="s">
        <v>63</v>
      </c>
      <c r="T201" t="s">
        <v>46</v>
      </c>
      <c r="U201" t="s">
        <v>47</v>
      </c>
      <c r="V201" t="s">
        <v>48</v>
      </c>
      <c r="W201" s="1">
        <v>41278</v>
      </c>
      <c r="X201" s="1">
        <v>42515</v>
      </c>
      <c r="Y201" t="s">
        <v>199</v>
      </c>
      <c r="Z201" t="s">
        <v>58</v>
      </c>
      <c r="AA201" t="s">
        <v>51</v>
      </c>
      <c r="AB201" t="s">
        <v>97</v>
      </c>
      <c r="AC201" t="s">
        <v>106</v>
      </c>
      <c r="AD201" t="s">
        <v>60</v>
      </c>
      <c r="AE201">
        <v>3.18</v>
      </c>
      <c r="AF201">
        <v>3</v>
      </c>
      <c r="AG201">
        <v>0</v>
      </c>
      <c r="AH201" s="1">
        <v>42524</v>
      </c>
      <c r="AI201">
        <v>10</v>
      </c>
      <c r="AJ201">
        <v>33</v>
      </c>
      <c r="AK201">
        <v>3</v>
      </c>
      <c r="AL201">
        <v>11</v>
      </c>
      <c r="AM201">
        <f>IF(Cleaned_Data[[#This Row],[DateofTermination]]="","",YEAR(Cleaned_Data[[#This Row],[DateofTermination]]))</f>
        <v>2016</v>
      </c>
      <c r="AN201">
        <v>1</v>
      </c>
    </row>
    <row r="202" spans="1:40" x14ac:dyDescent="0.35">
      <c r="A202" t="s">
        <v>365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41</v>
      </c>
      <c r="N202" t="s">
        <v>42</v>
      </c>
      <c r="O202">
        <v>2136</v>
      </c>
      <c r="P202" s="1">
        <v>31121</v>
      </c>
      <c r="Q202" t="s">
        <v>43</v>
      </c>
      <c r="R202" t="s">
        <v>44</v>
      </c>
      <c r="S202" t="s">
        <v>63</v>
      </c>
      <c r="T202" t="s">
        <v>46</v>
      </c>
      <c r="U202" t="s">
        <v>47</v>
      </c>
      <c r="V202" t="s">
        <v>48</v>
      </c>
      <c r="W202" s="1">
        <v>41978</v>
      </c>
      <c r="X202" s="1"/>
      <c r="Y202" t="s">
        <v>49</v>
      </c>
      <c r="Z202" t="s">
        <v>50</v>
      </c>
      <c r="AA202" t="s">
        <v>51</v>
      </c>
      <c r="AB202" t="s">
        <v>105</v>
      </c>
      <c r="AC202" t="s">
        <v>53</v>
      </c>
      <c r="AD202" t="s">
        <v>60</v>
      </c>
      <c r="AE202">
        <v>5</v>
      </c>
      <c r="AF202">
        <v>5</v>
      </c>
      <c r="AG202">
        <v>0</v>
      </c>
      <c r="AH202" s="1">
        <v>43514</v>
      </c>
      <c r="AI202">
        <v>11</v>
      </c>
      <c r="AJ202">
        <v>35</v>
      </c>
      <c r="AK202">
        <v>5</v>
      </c>
      <c r="AL202">
        <v>19</v>
      </c>
      <c r="AM202" t="str">
        <f>IF(Cleaned_Data[[#This Row],[DateofTermination]]="","",YEAR(Cleaned_Data[[#This Row],[DateofTermination]]))</f>
        <v/>
      </c>
      <c r="AN202">
        <v>1</v>
      </c>
    </row>
    <row r="203" spans="1:40" x14ac:dyDescent="0.35">
      <c r="A203" t="s">
        <v>366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41</v>
      </c>
      <c r="N203" t="s">
        <v>42</v>
      </c>
      <c r="O203">
        <v>1810</v>
      </c>
      <c r="P203" s="1">
        <v>25293</v>
      </c>
      <c r="Q203" t="s">
        <v>43</v>
      </c>
      <c r="R203" t="s">
        <v>75</v>
      </c>
      <c r="S203" t="s">
        <v>143</v>
      </c>
      <c r="T203" t="s">
        <v>46</v>
      </c>
      <c r="U203" t="s">
        <v>47</v>
      </c>
      <c r="V203" t="s">
        <v>71</v>
      </c>
      <c r="W203" s="1">
        <v>41278</v>
      </c>
      <c r="X203" s="1"/>
      <c r="Y203" t="s">
        <v>49</v>
      </c>
      <c r="Z203" t="s">
        <v>50</v>
      </c>
      <c r="AA203" t="s">
        <v>51</v>
      </c>
      <c r="AB203" t="s">
        <v>109</v>
      </c>
      <c r="AC203" t="s">
        <v>72</v>
      </c>
      <c r="AD203" t="s">
        <v>54</v>
      </c>
      <c r="AE203">
        <v>4</v>
      </c>
      <c r="AF203">
        <v>3</v>
      </c>
      <c r="AG203">
        <v>0</v>
      </c>
      <c r="AH203" s="1">
        <v>43509</v>
      </c>
      <c r="AI203">
        <v>12</v>
      </c>
      <c r="AJ203">
        <v>51</v>
      </c>
      <c r="AK203">
        <v>7</v>
      </c>
      <c r="AL203">
        <v>12</v>
      </c>
      <c r="AM203" t="str">
        <f>IF(Cleaned_Data[[#This Row],[DateofTermination]]="","",YEAR(Cleaned_Data[[#This Row],[DateofTermination]]))</f>
        <v/>
      </c>
      <c r="AN203">
        <v>1</v>
      </c>
    </row>
    <row r="204" spans="1:40" x14ac:dyDescent="0.35">
      <c r="A204" t="s">
        <v>367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145</v>
      </c>
      <c r="N204" t="s">
        <v>368</v>
      </c>
      <c r="O204">
        <v>30428</v>
      </c>
      <c r="P204" s="1">
        <v>33381</v>
      </c>
      <c r="Q204" t="s">
        <v>43</v>
      </c>
      <c r="R204" t="s">
        <v>75</v>
      </c>
      <c r="S204" t="s">
        <v>45</v>
      </c>
      <c r="T204" t="s">
        <v>46</v>
      </c>
      <c r="U204" t="s">
        <v>47</v>
      </c>
      <c r="V204" t="s">
        <v>116</v>
      </c>
      <c r="W204" s="1">
        <v>41493</v>
      </c>
      <c r="X204" s="1"/>
      <c r="Y204" t="s">
        <v>49</v>
      </c>
      <c r="Z204" t="s">
        <v>50</v>
      </c>
      <c r="AA204" t="s">
        <v>147</v>
      </c>
      <c r="AB204" t="s">
        <v>166</v>
      </c>
      <c r="AC204" t="s">
        <v>67</v>
      </c>
      <c r="AD204" t="s">
        <v>60</v>
      </c>
      <c r="AE204">
        <v>5</v>
      </c>
      <c r="AF204">
        <v>5</v>
      </c>
      <c r="AG204">
        <v>0</v>
      </c>
      <c r="AH204" s="1">
        <v>43490</v>
      </c>
      <c r="AI204">
        <v>2</v>
      </c>
      <c r="AJ204">
        <v>29</v>
      </c>
      <c r="AK204">
        <v>6</v>
      </c>
      <c r="AL204">
        <v>21</v>
      </c>
      <c r="AM204" t="str">
        <f>IF(Cleaned_Data[[#This Row],[DateofTermination]]="","",YEAR(Cleaned_Data[[#This Row],[DateofTermination]]))</f>
        <v/>
      </c>
      <c r="AN204">
        <v>1</v>
      </c>
    </row>
    <row r="205" spans="1:40" x14ac:dyDescent="0.35">
      <c r="A205" t="s">
        <v>369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41</v>
      </c>
      <c r="N205" t="s">
        <v>42</v>
      </c>
      <c r="O205">
        <v>2132</v>
      </c>
      <c r="P205" s="1">
        <v>31808</v>
      </c>
      <c r="Q205" t="s">
        <v>43</v>
      </c>
      <c r="R205" t="s">
        <v>75</v>
      </c>
      <c r="S205" t="s">
        <v>45</v>
      </c>
      <c r="T205" t="s">
        <v>46</v>
      </c>
      <c r="U205" t="s">
        <v>47</v>
      </c>
      <c r="V205" t="s">
        <v>48</v>
      </c>
      <c r="W205" s="1">
        <v>41493</v>
      </c>
      <c r="X205" s="1"/>
      <c r="Y205" t="s">
        <v>49</v>
      </c>
      <c r="Z205" t="s">
        <v>50</v>
      </c>
      <c r="AA205" t="s">
        <v>51</v>
      </c>
      <c r="AB205" t="s">
        <v>114</v>
      </c>
      <c r="AC205" t="s">
        <v>53</v>
      </c>
      <c r="AD205" t="s">
        <v>60</v>
      </c>
      <c r="AE205">
        <v>3.6</v>
      </c>
      <c r="AF205">
        <v>5</v>
      </c>
      <c r="AG205">
        <v>0</v>
      </c>
      <c r="AH205" s="1">
        <v>43497</v>
      </c>
      <c r="AI205">
        <v>4</v>
      </c>
      <c r="AJ205">
        <v>33</v>
      </c>
      <c r="AK205">
        <v>6</v>
      </c>
      <c r="AL205">
        <v>14</v>
      </c>
      <c r="AM205" t="str">
        <f>IF(Cleaned_Data[[#This Row],[DateofTermination]]="","",YEAR(Cleaned_Data[[#This Row],[DateofTermination]]))</f>
        <v/>
      </c>
      <c r="AN205">
        <v>1</v>
      </c>
    </row>
    <row r="206" spans="1:40" x14ac:dyDescent="0.35">
      <c r="A206" t="s">
        <v>370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81</v>
      </c>
      <c r="N206" t="s">
        <v>42</v>
      </c>
      <c r="O206">
        <v>1040</v>
      </c>
      <c r="P206" s="1">
        <v>20407</v>
      </c>
      <c r="Q206" t="s">
        <v>85</v>
      </c>
      <c r="R206" t="s">
        <v>75</v>
      </c>
      <c r="S206" t="s">
        <v>45</v>
      </c>
      <c r="T206" t="s">
        <v>46</v>
      </c>
      <c r="U206" t="s">
        <v>47</v>
      </c>
      <c r="V206" t="s">
        <v>48</v>
      </c>
      <c r="W206" s="1">
        <v>41923</v>
      </c>
      <c r="X206" s="1"/>
      <c r="Y206" t="s">
        <v>49</v>
      </c>
      <c r="Z206" t="s">
        <v>50</v>
      </c>
      <c r="AA206" t="s">
        <v>51</v>
      </c>
      <c r="AB206" t="s">
        <v>88</v>
      </c>
      <c r="AC206" t="s">
        <v>67</v>
      </c>
      <c r="AD206" t="s">
        <v>60</v>
      </c>
      <c r="AE206">
        <v>4.53</v>
      </c>
      <c r="AF206">
        <v>5</v>
      </c>
      <c r="AG206">
        <v>0</v>
      </c>
      <c r="AH206" s="1">
        <v>43481</v>
      </c>
      <c r="AI206">
        <v>5</v>
      </c>
      <c r="AJ206">
        <v>64</v>
      </c>
      <c r="AK206">
        <v>5</v>
      </c>
      <c r="AL206">
        <v>16</v>
      </c>
      <c r="AM206" t="str">
        <f>IF(Cleaned_Data[[#This Row],[DateofTermination]]="","",YEAR(Cleaned_Data[[#This Row],[DateofTermination]]))</f>
        <v/>
      </c>
      <c r="AN206">
        <v>1</v>
      </c>
    </row>
    <row r="207" spans="1:40" x14ac:dyDescent="0.35">
      <c r="A207" t="s">
        <v>371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41</v>
      </c>
      <c r="N207" t="s">
        <v>42</v>
      </c>
      <c r="O207">
        <v>2152</v>
      </c>
      <c r="P207" s="1">
        <v>31921</v>
      </c>
      <c r="Q207" t="s">
        <v>43</v>
      </c>
      <c r="R207" t="s">
        <v>75</v>
      </c>
      <c r="S207" t="s">
        <v>45</v>
      </c>
      <c r="T207" t="s">
        <v>46</v>
      </c>
      <c r="U207" t="s">
        <v>47</v>
      </c>
      <c r="V207" t="s">
        <v>116</v>
      </c>
      <c r="W207" s="1">
        <v>41729</v>
      </c>
      <c r="X207" s="1">
        <v>43105</v>
      </c>
      <c r="Y207" t="s">
        <v>77</v>
      </c>
      <c r="Z207" t="s">
        <v>78</v>
      </c>
      <c r="AA207" t="s">
        <v>51</v>
      </c>
      <c r="AB207" t="s">
        <v>83</v>
      </c>
      <c r="AC207" t="s">
        <v>53</v>
      </c>
      <c r="AD207" t="s">
        <v>197</v>
      </c>
      <c r="AE207">
        <v>2.33</v>
      </c>
      <c r="AF207">
        <v>2</v>
      </c>
      <c r="AG207">
        <v>0</v>
      </c>
      <c r="AH207" s="1">
        <v>43346</v>
      </c>
      <c r="AI207">
        <v>3</v>
      </c>
      <c r="AJ207">
        <v>31</v>
      </c>
      <c r="AK207">
        <v>4</v>
      </c>
      <c r="AL207">
        <v>20</v>
      </c>
      <c r="AM207">
        <f>IF(Cleaned_Data[[#This Row],[DateofTermination]]="","",YEAR(Cleaned_Data[[#This Row],[DateofTermination]]))</f>
        <v>2018</v>
      </c>
      <c r="AN207">
        <v>1</v>
      </c>
    </row>
    <row r="208" spans="1:40" x14ac:dyDescent="0.35">
      <c r="A208" t="s">
        <v>372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81</v>
      </c>
      <c r="N208" t="s">
        <v>42</v>
      </c>
      <c r="O208">
        <v>2492</v>
      </c>
      <c r="P208" s="1">
        <v>30527</v>
      </c>
      <c r="Q208" t="s">
        <v>43</v>
      </c>
      <c r="R208" t="s">
        <v>75</v>
      </c>
      <c r="S208" t="s">
        <v>63</v>
      </c>
      <c r="T208" t="s">
        <v>46</v>
      </c>
      <c r="U208" t="s">
        <v>47</v>
      </c>
      <c r="V208" t="s">
        <v>95</v>
      </c>
      <c r="W208" s="1">
        <v>40677</v>
      </c>
      <c r="X208" s="1">
        <v>41505</v>
      </c>
      <c r="Y208" t="s">
        <v>86</v>
      </c>
      <c r="Z208" t="s">
        <v>58</v>
      </c>
      <c r="AA208" t="s">
        <v>51</v>
      </c>
      <c r="AB208" t="s">
        <v>93</v>
      </c>
      <c r="AC208" t="s">
        <v>53</v>
      </c>
      <c r="AD208" t="s">
        <v>60</v>
      </c>
      <c r="AE208">
        <v>5</v>
      </c>
      <c r="AF208">
        <v>3</v>
      </c>
      <c r="AG208">
        <v>0</v>
      </c>
      <c r="AH208" s="1">
        <v>41312</v>
      </c>
      <c r="AI208">
        <v>17</v>
      </c>
      <c r="AJ208">
        <v>30</v>
      </c>
      <c r="AK208">
        <v>2</v>
      </c>
      <c r="AL208">
        <v>39</v>
      </c>
      <c r="AM208">
        <f>IF(Cleaned_Data[[#This Row],[DateofTermination]]="","",YEAR(Cleaned_Data[[#This Row],[DateofTermination]]))</f>
        <v>2013</v>
      </c>
      <c r="AN208">
        <v>1</v>
      </c>
    </row>
    <row r="209" spans="1:40" x14ac:dyDescent="0.35">
      <c r="A209" t="s">
        <v>373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145</v>
      </c>
      <c r="N209" t="s">
        <v>374</v>
      </c>
      <c r="O209">
        <v>33174</v>
      </c>
      <c r="P209" s="1">
        <v>31157</v>
      </c>
      <c r="Q209" t="s">
        <v>43</v>
      </c>
      <c r="R209" t="s">
        <v>75</v>
      </c>
      <c r="S209" t="s">
        <v>45</v>
      </c>
      <c r="T209" t="s">
        <v>46</v>
      </c>
      <c r="U209" t="s">
        <v>76</v>
      </c>
      <c r="V209" t="s">
        <v>48</v>
      </c>
      <c r="W209" s="1">
        <v>41547</v>
      </c>
      <c r="X209" s="1"/>
      <c r="Y209" t="s">
        <v>49</v>
      </c>
      <c r="Z209" t="s">
        <v>50</v>
      </c>
      <c r="AA209" t="s">
        <v>147</v>
      </c>
      <c r="AB209" t="s">
        <v>166</v>
      </c>
      <c r="AC209" t="s">
        <v>67</v>
      </c>
      <c r="AD209" t="s">
        <v>60</v>
      </c>
      <c r="AE209">
        <v>4.28</v>
      </c>
      <c r="AF209">
        <v>3</v>
      </c>
      <c r="AG209">
        <v>0</v>
      </c>
      <c r="AH209" s="1">
        <v>43490</v>
      </c>
      <c r="AI209">
        <v>1</v>
      </c>
      <c r="AJ209">
        <v>35</v>
      </c>
      <c r="AK209">
        <v>6</v>
      </c>
      <c r="AL209">
        <v>21</v>
      </c>
      <c r="AM209" t="str">
        <f>IF(Cleaned_Data[[#This Row],[DateofTermination]]="","",YEAR(Cleaned_Data[[#This Row],[DateofTermination]]))</f>
        <v/>
      </c>
      <c r="AN209">
        <v>1</v>
      </c>
    </row>
    <row r="210" spans="1:40" x14ac:dyDescent="0.35">
      <c r="A210" t="s">
        <v>375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41</v>
      </c>
      <c r="N210" t="s">
        <v>42</v>
      </c>
      <c r="O210">
        <v>2478</v>
      </c>
      <c r="P210" s="1">
        <v>29097</v>
      </c>
      <c r="Q210" t="s">
        <v>43</v>
      </c>
      <c r="R210" t="s">
        <v>44</v>
      </c>
      <c r="S210" t="s">
        <v>63</v>
      </c>
      <c r="T210" t="s">
        <v>46</v>
      </c>
      <c r="U210" t="s">
        <v>47</v>
      </c>
      <c r="V210" t="s">
        <v>48</v>
      </c>
      <c r="W210" s="1">
        <v>41547</v>
      </c>
      <c r="X210" s="1"/>
      <c r="Y210" t="s">
        <v>49</v>
      </c>
      <c r="Z210" t="s">
        <v>50</v>
      </c>
      <c r="AA210" t="s">
        <v>51</v>
      </c>
      <c r="AB210" t="s">
        <v>117</v>
      </c>
      <c r="AC210" t="s">
        <v>53</v>
      </c>
      <c r="AD210" t="s">
        <v>54</v>
      </c>
      <c r="AE210">
        <v>5</v>
      </c>
      <c r="AF210">
        <v>3</v>
      </c>
      <c r="AG210">
        <v>0</v>
      </c>
      <c r="AH210" s="1">
        <v>43648</v>
      </c>
      <c r="AI210">
        <v>13</v>
      </c>
      <c r="AJ210">
        <v>40</v>
      </c>
      <c r="AK210">
        <v>6</v>
      </c>
      <c r="AL210">
        <v>18</v>
      </c>
      <c r="AM210" t="str">
        <f>IF(Cleaned_Data[[#This Row],[DateofTermination]]="","",YEAR(Cleaned_Data[[#This Row],[DateofTermination]]))</f>
        <v/>
      </c>
      <c r="AN210">
        <v>1</v>
      </c>
    </row>
    <row r="211" spans="1:40" x14ac:dyDescent="0.35">
      <c r="A211" t="s">
        <v>376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41</v>
      </c>
      <c r="N211" t="s">
        <v>42</v>
      </c>
      <c r="O211">
        <v>1760</v>
      </c>
      <c r="P211" s="1">
        <v>28910</v>
      </c>
      <c r="Q211" t="s">
        <v>43</v>
      </c>
      <c r="R211" t="s">
        <v>44</v>
      </c>
      <c r="S211" t="s">
        <v>45</v>
      </c>
      <c r="T211" t="s">
        <v>46</v>
      </c>
      <c r="U211" t="s">
        <v>47</v>
      </c>
      <c r="V211" t="s">
        <v>71</v>
      </c>
      <c r="W211" s="1">
        <v>41687</v>
      </c>
      <c r="X211" s="1"/>
      <c r="Y211" t="s">
        <v>49</v>
      </c>
      <c r="Z211" t="s">
        <v>50</v>
      </c>
      <c r="AA211" t="s">
        <v>51</v>
      </c>
      <c r="AB211" t="s">
        <v>52</v>
      </c>
      <c r="AC211" t="s">
        <v>53</v>
      </c>
      <c r="AD211" t="s">
        <v>124</v>
      </c>
      <c r="AE211">
        <v>4.25</v>
      </c>
      <c r="AF211">
        <v>3</v>
      </c>
      <c r="AG211">
        <v>0</v>
      </c>
      <c r="AH211" s="1">
        <v>43557</v>
      </c>
      <c r="AI211">
        <v>6</v>
      </c>
      <c r="AJ211">
        <v>41</v>
      </c>
      <c r="AK211">
        <v>6</v>
      </c>
      <c r="AL211">
        <v>22</v>
      </c>
      <c r="AM211" t="str">
        <f>IF(Cleaned_Data[[#This Row],[DateofTermination]]="","",YEAR(Cleaned_Data[[#This Row],[DateofTermination]]))</f>
        <v/>
      </c>
      <c r="AN211">
        <v>1</v>
      </c>
    </row>
    <row r="212" spans="1:40" x14ac:dyDescent="0.35">
      <c r="A212" t="s">
        <v>377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145</v>
      </c>
      <c r="N212" t="s">
        <v>378</v>
      </c>
      <c r="O212">
        <v>27229</v>
      </c>
      <c r="P212" s="1">
        <v>28719</v>
      </c>
      <c r="Q212" t="s">
        <v>43</v>
      </c>
      <c r="R212" t="s">
        <v>44</v>
      </c>
      <c r="S212" t="s">
        <v>45</v>
      </c>
      <c r="T212" t="s">
        <v>46</v>
      </c>
      <c r="U212" t="s">
        <v>47</v>
      </c>
      <c r="V212" t="s">
        <v>48</v>
      </c>
      <c r="W212" s="1">
        <v>42125</v>
      </c>
      <c r="X212" s="1"/>
      <c r="Y212" t="s">
        <v>49</v>
      </c>
      <c r="Z212" t="s">
        <v>50</v>
      </c>
      <c r="AA212" t="s">
        <v>147</v>
      </c>
      <c r="AB212" t="s">
        <v>148</v>
      </c>
      <c r="AC212" t="s">
        <v>207</v>
      </c>
      <c r="AD212" t="s">
        <v>60</v>
      </c>
      <c r="AE212">
        <v>5</v>
      </c>
      <c r="AF212">
        <v>5</v>
      </c>
      <c r="AG212">
        <v>0</v>
      </c>
      <c r="AH212" s="1">
        <v>43479</v>
      </c>
      <c r="AI212">
        <v>18</v>
      </c>
      <c r="AJ212">
        <v>41</v>
      </c>
      <c r="AK212">
        <v>5</v>
      </c>
      <c r="AL212">
        <v>17</v>
      </c>
      <c r="AM212" t="str">
        <f>IF(Cleaned_Data[[#This Row],[DateofTermination]]="","",YEAR(Cleaned_Data[[#This Row],[DateofTermination]]))</f>
        <v/>
      </c>
      <c r="AN212">
        <v>1</v>
      </c>
    </row>
    <row r="213" spans="1:40" x14ac:dyDescent="0.35">
      <c r="A213" t="s">
        <v>379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41</v>
      </c>
      <c r="N213" t="s">
        <v>42</v>
      </c>
      <c r="O213">
        <v>2351</v>
      </c>
      <c r="P213" s="1">
        <v>28860</v>
      </c>
      <c r="Q213" t="s">
        <v>43</v>
      </c>
      <c r="R213" t="s">
        <v>75</v>
      </c>
      <c r="S213" t="s">
        <v>63</v>
      </c>
      <c r="T213" t="s">
        <v>46</v>
      </c>
      <c r="U213" t="s">
        <v>47</v>
      </c>
      <c r="V213" t="s">
        <v>48</v>
      </c>
      <c r="W213" s="1">
        <v>40726</v>
      </c>
      <c r="X213" s="1">
        <v>41974</v>
      </c>
      <c r="Y213" t="s">
        <v>57</v>
      </c>
      <c r="Z213" t="s">
        <v>58</v>
      </c>
      <c r="AA213" t="s">
        <v>51</v>
      </c>
      <c r="AB213" t="s">
        <v>88</v>
      </c>
      <c r="AC213" t="s">
        <v>79</v>
      </c>
      <c r="AD213" t="s">
        <v>60</v>
      </c>
      <c r="AE213">
        <v>3.89</v>
      </c>
      <c r="AF213">
        <v>4</v>
      </c>
      <c r="AG213">
        <v>0</v>
      </c>
      <c r="AH213" s="1">
        <v>41367</v>
      </c>
      <c r="AI213">
        <v>7</v>
      </c>
      <c r="AJ213">
        <v>36</v>
      </c>
      <c r="AK213">
        <v>3</v>
      </c>
      <c r="AL213">
        <v>16</v>
      </c>
      <c r="AM213">
        <f>IF(Cleaned_Data[[#This Row],[DateofTermination]]="","",YEAR(Cleaned_Data[[#This Row],[DateofTermination]]))</f>
        <v>2014</v>
      </c>
      <c r="AN213">
        <v>1</v>
      </c>
    </row>
    <row r="214" spans="1:40" x14ac:dyDescent="0.35">
      <c r="A214" t="s">
        <v>380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100</v>
      </c>
      <c r="N214" t="s">
        <v>42</v>
      </c>
      <c r="O214">
        <v>1844</v>
      </c>
      <c r="P214" s="1">
        <v>28906</v>
      </c>
      <c r="Q214" t="s">
        <v>43</v>
      </c>
      <c r="R214" t="s">
        <v>44</v>
      </c>
      <c r="S214" t="s">
        <v>45</v>
      </c>
      <c r="T214" t="s">
        <v>46</v>
      </c>
      <c r="U214" t="s">
        <v>47</v>
      </c>
      <c r="V214" t="s">
        <v>71</v>
      </c>
      <c r="W214" s="1">
        <v>40735</v>
      </c>
      <c r="X214" s="1">
        <v>42194</v>
      </c>
      <c r="Y214" t="s">
        <v>57</v>
      </c>
      <c r="Z214" t="s">
        <v>58</v>
      </c>
      <c r="AA214" t="s">
        <v>101</v>
      </c>
      <c r="AB214" t="s">
        <v>102</v>
      </c>
      <c r="AC214" t="s">
        <v>72</v>
      </c>
      <c r="AD214" t="s">
        <v>54</v>
      </c>
      <c r="AE214">
        <v>5</v>
      </c>
      <c r="AF214">
        <v>5</v>
      </c>
      <c r="AG214">
        <v>3</v>
      </c>
      <c r="AH214" s="1">
        <v>42232</v>
      </c>
      <c r="AI214">
        <v>13</v>
      </c>
      <c r="AJ214">
        <v>36</v>
      </c>
      <c r="AK214">
        <v>4</v>
      </c>
      <c r="AL214">
        <v>10</v>
      </c>
      <c r="AM214">
        <f>IF(Cleaned_Data[[#This Row],[DateofTermination]]="","",YEAR(Cleaned_Data[[#This Row],[DateofTermination]]))</f>
        <v>2015</v>
      </c>
      <c r="AN214">
        <v>1</v>
      </c>
    </row>
    <row r="215" spans="1:40" x14ac:dyDescent="0.35">
      <c r="A215" t="s">
        <v>381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69</v>
      </c>
      <c r="N215" t="s">
        <v>42</v>
      </c>
      <c r="O215">
        <v>2747</v>
      </c>
      <c r="P215" s="1">
        <v>32219</v>
      </c>
      <c r="Q215" t="s">
        <v>43</v>
      </c>
      <c r="R215" t="s">
        <v>44</v>
      </c>
      <c r="S215" t="s">
        <v>63</v>
      </c>
      <c r="T215" t="s">
        <v>46</v>
      </c>
      <c r="U215" t="s">
        <v>47</v>
      </c>
      <c r="V215" t="s">
        <v>48</v>
      </c>
      <c r="W215" s="1">
        <v>41651</v>
      </c>
      <c r="X215" s="1">
        <v>42374</v>
      </c>
      <c r="Y215" t="s">
        <v>77</v>
      </c>
      <c r="Z215" t="s">
        <v>58</v>
      </c>
      <c r="AA215" t="s">
        <v>65</v>
      </c>
      <c r="AB215" t="s">
        <v>66</v>
      </c>
      <c r="AC215" t="s">
        <v>106</v>
      </c>
      <c r="AD215" t="s">
        <v>60</v>
      </c>
      <c r="AE215">
        <v>4.7</v>
      </c>
      <c r="AF215">
        <v>4</v>
      </c>
      <c r="AG215">
        <v>5</v>
      </c>
      <c r="AH215" s="1">
        <v>43481</v>
      </c>
      <c r="AI215">
        <v>19</v>
      </c>
      <c r="AJ215">
        <v>28</v>
      </c>
      <c r="AK215">
        <v>2</v>
      </c>
      <c r="AL215">
        <v>4</v>
      </c>
      <c r="AM215">
        <f>IF(Cleaned_Data[[#This Row],[DateofTermination]]="","",YEAR(Cleaned_Data[[#This Row],[DateofTermination]]))</f>
        <v>2016</v>
      </c>
      <c r="AN215">
        <v>1</v>
      </c>
    </row>
    <row r="216" spans="1:40" x14ac:dyDescent="0.35">
      <c r="A216" t="s">
        <v>382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41</v>
      </c>
      <c r="N216" t="s">
        <v>42</v>
      </c>
      <c r="O216">
        <v>2458</v>
      </c>
      <c r="P216" s="1">
        <v>32707</v>
      </c>
      <c r="Q216" t="s">
        <v>43</v>
      </c>
      <c r="R216" t="s">
        <v>44</v>
      </c>
      <c r="S216" t="s">
        <v>45</v>
      </c>
      <c r="T216" t="s">
        <v>46</v>
      </c>
      <c r="U216" t="s">
        <v>47</v>
      </c>
      <c r="V216" t="s">
        <v>71</v>
      </c>
      <c r="W216" s="1">
        <v>40817</v>
      </c>
      <c r="X216" s="1">
        <v>43097</v>
      </c>
      <c r="Y216" t="s">
        <v>64</v>
      </c>
      <c r="Z216" t="s">
        <v>58</v>
      </c>
      <c r="AA216" t="s">
        <v>51</v>
      </c>
      <c r="AB216" t="s">
        <v>93</v>
      </c>
      <c r="AC216" t="s">
        <v>79</v>
      </c>
      <c r="AD216" t="s">
        <v>124</v>
      </c>
      <c r="AE216">
        <v>3.54</v>
      </c>
      <c r="AF216">
        <v>5</v>
      </c>
      <c r="AG216">
        <v>0</v>
      </c>
      <c r="AH216" s="1">
        <v>42890</v>
      </c>
      <c r="AI216">
        <v>15</v>
      </c>
      <c r="AJ216">
        <v>28</v>
      </c>
      <c r="AK216">
        <v>6</v>
      </c>
      <c r="AL216">
        <v>39</v>
      </c>
      <c r="AM216">
        <f>IF(Cleaned_Data[[#This Row],[DateofTermination]]="","",YEAR(Cleaned_Data[[#This Row],[DateofTermination]]))</f>
        <v>2017</v>
      </c>
      <c r="AN216">
        <v>1</v>
      </c>
    </row>
    <row r="217" spans="1:40" x14ac:dyDescent="0.35">
      <c r="A217" t="s">
        <v>383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81</v>
      </c>
      <c r="N217" t="s">
        <v>42</v>
      </c>
      <c r="O217">
        <v>2472</v>
      </c>
      <c r="P217" s="1">
        <v>31613</v>
      </c>
      <c r="Q217" t="s">
        <v>43</v>
      </c>
      <c r="R217" t="s">
        <v>75</v>
      </c>
      <c r="S217" t="s">
        <v>63</v>
      </c>
      <c r="T217" t="s">
        <v>46</v>
      </c>
      <c r="U217" t="s">
        <v>47</v>
      </c>
      <c r="V217" t="s">
        <v>95</v>
      </c>
      <c r="W217" s="1">
        <v>40670</v>
      </c>
      <c r="X217" s="1">
        <v>42262</v>
      </c>
      <c r="Y217" t="s">
        <v>86</v>
      </c>
      <c r="Z217" t="s">
        <v>58</v>
      </c>
      <c r="AA217" t="s">
        <v>51</v>
      </c>
      <c r="AB217" t="s">
        <v>97</v>
      </c>
      <c r="AC217" t="s">
        <v>123</v>
      </c>
      <c r="AD217" t="s">
        <v>124</v>
      </c>
      <c r="AE217">
        <v>2.4</v>
      </c>
      <c r="AF217">
        <v>5</v>
      </c>
      <c r="AG217">
        <v>0</v>
      </c>
      <c r="AH217" s="1">
        <v>42157</v>
      </c>
      <c r="AI217">
        <v>2</v>
      </c>
      <c r="AJ217">
        <v>29</v>
      </c>
      <c r="AK217">
        <v>4</v>
      </c>
      <c r="AL217">
        <v>11</v>
      </c>
      <c r="AM217">
        <f>IF(Cleaned_Data[[#This Row],[DateofTermination]]="","",YEAR(Cleaned_Data[[#This Row],[DateofTermination]]))</f>
        <v>2015</v>
      </c>
      <c r="AN217">
        <v>1</v>
      </c>
    </row>
    <row r="218" spans="1:40" x14ac:dyDescent="0.35">
      <c r="A218" t="s">
        <v>384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41</v>
      </c>
      <c r="N218" t="s">
        <v>42</v>
      </c>
      <c r="O218">
        <v>2176</v>
      </c>
      <c r="P218" s="1">
        <v>31641</v>
      </c>
      <c r="Q218" t="s">
        <v>43</v>
      </c>
      <c r="R218" t="s">
        <v>75</v>
      </c>
      <c r="S218" t="s">
        <v>45</v>
      </c>
      <c r="T218" t="s">
        <v>46</v>
      </c>
      <c r="U218" t="s">
        <v>47</v>
      </c>
      <c r="V218" t="s">
        <v>48</v>
      </c>
      <c r="W218" s="1">
        <v>40679</v>
      </c>
      <c r="X218" s="1">
        <v>42302</v>
      </c>
      <c r="Y218" t="s">
        <v>385</v>
      </c>
      <c r="Z218" t="s">
        <v>58</v>
      </c>
      <c r="AA218" t="s">
        <v>51</v>
      </c>
      <c r="AB218" t="s">
        <v>97</v>
      </c>
      <c r="AC218" t="s">
        <v>53</v>
      </c>
      <c r="AD218" t="s">
        <v>60</v>
      </c>
      <c r="AE218">
        <v>3.45</v>
      </c>
      <c r="AF218">
        <v>4</v>
      </c>
      <c r="AG218">
        <v>0</v>
      </c>
      <c r="AH218" s="1">
        <v>41772</v>
      </c>
      <c r="AI218">
        <v>5</v>
      </c>
      <c r="AJ218">
        <v>29</v>
      </c>
      <c r="AK218">
        <v>4</v>
      </c>
      <c r="AL218">
        <v>11</v>
      </c>
      <c r="AM218">
        <f>IF(Cleaned_Data[[#This Row],[DateofTermination]]="","",YEAR(Cleaned_Data[[#This Row],[DateofTermination]]))</f>
        <v>2015</v>
      </c>
      <c r="AN218">
        <v>1</v>
      </c>
    </row>
    <row r="219" spans="1:40" x14ac:dyDescent="0.35">
      <c r="A219" t="s">
        <v>386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81</v>
      </c>
      <c r="N219" t="s">
        <v>42</v>
      </c>
      <c r="O219">
        <v>1886</v>
      </c>
      <c r="P219" s="1">
        <v>30941</v>
      </c>
      <c r="Q219" t="s">
        <v>43</v>
      </c>
      <c r="R219" t="s">
        <v>75</v>
      </c>
      <c r="S219" t="s">
        <v>63</v>
      </c>
      <c r="T219" t="s">
        <v>46</v>
      </c>
      <c r="U219" t="s">
        <v>47</v>
      </c>
      <c r="V219" t="s">
        <v>48</v>
      </c>
      <c r="W219" s="1">
        <v>40679</v>
      </c>
      <c r="X219" s="1">
        <v>41366</v>
      </c>
      <c r="Y219" t="s">
        <v>199</v>
      </c>
      <c r="Z219" t="s">
        <v>58</v>
      </c>
      <c r="AA219" t="s">
        <v>51</v>
      </c>
      <c r="AB219" t="s">
        <v>105</v>
      </c>
      <c r="AC219" t="s">
        <v>67</v>
      </c>
      <c r="AD219" t="s">
        <v>54</v>
      </c>
      <c r="AE219">
        <v>4.2</v>
      </c>
      <c r="AF219">
        <v>5</v>
      </c>
      <c r="AG219">
        <v>0</v>
      </c>
      <c r="AH219" s="1">
        <v>41548</v>
      </c>
      <c r="AI219">
        <v>12</v>
      </c>
      <c r="AJ219">
        <v>29</v>
      </c>
      <c r="AK219">
        <v>2</v>
      </c>
      <c r="AL219">
        <v>19</v>
      </c>
      <c r="AM219">
        <f>IF(Cleaned_Data[[#This Row],[DateofTermination]]="","",YEAR(Cleaned_Data[[#This Row],[DateofTermination]]))</f>
        <v>2013</v>
      </c>
      <c r="AN219">
        <v>1</v>
      </c>
    </row>
    <row r="220" spans="1:40" x14ac:dyDescent="0.35">
      <c r="A220" t="s">
        <v>387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135</v>
      </c>
      <c r="N220" t="s">
        <v>42</v>
      </c>
      <c r="O220">
        <v>2030</v>
      </c>
      <c r="P220" s="1">
        <v>29913</v>
      </c>
      <c r="Q220" t="s">
        <v>43</v>
      </c>
      <c r="R220" t="s">
        <v>75</v>
      </c>
      <c r="S220" t="s">
        <v>63</v>
      </c>
      <c r="T220" t="s">
        <v>46</v>
      </c>
      <c r="U220" t="s">
        <v>47</v>
      </c>
      <c r="V220" t="s">
        <v>48</v>
      </c>
      <c r="W220" s="1">
        <v>40476</v>
      </c>
      <c r="X220" s="1">
        <v>42597</v>
      </c>
      <c r="Y220" t="s">
        <v>57</v>
      </c>
      <c r="Z220" t="s">
        <v>58</v>
      </c>
      <c r="AA220" t="s">
        <v>51</v>
      </c>
      <c r="AB220" t="s">
        <v>137</v>
      </c>
      <c r="AC220" t="s">
        <v>67</v>
      </c>
      <c r="AD220" t="s">
        <v>60</v>
      </c>
      <c r="AE220">
        <v>4.16</v>
      </c>
      <c r="AF220">
        <v>5</v>
      </c>
      <c r="AG220">
        <v>0</v>
      </c>
      <c r="AH220" s="1">
        <v>42127</v>
      </c>
      <c r="AI220">
        <v>6</v>
      </c>
      <c r="AJ220">
        <v>35</v>
      </c>
      <c r="AK220">
        <v>6</v>
      </c>
      <c r="AL220">
        <v>2</v>
      </c>
      <c r="AM220">
        <f>IF(Cleaned_Data[[#This Row],[DateofTermination]]="","",YEAR(Cleaned_Data[[#This Row],[DateofTermination]]))</f>
        <v>2016</v>
      </c>
      <c r="AN220">
        <v>1</v>
      </c>
    </row>
    <row r="221" spans="1:40" x14ac:dyDescent="0.35">
      <c r="A221" t="s">
        <v>388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81</v>
      </c>
      <c r="N221" t="s">
        <v>42</v>
      </c>
      <c r="O221">
        <v>2050</v>
      </c>
      <c r="P221" s="1">
        <v>32384</v>
      </c>
      <c r="Q221" t="s">
        <v>43</v>
      </c>
      <c r="R221" t="s">
        <v>75</v>
      </c>
      <c r="S221" t="s">
        <v>63</v>
      </c>
      <c r="T221" t="s">
        <v>90</v>
      </c>
      <c r="U221" t="s">
        <v>47</v>
      </c>
      <c r="V221" t="s">
        <v>95</v>
      </c>
      <c r="W221" s="1">
        <v>40943</v>
      </c>
      <c r="X221" s="1"/>
      <c r="Y221" t="s">
        <v>49</v>
      </c>
      <c r="Z221" t="s">
        <v>50</v>
      </c>
      <c r="AA221" t="s">
        <v>51</v>
      </c>
      <c r="AB221" t="s">
        <v>109</v>
      </c>
      <c r="AC221" t="s">
        <v>53</v>
      </c>
      <c r="AD221" t="s">
        <v>60</v>
      </c>
      <c r="AE221">
        <v>4.3</v>
      </c>
      <c r="AF221">
        <v>3</v>
      </c>
      <c r="AG221">
        <v>0</v>
      </c>
      <c r="AH221" s="1">
        <v>43479</v>
      </c>
      <c r="AI221">
        <v>14</v>
      </c>
      <c r="AJ221">
        <v>31</v>
      </c>
      <c r="AK221">
        <v>8</v>
      </c>
      <c r="AL221">
        <v>12</v>
      </c>
      <c r="AM221" t="str">
        <f>IF(Cleaned_Data[[#This Row],[DateofTermination]]="","",YEAR(Cleaned_Data[[#This Row],[DateofTermination]]))</f>
        <v/>
      </c>
      <c r="AN221">
        <v>1</v>
      </c>
    </row>
    <row r="222" spans="1:40" x14ac:dyDescent="0.35">
      <c r="A222" t="s">
        <v>389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69</v>
      </c>
      <c r="N222" t="s">
        <v>42</v>
      </c>
      <c r="O222">
        <v>1886</v>
      </c>
      <c r="P222" s="1">
        <v>30970</v>
      </c>
      <c r="Q222" t="s">
        <v>43</v>
      </c>
      <c r="R222" t="s">
        <v>75</v>
      </c>
      <c r="S222" t="s">
        <v>63</v>
      </c>
      <c r="T222" t="s">
        <v>46</v>
      </c>
      <c r="U222" t="s">
        <v>47</v>
      </c>
      <c r="V222" t="s">
        <v>71</v>
      </c>
      <c r="W222" s="1">
        <v>41923</v>
      </c>
      <c r="X222" s="1"/>
      <c r="Y222" t="s">
        <v>49</v>
      </c>
      <c r="Z222" t="s">
        <v>50</v>
      </c>
      <c r="AA222" t="s">
        <v>65</v>
      </c>
      <c r="AB222" t="s">
        <v>66</v>
      </c>
      <c r="AC222" t="s">
        <v>106</v>
      </c>
      <c r="AD222" t="s">
        <v>54</v>
      </c>
      <c r="AE222">
        <v>4.5999999999999996</v>
      </c>
      <c r="AF222">
        <v>5</v>
      </c>
      <c r="AG222">
        <v>7</v>
      </c>
      <c r="AH222" s="1">
        <v>43556</v>
      </c>
      <c r="AI222">
        <v>16</v>
      </c>
      <c r="AJ222">
        <v>35</v>
      </c>
      <c r="AK222">
        <v>5</v>
      </c>
      <c r="AL222">
        <v>4</v>
      </c>
      <c r="AM222" t="str">
        <f>IF(Cleaned_Data[[#This Row],[DateofTermination]]="","",YEAR(Cleaned_Data[[#This Row],[DateofTermination]]))</f>
        <v/>
      </c>
      <c r="AN222">
        <v>1</v>
      </c>
    </row>
    <row r="223" spans="1:40" x14ac:dyDescent="0.35">
      <c r="A223" t="s">
        <v>390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41</v>
      </c>
      <c r="N223" t="s">
        <v>42</v>
      </c>
      <c r="O223">
        <v>2451</v>
      </c>
      <c r="P223" s="1">
        <v>22451</v>
      </c>
      <c r="Q223" t="s">
        <v>85</v>
      </c>
      <c r="R223" t="s">
        <v>44</v>
      </c>
      <c r="S223" t="s">
        <v>63</v>
      </c>
      <c r="T223" t="s">
        <v>46</v>
      </c>
      <c r="U223" t="s">
        <v>47</v>
      </c>
      <c r="V223" t="s">
        <v>95</v>
      </c>
      <c r="W223" s="1">
        <v>40670</v>
      </c>
      <c r="X223" s="1">
        <v>41243</v>
      </c>
      <c r="Y223" t="s">
        <v>199</v>
      </c>
      <c r="Z223" t="s">
        <v>58</v>
      </c>
      <c r="AA223" t="s">
        <v>51</v>
      </c>
      <c r="AB223" t="s">
        <v>109</v>
      </c>
      <c r="AC223" t="s">
        <v>79</v>
      </c>
      <c r="AD223" t="s">
        <v>60</v>
      </c>
      <c r="AE223">
        <v>5</v>
      </c>
      <c r="AF223">
        <v>3</v>
      </c>
      <c r="AG223">
        <v>0</v>
      </c>
      <c r="AH223" s="1">
        <v>40959</v>
      </c>
      <c r="AI223">
        <v>13</v>
      </c>
      <c r="AJ223">
        <v>51</v>
      </c>
      <c r="AK223">
        <v>2</v>
      </c>
      <c r="AL223">
        <v>12</v>
      </c>
      <c r="AM223">
        <f>IF(Cleaned_Data[[#This Row],[DateofTermination]]="","",YEAR(Cleaned_Data[[#This Row],[DateofTermination]]))</f>
        <v>2012</v>
      </c>
      <c r="AN223">
        <v>1</v>
      </c>
    </row>
    <row r="224" spans="1:40" x14ac:dyDescent="0.35">
      <c r="A224" t="s">
        <v>391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41</v>
      </c>
      <c r="N224" t="s">
        <v>42</v>
      </c>
      <c r="O224">
        <v>2451</v>
      </c>
      <c r="P224" s="1">
        <v>25833</v>
      </c>
      <c r="Q224" t="s">
        <v>43</v>
      </c>
      <c r="R224" t="s">
        <v>44</v>
      </c>
      <c r="S224" t="s">
        <v>45</v>
      </c>
      <c r="T224" t="s">
        <v>46</v>
      </c>
      <c r="U224" t="s">
        <v>47</v>
      </c>
      <c r="V224" t="s">
        <v>48</v>
      </c>
      <c r="W224" s="1">
        <v>39213</v>
      </c>
      <c r="X224" s="1"/>
      <c r="Y224" t="s">
        <v>49</v>
      </c>
      <c r="Z224" t="s">
        <v>50</v>
      </c>
      <c r="AA224" t="s">
        <v>51</v>
      </c>
      <c r="AB224" t="s">
        <v>114</v>
      </c>
      <c r="AC224" t="s">
        <v>79</v>
      </c>
      <c r="AD224" t="s">
        <v>60</v>
      </c>
      <c r="AE224">
        <v>3.66</v>
      </c>
      <c r="AF224">
        <v>3</v>
      </c>
      <c r="AG224">
        <v>0</v>
      </c>
      <c r="AH224" s="1">
        <v>43521</v>
      </c>
      <c r="AI224">
        <v>15</v>
      </c>
      <c r="AJ224">
        <v>49</v>
      </c>
      <c r="AK224">
        <v>13</v>
      </c>
      <c r="AL224">
        <v>14</v>
      </c>
      <c r="AM224" t="str">
        <f>IF(Cleaned_Data[[#This Row],[DateofTermination]]="","",YEAR(Cleaned_Data[[#This Row],[DateofTermination]]))</f>
        <v/>
      </c>
      <c r="AN224">
        <v>1</v>
      </c>
    </row>
    <row r="225" spans="1:40" x14ac:dyDescent="0.35">
      <c r="A225" t="s">
        <v>392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145</v>
      </c>
      <c r="N225" t="s">
        <v>393</v>
      </c>
      <c r="O225">
        <v>40220</v>
      </c>
      <c r="P225" s="1">
        <v>31047</v>
      </c>
      <c r="Q225" t="s">
        <v>43</v>
      </c>
      <c r="R225" t="s">
        <v>75</v>
      </c>
      <c r="S225" t="s">
        <v>63</v>
      </c>
      <c r="T225" t="s">
        <v>46</v>
      </c>
      <c r="U225" t="s">
        <v>47</v>
      </c>
      <c r="V225" t="s">
        <v>71</v>
      </c>
      <c r="W225" s="1">
        <v>41153</v>
      </c>
      <c r="X225" s="1"/>
      <c r="Y225" t="s">
        <v>49</v>
      </c>
      <c r="Z225" t="s">
        <v>50</v>
      </c>
      <c r="AA225" t="s">
        <v>147</v>
      </c>
      <c r="AB225" t="s">
        <v>166</v>
      </c>
      <c r="AC225" t="s">
        <v>207</v>
      </c>
      <c r="AD225" t="s">
        <v>60</v>
      </c>
      <c r="AE225">
        <v>4.2</v>
      </c>
      <c r="AF225">
        <v>5</v>
      </c>
      <c r="AG225">
        <v>0</v>
      </c>
      <c r="AH225" s="1">
        <v>43467</v>
      </c>
      <c r="AI225">
        <v>9</v>
      </c>
      <c r="AJ225">
        <v>35</v>
      </c>
      <c r="AK225">
        <v>7</v>
      </c>
      <c r="AL225">
        <v>21</v>
      </c>
      <c r="AM225" t="str">
        <f>IF(Cleaned_Data[[#This Row],[DateofTermination]]="","",YEAR(Cleaned_Data[[#This Row],[DateofTermination]]))</f>
        <v/>
      </c>
      <c r="AN225">
        <v>1</v>
      </c>
    </row>
    <row r="226" spans="1:40" x14ac:dyDescent="0.35">
      <c r="A226" t="s">
        <v>394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41</v>
      </c>
      <c r="N226" t="s">
        <v>42</v>
      </c>
      <c r="O226">
        <v>1742</v>
      </c>
      <c r="P226" s="1">
        <v>30154</v>
      </c>
      <c r="Q226" t="s">
        <v>43</v>
      </c>
      <c r="R226" t="s">
        <v>75</v>
      </c>
      <c r="S226" t="s">
        <v>56</v>
      </c>
      <c r="T226" t="s">
        <v>90</v>
      </c>
      <c r="U226" t="s">
        <v>47</v>
      </c>
      <c r="V226" t="s">
        <v>95</v>
      </c>
      <c r="W226" s="1">
        <v>40679</v>
      </c>
      <c r="X226" s="1">
        <v>43196</v>
      </c>
      <c r="Y226" t="s">
        <v>57</v>
      </c>
      <c r="Z226" t="s">
        <v>58</v>
      </c>
      <c r="AA226" t="s">
        <v>51</v>
      </c>
      <c r="AB226" t="s">
        <v>83</v>
      </c>
      <c r="AC226" t="s">
        <v>79</v>
      </c>
      <c r="AD226" t="s">
        <v>60</v>
      </c>
      <c r="AE226">
        <v>3.17</v>
      </c>
      <c r="AF226">
        <v>4</v>
      </c>
      <c r="AG226">
        <v>0</v>
      </c>
      <c r="AH226" s="1">
        <v>43135</v>
      </c>
      <c r="AI226">
        <v>14</v>
      </c>
      <c r="AJ226">
        <v>36</v>
      </c>
      <c r="AK226">
        <v>7</v>
      </c>
      <c r="AL226">
        <v>20</v>
      </c>
      <c r="AM226">
        <f>IF(Cleaned_Data[[#This Row],[DateofTermination]]="","",YEAR(Cleaned_Data[[#This Row],[DateofTermination]]))</f>
        <v>2018</v>
      </c>
      <c r="AN226">
        <v>1</v>
      </c>
    </row>
    <row r="227" spans="1:40" x14ac:dyDescent="0.35">
      <c r="A227" t="s">
        <v>395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41</v>
      </c>
      <c r="N227" t="s">
        <v>42</v>
      </c>
      <c r="O227">
        <v>2109</v>
      </c>
      <c r="P227" s="1">
        <v>31075</v>
      </c>
      <c r="Q227" t="s">
        <v>43</v>
      </c>
      <c r="R227" t="s">
        <v>44</v>
      </c>
      <c r="S227" t="s">
        <v>45</v>
      </c>
      <c r="T227" t="s">
        <v>46</v>
      </c>
      <c r="U227" t="s">
        <v>47</v>
      </c>
      <c r="V227" t="s">
        <v>48</v>
      </c>
      <c r="W227" s="1">
        <v>41791</v>
      </c>
      <c r="X227" s="1"/>
      <c r="Y227" t="s">
        <v>49</v>
      </c>
      <c r="Z227" t="s">
        <v>50</v>
      </c>
      <c r="AA227" t="s">
        <v>51</v>
      </c>
      <c r="AB227" t="s">
        <v>117</v>
      </c>
      <c r="AC227" t="s">
        <v>106</v>
      </c>
      <c r="AD227" t="s">
        <v>60</v>
      </c>
      <c r="AE227">
        <v>4.8</v>
      </c>
      <c r="AF227">
        <v>3</v>
      </c>
      <c r="AG227">
        <v>0</v>
      </c>
      <c r="AH227" s="1">
        <v>43647</v>
      </c>
      <c r="AI227">
        <v>14</v>
      </c>
      <c r="AJ227">
        <v>35</v>
      </c>
      <c r="AK227">
        <v>6</v>
      </c>
      <c r="AL227">
        <v>18</v>
      </c>
      <c r="AM227" t="str">
        <f>IF(Cleaned_Data[[#This Row],[DateofTermination]]="","",YEAR(Cleaned_Data[[#This Row],[DateofTermination]]))</f>
        <v/>
      </c>
      <c r="AN227">
        <v>1</v>
      </c>
    </row>
    <row r="228" spans="1:40" x14ac:dyDescent="0.35">
      <c r="A228" t="s">
        <v>396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41</v>
      </c>
      <c r="N228" t="s">
        <v>42</v>
      </c>
      <c r="O228">
        <v>2474</v>
      </c>
      <c r="P228" s="1">
        <v>26811</v>
      </c>
      <c r="Q228" t="s">
        <v>43</v>
      </c>
      <c r="R228" t="s">
        <v>75</v>
      </c>
      <c r="S228" t="s">
        <v>56</v>
      </c>
      <c r="T228" t="s">
        <v>46</v>
      </c>
      <c r="U228" t="s">
        <v>47</v>
      </c>
      <c r="V228" t="s">
        <v>48</v>
      </c>
      <c r="W228" s="1">
        <v>41176</v>
      </c>
      <c r="X228" s="1">
        <v>41443</v>
      </c>
      <c r="Y228" t="s">
        <v>86</v>
      </c>
      <c r="Z228" t="s">
        <v>58</v>
      </c>
      <c r="AA228" t="s">
        <v>51</v>
      </c>
      <c r="AB228" t="s">
        <v>83</v>
      </c>
      <c r="AC228" t="s">
        <v>67</v>
      </c>
      <c r="AD228" t="s">
        <v>60</v>
      </c>
      <c r="AE228">
        <v>4.5</v>
      </c>
      <c r="AF228">
        <v>5</v>
      </c>
      <c r="AG228">
        <v>0</v>
      </c>
      <c r="AH228" s="1">
        <v>41309</v>
      </c>
      <c r="AI228">
        <v>16</v>
      </c>
      <c r="AJ228">
        <v>40</v>
      </c>
      <c r="AK228">
        <v>1</v>
      </c>
      <c r="AL228">
        <v>20</v>
      </c>
      <c r="AM228">
        <f>IF(Cleaned_Data[[#This Row],[DateofTermination]]="","",YEAR(Cleaned_Data[[#This Row],[DateofTermination]]))</f>
        <v>2013</v>
      </c>
      <c r="AN228">
        <v>1</v>
      </c>
    </row>
    <row r="229" spans="1:40" x14ac:dyDescent="0.35">
      <c r="A229" t="s">
        <v>397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100</v>
      </c>
      <c r="N229" t="s">
        <v>42</v>
      </c>
      <c r="O229">
        <v>2045</v>
      </c>
      <c r="P229" s="1">
        <v>26624</v>
      </c>
      <c r="Q229" t="s">
        <v>43</v>
      </c>
      <c r="R229" t="s">
        <v>44</v>
      </c>
      <c r="S229" t="s">
        <v>63</v>
      </c>
      <c r="T229" t="s">
        <v>90</v>
      </c>
      <c r="U229" t="s">
        <v>47</v>
      </c>
      <c r="V229" t="s">
        <v>71</v>
      </c>
      <c r="W229" s="1">
        <v>40595</v>
      </c>
      <c r="X229" s="1">
        <v>42231</v>
      </c>
      <c r="Y229" t="s">
        <v>64</v>
      </c>
      <c r="Z229" t="s">
        <v>58</v>
      </c>
      <c r="AA229" t="s">
        <v>101</v>
      </c>
      <c r="AB229" t="s">
        <v>137</v>
      </c>
      <c r="AC229" t="s">
        <v>72</v>
      </c>
      <c r="AD229" t="s">
        <v>60</v>
      </c>
      <c r="AE229">
        <v>4.1500000000000004</v>
      </c>
      <c r="AF229">
        <v>4</v>
      </c>
      <c r="AG229">
        <v>0</v>
      </c>
      <c r="AH229" s="1">
        <v>41748</v>
      </c>
      <c r="AI229">
        <v>4</v>
      </c>
      <c r="AJ229">
        <v>43</v>
      </c>
      <c r="AK229">
        <v>4</v>
      </c>
      <c r="AL229">
        <v>2</v>
      </c>
      <c r="AM229">
        <f>IF(Cleaned_Data[[#This Row],[DateofTermination]]="","",YEAR(Cleaned_Data[[#This Row],[DateofTermination]]))</f>
        <v>2015</v>
      </c>
      <c r="AN229">
        <v>1</v>
      </c>
    </row>
    <row r="230" spans="1:40" x14ac:dyDescent="0.35">
      <c r="A230" t="s">
        <v>398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202</v>
      </c>
      <c r="N230" t="s">
        <v>42</v>
      </c>
      <c r="O230">
        <v>2110</v>
      </c>
      <c r="P230" s="1">
        <v>31854</v>
      </c>
      <c r="Q230" t="s">
        <v>43</v>
      </c>
      <c r="R230" t="s">
        <v>75</v>
      </c>
      <c r="S230" t="s">
        <v>63</v>
      </c>
      <c r="T230" t="s">
        <v>46</v>
      </c>
      <c r="U230" t="s">
        <v>47</v>
      </c>
      <c r="V230" t="s">
        <v>71</v>
      </c>
      <c r="W230" s="1">
        <v>42410</v>
      </c>
      <c r="X230" s="1"/>
      <c r="Y230" t="s">
        <v>49</v>
      </c>
      <c r="Z230" t="s">
        <v>50</v>
      </c>
      <c r="AA230" t="s">
        <v>65</v>
      </c>
      <c r="AB230" t="s">
        <v>203</v>
      </c>
      <c r="AC230" t="s">
        <v>67</v>
      </c>
      <c r="AD230" t="s">
        <v>60</v>
      </c>
      <c r="AE230">
        <v>4.4000000000000004</v>
      </c>
      <c r="AF230">
        <v>4</v>
      </c>
      <c r="AG230">
        <v>6</v>
      </c>
      <c r="AH230" s="1">
        <v>43618</v>
      </c>
      <c r="AI230">
        <v>10</v>
      </c>
      <c r="AJ230">
        <v>33</v>
      </c>
      <c r="AK230">
        <v>4</v>
      </c>
      <c r="AL230">
        <v>13</v>
      </c>
      <c r="AM230" t="str">
        <f>IF(Cleaned_Data[[#This Row],[DateofTermination]]="","",YEAR(Cleaned_Data[[#This Row],[DateofTermination]]))</f>
        <v/>
      </c>
      <c r="AN230">
        <v>1</v>
      </c>
    </row>
    <row r="231" spans="1:40" x14ac:dyDescent="0.35">
      <c r="A231" t="s">
        <v>399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41</v>
      </c>
      <c r="N231" t="s">
        <v>42</v>
      </c>
      <c r="O231">
        <v>2478</v>
      </c>
      <c r="P231" s="1">
        <v>31617</v>
      </c>
      <c r="Q231" t="s">
        <v>43</v>
      </c>
      <c r="R231" t="s">
        <v>44</v>
      </c>
      <c r="S231" t="s">
        <v>56</v>
      </c>
      <c r="T231" t="s">
        <v>46</v>
      </c>
      <c r="U231" t="s">
        <v>47</v>
      </c>
      <c r="V231" t="s">
        <v>48</v>
      </c>
      <c r="W231" s="1">
        <v>40812</v>
      </c>
      <c r="X231" s="1">
        <v>43285</v>
      </c>
      <c r="Y231" t="s">
        <v>199</v>
      </c>
      <c r="Z231" t="s">
        <v>58</v>
      </c>
      <c r="AA231" t="s">
        <v>51</v>
      </c>
      <c r="AB231" t="s">
        <v>52</v>
      </c>
      <c r="AC231" t="s">
        <v>67</v>
      </c>
      <c r="AD231" t="s">
        <v>60</v>
      </c>
      <c r="AE231">
        <v>3.8</v>
      </c>
      <c r="AF231">
        <v>5</v>
      </c>
      <c r="AG231">
        <v>0</v>
      </c>
      <c r="AH231" s="1">
        <v>43192</v>
      </c>
      <c r="AI231">
        <v>19</v>
      </c>
      <c r="AJ231">
        <v>32</v>
      </c>
      <c r="AK231">
        <v>7</v>
      </c>
      <c r="AL231">
        <v>22</v>
      </c>
      <c r="AM231">
        <f>IF(Cleaned_Data[[#This Row],[DateofTermination]]="","",YEAR(Cleaned_Data[[#This Row],[DateofTermination]]))</f>
        <v>2018</v>
      </c>
      <c r="AN231">
        <v>1</v>
      </c>
    </row>
    <row r="232" spans="1:40" x14ac:dyDescent="0.35">
      <c r="A232" t="s">
        <v>400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145</v>
      </c>
      <c r="N232" t="s">
        <v>401</v>
      </c>
      <c r="O232">
        <v>83706</v>
      </c>
      <c r="P232" s="1">
        <v>27384</v>
      </c>
      <c r="Q232" t="s">
        <v>43</v>
      </c>
      <c r="R232" t="s">
        <v>44</v>
      </c>
      <c r="S232" t="s">
        <v>63</v>
      </c>
      <c r="T232" t="s">
        <v>46</v>
      </c>
      <c r="U232" t="s">
        <v>47</v>
      </c>
      <c r="V232" t="s">
        <v>48</v>
      </c>
      <c r="W232" s="1">
        <v>41978</v>
      </c>
      <c r="X232" s="1"/>
      <c r="Y232" t="s">
        <v>49</v>
      </c>
      <c r="Z232" t="s">
        <v>50</v>
      </c>
      <c r="AA232" t="s">
        <v>147</v>
      </c>
      <c r="AB232" t="s">
        <v>148</v>
      </c>
      <c r="AC232" t="s">
        <v>123</v>
      </c>
      <c r="AD232" t="s">
        <v>60</v>
      </c>
      <c r="AE232">
        <v>3.98</v>
      </c>
      <c r="AF232">
        <v>3</v>
      </c>
      <c r="AG232">
        <v>0</v>
      </c>
      <c r="AH232" s="1">
        <v>43493</v>
      </c>
      <c r="AI232">
        <v>4</v>
      </c>
      <c r="AJ232">
        <v>45</v>
      </c>
      <c r="AK232">
        <v>5</v>
      </c>
      <c r="AL232">
        <v>17</v>
      </c>
      <c r="AM232" t="str">
        <f>IF(Cleaned_Data[[#This Row],[DateofTermination]]="","",YEAR(Cleaned_Data[[#This Row],[DateofTermination]]))</f>
        <v/>
      </c>
      <c r="AN232">
        <v>1</v>
      </c>
    </row>
    <row r="233" spans="1:40" x14ac:dyDescent="0.35">
      <c r="A233" t="s">
        <v>402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41</v>
      </c>
      <c r="N233" t="s">
        <v>42</v>
      </c>
      <c r="O233">
        <v>2176</v>
      </c>
      <c r="P233" s="1">
        <v>31528</v>
      </c>
      <c r="Q233" t="s">
        <v>43</v>
      </c>
      <c r="R233" t="s">
        <v>44</v>
      </c>
      <c r="S233" t="s">
        <v>56</v>
      </c>
      <c r="T233" t="s">
        <v>46</v>
      </c>
      <c r="U233" t="s">
        <v>76</v>
      </c>
      <c r="V233" t="s">
        <v>48</v>
      </c>
      <c r="W233" s="1">
        <v>40679</v>
      </c>
      <c r="X233" s="1">
        <v>42384</v>
      </c>
      <c r="Y233" t="s">
        <v>136</v>
      </c>
      <c r="Z233" t="s">
        <v>58</v>
      </c>
      <c r="AA233" t="s">
        <v>51</v>
      </c>
      <c r="AB233" t="s">
        <v>88</v>
      </c>
      <c r="AC233" t="s">
        <v>53</v>
      </c>
      <c r="AD233" t="s">
        <v>60</v>
      </c>
      <c r="AE233">
        <v>5</v>
      </c>
      <c r="AF233">
        <v>4</v>
      </c>
      <c r="AG233">
        <v>0</v>
      </c>
      <c r="AH233" s="1">
        <v>42093</v>
      </c>
      <c r="AI233">
        <v>11</v>
      </c>
      <c r="AJ233">
        <v>30</v>
      </c>
      <c r="AK233">
        <v>5</v>
      </c>
      <c r="AL233">
        <v>16</v>
      </c>
      <c r="AM233">
        <f>IF(Cleaned_Data[[#This Row],[DateofTermination]]="","",YEAR(Cleaned_Data[[#This Row],[DateofTermination]]))</f>
        <v>2016</v>
      </c>
      <c r="AN233">
        <v>1</v>
      </c>
    </row>
    <row r="234" spans="1:40" x14ac:dyDescent="0.35">
      <c r="A234" t="s">
        <v>403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41</v>
      </c>
      <c r="N234" t="s">
        <v>42</v>
      </c>
      <c r="O234">
        <v>2171</v>
      </c>
      <c r="P234" s="1">
        <v>32128</v>
      </c>
      <c r="Q234" t="s">
        <v>43</v>
      </c>
      <c r="R234" t="s">
        <v>75</v>
      </c>
      <c r="S234" t="s">
        <v>63</v>
      </c>
      <c r="T234" t="s">
        <v>46</v>
      </c>
      <c r="U234" t="s">
        <v>47</v>
      </c>
      <c r="V234" t="s">
        <v>95</v>
      </c>
      <c r="W234" s="1">
        <v>40875</v>
      </c>
      <c r="X234" s="1"/>
      <c r="Y234" t="s">
        <v>49</v>
      </c>
      <c r="Z234" t="s">
        <v>50</v>
      </c>
      <c r="AA234" t="s">
        <v>51</v>
      </c>
      <c r="AB234" t="s">
        <v>93</v>
      </c>
      <c r="AC234" t="s">
        <v>79</v>
      </c>
      <c r="AD234" t="s">
        <v>54</v>
      </c>
      <c r="AE234">
        <v>4.3600000000000003</v>
      </c>
      <c r="AF234">
        <v>5</v>
      </c>
      <c r="AG234">
        <v>0</v>
      </c>
      <c r="AH234" s="1">
        <v>43771</v>
      </c>
      <c r="AI234">
        <v>16</v>
      </c>
      <c r="AJ234">
        <v>32</v>
      </c>
      <c r="AK234">
        <v>8</v>
      </c>
      <c r="AL234">
        <v>39</v>
      </c>
      <c r="AM234" t="str">
        <f>IF(Cleaned_Data[[#This Row],[DateofTermination]]="","",YEAR(Cleaned_Data[[#This Row],[DateofTermination]]))</f>
        <v/>
      </c>
      <c r="AN234">
        <v>1</v>
      </c>
    </row>
    <row r="235" spans="1:40" x14ac:dyDescent="0.35">
      <c r="A235" t="s">
        <v>404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81</v>
      </c>
      <c r="N235" t="s">
        <v>42</v>
      </c>
      <c r="O235">
        <v>1902</v>
      </c>
      <c r="P235" s="1">
        <v>29690</v>
      </c>
      <c r="Q235" t="s">
        <v>43</v>
      </c>
      <c r="R235" t="s">
        <v>75</v>
      </c>
      <c r="S235" t="s">
        <v>56</v>
      </c>
      <c r="T235" t="s">
        <v>90</v>
      </c>
      <c r="U235" t="s">
        <v>47</v>
      </c>
      <c r="V235" t="s">
        <v>71</v>
      </c>
      <c r="W235" s="1">
        <v>40812</v>
      </c>
      <c r="X235" s="1">
        <v>40838</v>
      </c>
      <c r="Y235" t="s">
        <v>92</v>
      </c>
      <c r="Z235" t="s">
        <v>58</v>
      </c>
      <c r="AA235" t="s">
        <v>51</v>
      </c>
      <c r="AB235" t="s">
        <v>114</v>
      </c>
      <c r="AC235" t="s">
        <v>79</v>
      </c>
      <c r="AD235" t="s">
        <v>60</v>
      </c>
      <c r="AE235">
        <v>4.5</v>
      </c>
      <c r="AF235">
        <v>4</v>
      </c>
      <c r="AG235">
        <v>0</v>
      </c>
      <c r="AH235" s="1">
        <v>40838</v>
      </c>
      <c r="AI235">
        <v>10</v>
      </c>
      <c r="AJ235">
        <v>31</v>
      </c>
      <c r="AK235">
        <v>0</v>
      </c>
      <c r="AL235">
        <v>14</v>
      </c>
      <c r="AM235">
        <f>IF(Cleaned_Data[[#This Row],[DateofTermination]]="","",YEAR(Cleaned_Data[[#This Row],[DateofTermination]]))</f>
        <v>2011</v>
      </c>
      <c r="AN235">
        <v>1</v>
      </c>
    </row>
    <row r="236" spans="1:40" x14ac:dyDescent="0.35">
      <c r="A236" t="s">
        <v>405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81</v>
      </c>
      <c r="N236" t="s">
        <v>42</v>
      </c>
      <c r="O236">
        <v>2138</v>
      </c>
      <c r="P236" s="1">
        <v>31283</v>
      </c>
      <c r="Q236" t="s">
        <v>43</v>
      </c>
      <c r="R236" t="s">
        <v>44</v>
      </c>
      <c r="S236" t="s">
        <v>63</v>
      </c>
      <c r="T236" t="s">
        <v>46</v>
      </c>
      <c r="U236" t="s">
        <v>47</v>
      </c>
      <c r="V236" t="s">
        <v>48</v>
      </c>
      <c r="W236" s="1">
        <v>40670</v>
      </c>
      <c r="X236" s="1">
        <v>41123</v>
      </c>
      <c r="Y236" t="s">
        <v>57</v>
      </c>
      <c r="Z236" t="s">
        <v>58</v>
      </c>
      <c r="AA236" t="s">
        <v>51</v>
      </c>
      <c r="AB236" t="s">
        <v>83</v>
      </c>
      <c r="AC236" t="s">
        <v>67</v>
      </c>
      <c r="AD236" t="s">
        <v>60</v>
      </c>
      <c r="AE236">
        <v>4.2</v>
      </c>
      <c r="AF236">
        <v>5</v>
      </c>
      <c r="AG236">
        <v>0</v>
      </c>
      <c r="AH236" s="1">
        <v>41061</v>
      </c>
      <c r="AI236">
        <v>13</v>
      </c>
      <c r="AJ236">
        <v>27</v>
      </c>
      <c r="AK236">
        <v>1</v>
      </c>
      <c r="AL236">
        <v>20</v>
      </c>
      <c r="AM236">
        <f>IF(Cleaned_Data[[#This Row],[DateofTermination]]="","",YEAR(Cleaned_Data[[#This Row],[DateofTermination]]))</f>
        <v>2012</v>
      </c>
      <c r="AN236">
        <v>1</v>
      </c>
    </row>
    <row r="237" spans="1:40" x14ac:dyDescent="0.35">
      <c r="A237" t="s">
        <v>406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41</v>
      </c>
      <c r="N237" t="s">
        <v>42</v>
      </c>
      <c r="O237">
        <v>1420</v>
      </c>
      <c r="P237" s="1">
        <v>32282</v>
      </c>
      <c r="Q237" t="s">
        <v>43</v>
      </c>
      <c r="R237" t="s">
        <v>44</v>
      </c>
      <c r="S237" t="s">
        <v>63</v>
      </c>
      <c r="T237" t="s">
        <v>46</v>
      </c>
      <c r="U237" t="s">
        <v>47</v>
      </c>
      <c r="V237" t="s">
        <v>71</v>
      </c>
      <c r="W237" s="1">
        <v>40817</v>
      </c>
      <c r="X237" s="1">
        <v>42395</v>
      </c>
      <c r="Y237" t="s">
        <v>119</v>
      </c>
      <c r="Z237" t="s">
        <v>58</v>
      </c>
      <c r="AA237" t="s">
        <v>51</v>
      </c>
      <c r="AB237" t="s">
        <v>97</v>
      </c>
      <c r="AC237" t="s">
        <v>67</v>
      </c>
      <c r="AD237" t="s">
        <v>60</v>
      </c>
      <c r="AE237">
        <v>5</v>
      </c>
      <c r="AF237">
        <v>3</v>
      </c>
      <c r="AG237">
        <v>0</v>
      </c>
      <c r="AH237" s="1">
        <v>42278</v>
      </c>
      <c r="AI237">
        <v>11</v>
      </c>
      <c r="AJ237">
        <v>28</v>
      </c>
      <c r="AK237">
        <v>4</v>
      </c>
      <c r="AL237">
        <v>11</v>
      </c>
      <c r="AM237">
        <f>IF(Cleaned_Data[[#This Row],[DateofTermination]]="","",YEAR(Cleaned_Data[[#This Row],[DateofTermination]]))</f>
        <v>2016</v>
      </c>
      <c r="AN237">
        <v>1</v>
      </c>
    </row>
    <row r="238" spans="1:40" x14ac:dyDescent="0.35">
      <c r="A238" t="s">
        <v>407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41</v>
      </c>
      <c r="N238" t="s">
        <v>42</v>
      </c>
      <c r="O238">
        <v>1460</v>
      </c>
      <c r="P238" s="1">
        <v>32106</v>
      </c>
      <c r="Q238" t="s">
        <v>43</v>
      </c>
      <c r="R238" t="s">
        <v>75</v>
      </c>
      <c r="S238" t="s">
        <v>63</v>
      </c>
      <c r="T238" t="s">
        <v>46</v>
      </c>
      <c r="U238" t="s">
        <v>47</v>
      </c>
      <c r="V238" t="s">
        <v>48</v>
      </c>
      <c r="W238" s="1">
        <v>40817</v>
      </c>
      <c r="X238" s="1">
        <v>42507</v>
      </c>
      <c r="Y238" t="s">
        <v>119</v>
      </c>
      <c r="Z238" t="s">
        <v>78</v>
      </c>
      <c r="AA238" t="s">
        <v>51</v>
      </c>
      <c r="AB238" t="s">
        <v>105</v>
      </c>
      <c r="AC238" t="s">
        <v>67</v>
      </c>
      <c r="AD238" t="s">
        <v>124</v>
      </c>
      <c r="AE238">
        <v>3.6</v>
      </c>
      <c r="AF238">
        <v>3</v>
      </c>
      <c r="AG238">
        <v>0</v>
      </c>
      <c r="AH238" s="1">
        <v>42494</v>
      </c>
      <c r="AI238">
        <v>16</v>
      </c>
      <c r="AJ238">
        <v>28</v>
      </c>
      <c r="AK238">
        <v>5</v>
      </c>
      <c r="AL238">
        <v>19</v>
      </c>
      <c r="AM238">
        <f>IF(Cleaned_Data[[#This Row],[DateofTermination]]="","",YEAR(Cleaned_Data[[#This Row],[DateofTermination]]))</f>
        <v>2016</v>
      </c>
      <c r="AN238">
        <v>1</v>
      </c>
    </row>
    <row r="239" spans="1:40" x14ac:dyDescent="0.35">
      <c r="A239" t="s">
        <v>408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41</v>
      </c>
      <c r="N239" t="s">
        <v>42</v>
      </c>
      <c r="O239">
        <v>1730</v>
      </c>
      <c r="P239" s="1">
        <v>23314</v>
      </c>
      <c r="Q239" t="s">
        <v>85</v>
      </c>
      <c r="R239" t="s">
        <v>44</v>
      </c>
      <c r="S239" t="s">
        <v>104</v>
      </c>
      <c r="T239" t="s">
        <v>46</v>
      </c>
      <c r="U239" t="s">
        <v>47</v>
      </c>
      <c r="V239" t="s">
        <v>48</v>
      </c>
      <c r="W239" s="1">
        <v>41493</v>
      </c>
      <c r="X239" s="1"/>
      <c r="Y239" t="s">
        <v>49</v>
      </c>
      <c r="Z239" t="s">
        <v>50</v>
      </c>
      <c r="AA239" t="s">
        <v>51</v>
      </c>
      <c r="AB239" t="s">
        <v>109</v>
      </c>
      <c r="AC239" t="s">
        <v>106</v>
      </c>
      <c r="AD239" t="s">
        <v>54</v>
      </c>
      <c r="AE239">
        <v>3.6</v>
      </c>
      <c r="AF239">
        <v>5</v>
      </c>
      <c r="AG239">
        <v>0</v>
      </c>
      <c r="AH239" s="1">
        <v>43771</v>
      </c>
      <c r="AI239">
        <v>4</v>
      </c>
      <c r="AJ239">
        <v>56</v>
      </c>
      <c r="AK239">
        <v>6</v>
      </c>
      <c r="AL239">
        <v>12</v>
      </c>
      <c r="AM239" t="str">
        <f>IF(Cleaned_Data[[#This Row],[DateofTermination]]="","",YEAR(Cleaned_Data[[#This Row],[DateofTermination]]))</f>
        <v/>
      </c>
      <c r="AN239">
        <v>1</v>
      </c>
    </row>
    <row r="240" spans="1:40" x14ac:dyDescent="0.35">
      <c r="A240" t="s">
        <v>409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69</v>
      </c>
      <c r="N240" t="s">
        <v>42</v>
      </c>
      <c r="O240">
        <v>1886</v>
      </c>
      <c r="P240" s="1">
        <v>30910</v>
      </c>
      <c r="Q240" t="s">
        <v>43</v>
      </c>
      <c r="R240" t="s">
        <v>75</v>
      </c>
      <c r="S240" t="s">
        <v>63</v>
      </c>
      <c r="T240" t="s">
        <v>46</v>
      </c>
      <c r="U240" t="s">
        <v>47</v>
      </c>
      <c r="V240" t="s">
        <v>48</v>
      </c>
      <c r="W240" s="1">
        <v>42051</v>
      </c>
      <c r="X240" s="1"/>
      <c r="Y240" t="s">
        <v>49</v>
      </c>
      <c r="Z240" t="s">
        <v>50</v>
      </c>
      <c r="AA240" t="s">
        <v>65</v>
      </c>
      <c r="AB240" t="s">
        <v>66</v>
      </c>
      <c r="AC240" t="s">
        <v>106</v>
      </c>
      <c r="AD240" t="s">
        <v>60</v>
      </c>
      <c r="AE240">
        <v>3.69</v>
      </c>
      <c r="AF240">
        <v>5</v>
      </c>
      <c r="AG240">
        <v>6</v>
      </c>
      <c r="AH240" s="1">
        <v>43510</v>
      </c>
      <c r="AI240">
        <v>15</v>
      </c>
      <c r="AJ240">
        <v>35</v>
      </c>
      <c r="AK240">
        <v>5</v>
      </c>
      <c r="AL240">
        <v>4</v>
      </c>
      <c r="AM240" t="str">
        <f>IF(Cleaned_Data[[#This Row],[DateofTermination]]="","",YEAR(Cleaned_Data[[#This Row],[DateofTermination]]))</f>
        <v/>
      </c>
      <c r="AN240">
        <v>1</v>
      </c>
    </row>
    <row r="241" spans="1:40" x14ac:dyDescent="0.35">
      <c r="A241" t="s">
        <v>410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411</v>
      </c>
      <c r="N241" t="s">
        <v>42</v>
      </c>
      <c r="O241">
        <v>2703</v>
      </c>
      <c r="P241" s="1">
        <v>31942</v>
      </c>
      <c r="Q241" t="s">
        <v>43</v>
      </c>
      <c r="R241" t="s">
        <v>75</v>
      </c>
      <c r="S241" t="s">
        <v>45</v>
      </c>
      <c r="T241" t="s">
        <v>46</v>
      </c>
      <c r="U241" t="s">
        <v>76</v>
      </c>
      <c r="V241" t="s">
        <v>48</v>
      </c>
      <c r="W241" s="1">
        <v>42125</v>
      </c>
      <c r="X241" s="1">
        <v>43384</v>
      </c>
      <c r="Y241" t="s">
        <v>57</v>
      </c>
      <c r="Z241" t="s">
        <v>58</v>
      </c>
      <c r="AA241" t="s">
        <v>65</v>
      </c>
      <c r="AB241" t="s">
        <v>66</v>
      </c>
      <c r="AC241" t="s">
        <v>53</v>
      </c>
      <c r="AD241" t="s">
        <v>60</v>
      </c>
      <c r="AE241">
        <v>3.88</v>
      </c>
      <c r="AF241">
        <v>3</v>
      </c>
      <c r="AG241">
        <v>7</v>
      </c>
      <c r="AH241" s="1">
        <v>43144</v>
      </c>
      <c r="AI241">
        <v>12</v>
      </c>
      <c r="AJ241">
        <v>31</v>
      </c>
      <c r="AK241">
        <v>3</v>
      </c>
      <c r="AL241">
        <v>4</v>
      </c>
      <c r="AM241">
        <f>IF(Cleaned_Data[[#This Row],[DateofTermination]]="","",YEAR(Cleaned_Data[[#This Row],[DateofTermination]]))</f>
        <v>2018</v>
      </c>
      <c r="AN241">
        <v>1</v>
      </c>
    </row>
    <row r="242" spans="1:40" x14ac:dyDescent="0.35">
      <c r="A242" t="s">
        <v>412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413</v>
      </c>
      <c r="N242" t="s">
        <v>42</v>
      </c>
      <c r="O242">
        <v>2056</v>
      </c>
      <c r="P242" s="1">
        <v>25039</v>
      </c>
      <c r="Q242" t="s">
        <v>43</v>
      </c>
      <c r="R242" t="s">
        <v>75</v>
      </c>
      <c r="S242" t="s">
        <v>45</v>
      </c>
      <c r="T242" t="s">
        <v>46</v>
      </c>
      <c r="U242" t="s">
        <v>47</v>
      </c>
      <c r="V242" t="s">
        <v>71</v>
      </c>
      <c r="W242" s="1">
        <v>42917</v>
      </c>
      <c r="X242" s="1"/>
      <c r="Y242" t="s">
        <v>49</v>
      </c>
      <c r="Z242" t="s">
        <v>50</v>
      </c>
      <c r="AA242" t="s">
        <v>65</v>
      </c>
      <c r="AB242" t="s">
        <v>203</v>
      </c>
      <c r="AC242" t="s">
        <v>67</v>
      </c>
      <c r="AD242" t="s">
        <v>60</v>
      </c>
      <c r="AE242">
        <v>4.9400000000000004</v>
      </c>
      <c r="AF242">
        <v>3</v>
      </c>
      <c r="AG242">
        <v>5</v>
      </c>
      <c r="AH242" s="1">
        <v>43618</v>
      </c>
      <c r="AI242">
        <v>17</v>
      </c>
      <c r="AJ242">
        <v>51</v>
      </c>
      <c r="AK242">
        <v>2</v>
      </c>
      <c r="AL242">
        <v>13</v>
      </c>
      <c r="AM242" t="str">
        <f>IF(Cleaned_Data[[#This Row],[DateofTermination]]="","",YEAR(Cleaned_Data[[#This Row],[DateofTermination]]))</f>
        <v/>
      </c>
      <c r="AN242">
        <v>1</v>
      </c>
    </row>
    <row r="243" spans="1:40" x14ac:dyDescent="0.35">
      <c r="A243" t="s">
        <v>414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41</v>
      </c>
      <c r="N243" t="s">
        <v>42</v>
      </c>
      <c r="O243">
        <v>1886</v>
      </c>
      <c r="P243" s="1">
        <v>27667</v>
      </c>
      <c r="Q243" t="s">
        <v>43</v>
      </c>
      <c r="R243" t="s">
        <v>75</v>
      </c>
      <c r="S243" t="s">
        <v>143</v>
      </c>
      <c r="T243" t="s">
        <v>46</v>
      </c>
      <c r="U243" t="s">
        <v>47</v>
      </c>
      <c r="V243" t="s">
        <v>48</v>
      </c>
      <c r="W243" s="1">
        <v>41791</v>
      </c>
      <c r="X243" s="1"/>
      <c r="Y243" t="s">
        <v>49</v>
      </c>
      <c r="Z243" t="s">
        <v>50</v>
      </c>
      <c r="AA243" t="s">
        <v>51</v>
      </c>
      <c r="AB243" t="s">
        <v>114</v>
      </c>
      <c r="AC243" t="s">
        <v>207</v>
      </c>
      <c r="AD243" t="s">
        <v>60</v>
      </c>
      <c r="AE243">
        <v>5</v>
      </c>
      <c r="AF243">
        <v>4</v>
      </c>
      <c r="AG243">
        <v>0</v>
      </c>
      <c r="AH243" s="1">
        <v>43496</v>
      </c>
      <c r="AI243">
        <v>8</v>
      </c>
      <c r="AJ243">
        <v>44</v>
      </c>
      <c r="AK243">
        <v>6</v>
      </c>
      <c r="AL243">
        <v>14</v>
      </c>
      <c r="AM243" t="str">
        <f>IF(Cleaned_Data[[#This Row],[DateofTermination]]="","",YEAR(Cleaned_Data[[#This Row],[DateofTermination]]))</f>
        <v/>
      </c>
      <c r="AN243">
        <v>1</v>
      </c>
    </row>
    <row r="244" spans="1:40" x14ac:dyDescent="0.35">
      <c r="A244" t="s">
        <v>415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41</v>
      </c>
      <c r="N244" t="s">
        <v>42</v>
      </c>
      <c r="O244">
        <v>2155</v>
      </c>
      <c r="P244" s="1">
        <v>26749</v>
      </c>
      <c r="Q244" t="s">
        <v>43</v>
      </c>
      <c r="R244" t="s">
        <v>44</v>
      </c>
      <c r="S244" t="s">
        <v>45</v>
      </c>
      <c r="T244" t="s">
        <v>46</v>
      </c>
      <c r="U244" t="s">
        <v>47</v>
      </c>
      <c r="V244" t="s">
        <v>48</v>
      </c>
      <c r="W244" s="1">
        <v>40637</v>
      </c>
      <c r="X244" s="1">
        <v>43325</v>
      </c>
      <c r="Y244" t="s">
        <v>57</v>
      </c>
      <c r="Z244" t="s">
        <v>58</v>
      </c>
      <c r="AA244" t="s">
        <v>51</v>
      </c>
      <c r="AB244" t="s">
        <v>83</v>
      </c>
      <c r="AC244" t="s">
        <v>79</v>
      </c>
      <c r="AD244" t="s">
        <v>60</v>
      </c>
      <c r="AE244">
        <v>5</v>
      </c>
      <c r="AF244">
        <v>5</v>
      </c>
      <c r="AG244">
        <v>0</v>
      </c>
      <c r="AH244" s="1">
        <v>43138</v>
      </c>
      <c r="AI244">
        <v>4</v>
      </c>
      <c r="AJ244">
        <v>45</v>
      </c>
      <c r="AK244">
        <v>7</v>
      </c>
      <c r="AL244">
        <v>20</v>
      </c>
      <c r="AM244">
        <f>IF(Cleaned_Data[[#This Row],[DateofTermination]]="","",YEAR(Cleaned_Data[[#This Row],[DateofTermination]]))</f>
        <v>2018</v>
      </c>
      <c r="AN244">
        <v>1</v>
      </c>
    </row>
    <row r="245" spans="1:40" x14ac:dyDescent="0.35">
      <c r="A245" t="s">
        <v>416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417</v>
      </c>
      <c r="N245" t="s">
        <v>42</v>
      </c>
      <c r="O245">
        <v>2481</v>
      </c>
      <c r="P245" s="1">
        <v>30188</v>
      </c>
      <c r="Q245" t="s">
        <v>43</v>
      </c>
      <c r="R245" t="s">
        <v>44</v>
      </c>
      <c r="S245" t="s">
        <v>45</v>
      </c>
      <c r="T245" t="s">
        <v>46</v>
      </c>
      <c r="U245" t="s">
        <v>47</v>
      </c>
      <c r="V245" t="s">
        <v>48</v>
      </c>
      <c r="W245" s="1">
        <v>41294</v>
      </c>
      <c r="X245" s="1"/>
      <c r="Y245" t="s">
        <v>49</v>
      </c>
      <c r="Z245" t="s">
        <v>50</v>
      </c>
      <c r="AA245" t="s">
        <v>65</v>
      </c>
      <c r="AB245" t="s">
        <v>153</v>
      </c>
      <c r="AC245" t="s">
        <v>67</v>
      </c>
      <c r="AD245" t="s">
        <v>60</v>
      </c>
      <c r="AE245">
        <v>3.6</v>
      </c>
      <c r="AF245">
        <v>5</v>
      </c>
      <c r="AG245">
        <v>7</v>
      </c>
      <c r="AH245" s="1">
        <v>43514</v>
      </c>
      <c r="AI245">
        <v>13</v>
      </c>
      <c r="AJ245">
        <v>37</v>
      </c>
      <c r="AK245">
        <v>7</v>
      </c>
      <c r="AL245">
        <v>5</v>
      </c>
      <c r="AM245" t="str">
        <f>IF(Cleaned_Data[[#This Row],[DateofTermination]]="","",YEAR(Cleaned_Data[[#This Row],[DateofTermination]]))</f>
        <v/>
      </c>
      <c r="AN245">
        <v>1</v>
      </c>
    </row>
    <row r="246" spans="1:40" x14ac:dyDescent="0.35">
      <c r="A246" t="s">
        <v>418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417</v>
      </c>
      <c r="N246" t="s">
        <v>42</v>
      </c>
      <c r="O246">
        <v>1915</v>
      </c>
      <c r="P246" s="1">
        <v>31120</v>
      </c>
      <c r="Q246" t="s">
        <v>43</v>
      </c>
      <c r="R246" t="s">
        <v>44</v>
      </c>
      <c r="S246" t="s">
        <v>56</v>
      </c>
      <c r="T246" t="s">
        <v>46</v>
      </c>
      <c r="U246" t="s">
        <v>47</v>
      </c>
      <c r="V246" t="s">
        <v>71</v>
      </c>
      <c r="W246" s="1">
        <v>41153</v>
      </c>
      <c r="X246" s="1">
        <v>42105</v>
      </c>
      <c r="Y246" t="s">
        <v>82</v>
      </c>
      <c r="Z246" t="s">
        <v>58</v>
      </c>
      <c r="AA246" t="s">
        <v>65</v>
      </c>
      <c r="AB246" t="s">
        <v>153</v>
      </c>
      <c r="AC246" t="s">
        <v>72</v>
      </c>
      <c r="AD246" t="s">
        <v>60</v>
      </c>
      <c r="AE246">
        <v>4.3</v>
      </c>
      <c r="AF246">
        <v>4</v>
      </c>
      <c r="AG246">
        <v>6</v>
      </c>
      <c r="AH246" s="1">
        <v>42095</v>
      </c>
      <c r="AI246">
        <v>8</v>
      </c>
      <c r="AJ246">
        <v>30</v>
      </c>
      <c r="AK246">
        <v>3</v>
      </c>
      <c r="AL246">
        <v>5</v>
      </c>
      <c r="AM246">
        <f>IF(Cleaned_Data[[#This Row],[DateofTermination]]="","",YEAR(Cleaned_Data[[#This Row],[DateofTermination]]))</f>
        <v>2015</v>
      </c>
      <c r="AN246">
        <v>1</v>
      </c>
    </row>
    <row r="247" spans="1:40" x14ac:dyDescent="0.35">
      <c r="A247" t="s">
        <v>419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100</v>
      </c>
      <c r="N247" t="s">
        <v>42</v>
      </c>
      <c r="O247">
        <v>2132</v>
      </c>
      <c r="P247" s="1">
        <v>28577</v>
      </c>
      <c r="Q247" t="s">
        <v>43</v>
      </c>
      <c r="R247" t="s">
        <v>75</v>
      </c>
      <c r="S247" t="s">
        <v>63</v>
      </c>
      <c r="T247" t="s">
        <v>46</v>
      </c>
      <c r="U247" t="s">
        <v>47</v>
      </c>
      <c r="V247" t="s">
        <v>48</v>
      </c>
      <c r="W247" s="1">
        <v>41040</v>
      </c>
      <c r="X247" s="1"/>
      <c r="Y247" t="s">
        <v>49</v>
      </c>
      <c r="Z247" t="s">
        <v>50</v>
      </c>
      <c r="AA247" t="s">
        <v>101</v>
      </c>
      <c r="AB247" t="s">
        <v>102</v>
      </c>
      <c r="AC247" t="s">
        <v>67</v>
      </c>
      <c r="AD247" t="s">
        <v>60</v>
      </c>
      <c r="AE247">
        <v>4.2</v>
      </c>
      <c r="AF247">
        <v>3</v>
      </c>
      <c r="AG247">
        <v>6</v>
      </c>
      <c r="AH247" s="1">
        <v>43509</v>
      </c>
      <c r="AI247">
        <v>2</v>
      </c>
      <c r="AJ247">
        <v>42</v>
      </c>
      <c r="AK247">
        <v>8</v>
      </c>
      <c r="AL247">
        <v>10</v>
      </c>
      <c r="AM247" t="str">
        <f>IF(Cleaned_Data[[#This Row],[DateofTermination]]="","",YEAR(Cleaned_Data[[#This Row],[DateofTermination]]))</f>
        <v/>
      </c>
      <c r="AN247">
        <v>1</v>
      </c>
    </row>
    <row r="248" spans="1:40" x14ac:dyDescent="0.35">
      <c r="A248" t="s">
        <v>420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41</v>
      </c>
      <c r="N248" t="s">
        <v>42</v>
      </c>
      <c r="O248">
        <v>1801</v>
      </c>
      <c r="P248" s="1">
        <v>25065</v>
      </c>
      <c r="Q248" t="s">
        <v>43</v>
      </c>
      <c r="R248" t="s">
        <v>75</v>
      </c>
      <c r="S248" t="s">
        <v>45</v>
      </c>
      <c r="T248" t="s">
        <v>46</v>
      </c>
      <c r="U248" t="s">
        <v>47</v>
      </c>
      <c r="V248" t="s">
        <v>71</v>
      </c>
      <c r="W248" s="1">
        <v>42467</v>
      </c>
      <c r="X248" s="1"/>
      <c r="Y248" t="s">
        <v>49</v>
      </c>
      <c r="Z248" t="s">
        <v>50</v>
      </c>
      <c r="AA248" t="s">
        <v>51</v>
      </c>
      <c r="AB248" t="s">
        <v>117</v>
      </c>
      <c r="AC248" t="s">
        <v>72</v>
      </c>
      <c r="AD248" t="s">
        <v>124</v>
      </c>
      <c r="AE248">
        <v>2.6</v>
      </c>
      <c r="AF248">
        <v>4</v>
      </c>
      <c r="AG248">
        <v>0</v>
      </c>
      <c r="AH248" s="1">
        <v>43514</v>
      </c>
      <c r="AI248">
        <v>4</v>
      </c>
      <c r="AJ248">
        <v>51</v>
      </c>
      <c r="AK248">
        <v>4</v>
      </c>
      <c r="AL248">
        <v>18</v>
      </c>
      <c r="AM248" t="str">
        <f>IF(Cleaned_Data[[#This Row],[DateofTermination]]="","",YEAR(Cleaned_Data[[#This Row],[DateofTermination]]))</f>
        <v/>
      </c>
      <c r="AN248">
        <v>1</v>
      </c>
    </row>
    <row r="249" spans="1:40" x14ac:dyDescent="0.35">
      <c r="A249" t="s">
        <v>421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41</v>
      </c>
      <c r="N249" t="s">
        <v>42</v>
      </c>
      <c r="O249">
        <v>2148</v>
      </c>
      <c r="P249" s="1">
        <v>32074</v>
      </c>
      <c r="Q249" t="s">
        <v>43</v>
      </c>
      <c r="R249" t="s">
        <v>44</v>
      </c>
      <c r="S249" t="s">
        <v>45</v>
      </c>
      <c r="T249" t="s">
        <v>46</v>
      </c>
      <c r="U249" t="s">
        <v>47</v>
      </c>
      <c r="V249" t="s">
        <v>48</v>
      </c>
      <c r="W249" s="1">
        <v>39934</v>
      </c>
      <c r="X249" s="1">
        <v>43311</v>
      </c>
      <c r="Y249" t="s">
        <v>168</v>
      </c>
      <c r="Z249" t="s">
        <v>58</v>
      </c>
      <c r="AA249" t="s">
        <v>51</v>
      </c>
      <c r="AB249" t="s">
        <v>52</v>
      </c>
      <c r="AC249" t="s">
        <v>79</v>
      </c>
      <c r="AD249" t="s">
        <v>60</v>
      </c>
      <c r="AE249">
        <v>4.5999999999999996</v>
      </c>
      <c r="AF249">
        <v>5</v>
      </c>
      <c r="AG249">
        <v>0</v>
      </c>
      <c r="AH249" s="1">
        <v>43222</v>
      </c>
      <c r="AI249">
        <v>7</v>
      </c>
      <c r="AJ249">
        <v>31</v>
      </c>
      <c r="AK249">
        <v>9</v>
      </c>
      <c r="AL249">
        <v>22</v>
      </c>
      <c r="AM249">
        <f>IF(Cleaned_Data[[#This Row],[DateofTermination]]="","",YEAR(Cleaned_Data[[#This Row],[DateofTermination]]))</f>
        <v>2018</v>
      </c>
      <c r="AN249">
        <v>1</v>
      </c>
    </row>
    <row r="250" spans="1:40" x14ac:dyDescent="0.35">
      <c r="A250" t="s">
        <v>422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81</v>
      </c>
      <c r="N250" t="s">
        <v>42</v>
      </c>
      <c r="O250">
        <v>2062</v>
      </c>
      <c r="P250" s="1">
        <v>19503</v>
      </c>
      <c r="Q250" t="s">
        <v>85</v>
      </c>
      <c r="R250" t="s">
        <v>44</v>
      </c>
      <c r="S250" t="s">
        <v>63</v>
      </c>
      <c r="T250" t="s">
        <v>46</v>
      </c>
      <c r="U250" t="s">
        <v>47</v>
      </c>
      <c r="V250" t="s">
        <v>48</v>
      </c>
      <c r="W250" s="1">
        <v>40420</v>
      </c>
      <c r="X250" s="1"/>
      <c r="Y250" t="s">
        <v>49</v>
      </c>
      <c r="Z250" t="s">
        <v>50</v>
      </c>
      <c r="AA250" t="s">
        <v>51</v>
      </c>
      <c r="AB250" t="s">
        <v>117</v>
      </c>
      <c r="AC250" t="s">
        <v>123</v>
      </c>
      <c r="AD250" t="s">
        <v>60</v>
      </c>
      <c r="AE250">
        <v>4.0999999999999996</v>
      </c>
      <c r="AF250">
        <v>3</v>
      </c>
      <c r="AG250">
        <v>0</v>
      </c>
      <c r="AH250" s="1">
        <v>43739</v>
      </c>
      <c r="AI250">
        <v>13</v>
      </c>
      <c r="AJ250">
        <v>67</v>
      </c>
      <c r="AK250">
        <v>9</v>
      </c>
      <c r="AL250">
        <v>18</v>
      </c>
      <c r="AM250" t="str">
        <f>IF(Cleaned_Data[[#This Row],[DateofTermination]]="","",YEAR(Cleaned_Data[[#This Row],[DateofTermination]]))</f>
        <v/>
      </c>
      <c r="AN250">
        <v>1</v>
      </c>
    </row>
    <row r="251" spans="1:40" x14ac:dyDescent="0.35">
      <c r="A251" t="s">
        <v>423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69</v>
      </c>
      <c r="N251" t="s">
        <v>42</v>
      </c>
      <c r="O251">
        <v>2452</v>
      </c>
      <c r="P251" s="1">
        <v>27653</v>
      </c>
      <c r="Q251" t="s">
        <v>43</v>
      </c>
      <c r="R251" t="s">
        <v>44</v>
      </c>
      <c r="S251" t="s">
        <v>56</v>
      </c>
      <c r="T251" t="s">
        <v>46</v>
      </c>
      <c r="U251" t="s">
        <v>47</v>
      </c>
      <c r="V251" t="s">
        <v>71</v>
      </c>
      <c r="W251" s="1">
        <v>42125</v>
      </c>
      <c r="X251" s="1">
        <v>42308</v>
      </c>
      <c r="Y251" t="s">
        <v>82</v>
      </c>
      <c r="Z251" t="s">
        <v>58</v>
      </c>
      <c r="AA251" t="s">
        <v>65</v>
      </c>
      <c r="AB251" t="s">
        <v>66</v>
      </c>
      <c r="AC251" t="s">
        <v>53</v>
      </c>
      <c r="AD251" t="s">
        <v>60</v>
      </c>
      <c r="AE251">
        <v>4.2</v>
      </c>
      <c r="AF251">
        <v>3</v>
      </c>
      <c r="AG251">
        <v>5</v>
      </c>
      <c r="AH251" s="1">
        <v>42114</v>
      </c>
      <c r="AI251">
        <v>2</v>
      </c>
      <c r="AJ251">
        <v>40</v>
      </c>
      <c r="AK251">
        <v>1</v>
      </c>
      <c r="AL251">
        <v>4</v>
      </c>
      <c r="AM251">
        <f>IF(Cleaned_Data[[#This Row],[DateofTermination]]="","",YEAR(Cleaned_Data[[#This Row],[DateofTermination]]))</f>
        <v>2015</v>
      </c>
      <c r="AN251">
        <v>1</v>
      </c>
    </row>
    <row r="252" spans="1:40" x14ac:dyDescent="0.35">
      <c r="A252" t="s">
        <v>424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41</v>
      </c>
      <c r="N252" t="s">
        <v>42</v>
      </c>
      <c r="O252">
        <v>2154</v>
      </c>
      <c r="P252" s="1">
        <v>24851</v>
      </c>
      <c r="Q252" t="s">
        <v>43</v>
      </c>
      <c r="R252" t="s">
        <v>75</v>
      </c>
      <c r="S252" t="s">
        <v>63</v>
      </c>
      <c r="T252" t="s">
        <v>46</v>
      </c>
      <c r="U252" t="s">
        <v>47</v>
      </c>
      <c r="V252" t="s">
        <v>71</v>
      </c>
      <c r="W252" s="1">
        <v>41547</v>
      </c>
      <c r="X252" s="1"/>
      <c r="Y252" t="s">
        <v>49</v>
      </c>
      <c r="Z252" t="s">
        <v>50</v>
      </c>
      <c r="AA252" t="s">
        <v>51</v>
      </c>
      <c r="AB252" t="s">
        <v>88</v>
      </c>
      <c r="AC252" t="s">
        <v>53</v>
      </c>
      <c r="AD252" t="s">
        <v>60</v>
      </c>
      <c r="AE252">
        <v>3.51</v>
      </c>
      <c r="AF252">
        <v>3</v>
      </c>
      <c r="AG252">
        <v>0</v>
      </c>
      <c r="AH252" s="1">
        <v>43514</v>
      </c>
      <c r="AI252">
        <v>2</v>
      </c>
      <c r="AJ252">
        <v>52</v>
      </c>
      <c r="AK252">
        <v>6</v>
      </c>
      <c r="AL252">
        <v>16</v>
      </c>
      <c r="AM252" t="str">
        <f>IF(Cleaned_Data[[#This Row],[DateofTermination]]="","",YEAR(Cleaned_Data[[#This Row],[DateofTermination]]))</f>
        <v/>
      </c>
      <c r="AN252">
        <v>1</v>
      </c>
    </row>
    <row r="253" spans="1:40" x14ac:dyDescent="0.35">
      <c r="A253" t="s">
        <v>425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41</v>
      </c>
      <c r="N253" t="s">
        <v>42</v>
      </c>
      <c r="O253">
        <v>2191</v>
      </c>
      <c r="P253" s="1">
        <v>30452</v>
      </c>
      <c r="Q253" t="s">
        <v>43</v>
      </c>
      <c r="R253" t="s">
        <v>75</v>
      </c>
      <c r="S253" t="s">
        <v>45</v>
      </c>
      <c r="T253" t="s">
        <v>46</v>
      </c>
      <c r="U253" t="s">
        <v>47</v>
      </c>
      <c r="V253" t="s">
        <v>95</v>
      </c>
      <c r="W253" s="1">
        <v>41547</v>
      </c>
      <c r="X253" s="1"/>
      <c r="Y253" t="s">
        <v>49</v>
      </c>
      <c r="Z253" t="s">
        <v>50</v>
      </c>
      <c r="AA253" t="s">
        <v>51</v>
      </c>
      <c r="AB253" t="s">
        <v>93</v>
      </c>
      <c r="AC253" t="s">
        <v>79</v>
      </c>
      <c r="AD253" t="s">
        <v>60</v>
      </c>
      <c r="AE253">
        <v>5</v>
      </c>
      <c r="AF253">
        <v>5</v>
      </c>
      <c r="AG253">
        <v>0</v>
      </c>
      <c r="AH253" s="1">
        <v>43618</v>
      </c>
      <c r="AI253">
        <v>14</v>
      </c>
      <c r="AJ253">
        <v>37</v>
      </c>
      <c r="AK253">
        <v>6</v>
      </c>
      <c r="AL253">
        <v>39</v>
      </c>
      <c r="AM253" t="str">
        <f>IF(Cleaned_Data[[#This Row],[DateofTermination]]="","",YEAR(Cleaned_Data[[#This Row],[DateofTermination]]))</f>
        <v/>
      </c>
      <c r="AN253">
        <v>1</v>
      </c>
    </row>
    <row r="254" spans="1:40" x14ac:dyDescent="0.35">
      <c r="A254" t="s">
        <v>426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231</v>
      </c>
      <c r="N254" t="s">
        <v>42</v>
      </c>
      <c r="O254">
        <v>1773</v>
      </c>
      <c r="P254" s="1">
        <v>30481</v>
      </c>
      <c r="Q254" t="s">
        <v>43</v>
      </c>
      <c r="R254" t="s">
        <v>75</v>
      </c>
      <c r="S254" t="s">
        <v>63</v>
      </c>
      <c r="T254" t="s">
        <v>46</v>
      </c>
      <c r="U254" t="s">
        <v>47</v>
      </c>
      <c r="V254" t="s">
        <v>48</v>
      </c>
      <c r="W254" s="1">
        <v>41547</v>
      </c>
      <c r="X254" s="1"/>
      <c r="Y254" t="s">
        <v>49</v>
      </c>
      <c r="Z254" t="s">
        <v>50</v>
      </c>
      <c r="AA254" t="s">
        <v>65</v>
      </c>
      <c r="AB254" t="s">
        <v>112</v>
      </c>
      <c r="AC254" t="s">
        <v>53</v>
      </c>
      <c r="AD254" t="s">
        <v>60</v>
      </c>
      <c r="AE254">
        <v>3.31</v>
      </c>
      <c r="AF254">
        <v>3</v>
      </c>
      <c r="AG254">
        <v>6</v>
      </c>
      <c r="AH254" s="1">
        <v>43647</v>
      </c>
      <c r="AI254">
        <v>7</v>
      </c>
      <c r="AJ254">
        <v>37</v>
      </c>
      <c r="AK254">
        <v>6</v>
      </c>
      <c r="AL254">
        <v>7</v>
      </c>
      <c r="AM254" t="str">
        <f>IF(Cleaned_Data[[#This Row],[DateofTermination]]="","",YEAR(Cleaned_Data[[#This Row],[DateofTermination]]))</f>
        <v/>
      </c>
      <c r="AN254">
        <v>1</v>
      </c>
    </row>
    <row r="255" spans="1:40" x14ac:dyDescent="0.35">
      <c r="A255" t="s">
        <v>427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41</v>
      </c>
      <c r="N255" t="s">
        <v>42</v>
      </c>
      <c r="O255">
        <v>2149</v>
      </c>
      <c r="P255" s="1">
        <v>31121</v>
      </c>
      <c r="Q255" t="s">
        <v>43</v>
      </c>
      <c r="R255" t="s">
        <v>75</v>
      </c>
      <c r="S255" t="s">
        <v>63</v>
      </c>
      <c r="T255" t="s">
        <v>46</v>
      </c>
      <c r="U255" t="s">
        <v>47</v>
      </c>
      <c r="V255" t="s">
        <v>48</v>
      </c>
      <c r="W255" s="1">
        <v>41505</v>
      </c>
      <c r="X255" s="1"/>
      <c r="Y255" t="s">
        <v>49</v>
      </c>
      <c r="Z255" t="s">
        <v>50</v>
      </c>
      <c r="AA255" t="s">
        <v>51</v>
      </c>
      <c r="AB255" t="s">
        <v>97</v>
      </c>
      <c r="AC255" t="s">
        <v>53</v>
      </c>
      <c r="AD255" t="s">
        <v>60</v>
      </c>
      <c r="AE255">
        <v>4.8099999999999996</v>
      </c>
      <c r="AF255">
        <v>4</v>
      </c>
      <c r="AG255">
        <v>0</v>
      </c>
      <c r="AH255" s="1">
        <v>43511</v>
      </c>
      <c r="AI255">
        <v>15</v>
      </c>
      <c r="AJ255">
        <v>35</v>
      </c>
      <c r="AK255">
        <v>6</v>
      </c>
      <c r="AL255">
        <v>11</v>
      </c>
      <c r="AM255" t="str">
        <f>IF(Cleaned_Data[[#This Row],[DateofTermination]]="","",YEAR(Cleaned_Data[[#This Row],[DateofTermination]]))</f>
        <v/>
      </c>
      <c r="AN255">
        <v>1</v>
      </c>
    </row>
    <row r="256" spans="1:40" x14ac:dyDescent="0.35">
      <c r="A256" t="s">
        <v>428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69</v>
      </c>
      <c r="N256" t="s">
        <v>42</v>
      </c>
      <c r="O256">
        <v>2110</v>
      </c>
      <c r="P256" s="1">
        <v>25293</v>
      </c>
      <c r="Q256" t="s">
        <v>43</v>
      </c>
      <c r="R256" t="s">
        <v>44</v>
      </c>
      <c r="S256" t="s">
        <v>63</v>
      </c>
      <c r="T256" t="s">
        <v>46</v>
      </c>
      <c r="U256" t="s">
        <v>76</v>
      </c>
      <c r="V256" t="s">
        <v>48</v>
      </c>
      <c r="W256" s="1">
        <v>42125</v>
      </c>
      <c r="X256" s="1"/>
      <c r="Y256" t="s">
        <v>49</v>
      </c>
      <c r="Z256" t="s">
        <v>50</v>
      </c>
      <c r="AA256" t="s">
        <v>65</v>
      </c>
      <c r="AB256" t="s">
        <v>66</v>
      </c>
      <c r="AC256" t="s">
        <v>106</v>
      </c>
      <c r="AD256" t="s">
        <v>60</v>
      </c>
      <c r="AE256">
        <v>3.32</v>
      </c>
      <c r="AF256">
        <v>3</v>
      </c>
      <c r="AG256">
        <v>7</v>
      </c>
      <c r="AH256" s="1">
        <v>43479</v>
      </c>
      <c r="AI256">
        <v>16</v>
      </c>
      <c r="AJ256">
        <v>51</v>
      </c>
      <c r="AK256">
        <v>5</v>
      </c>
      <c r="AL256">
        <v>4</v>
      </c>
      <c r="AM256" t="str">
        <f>IF(Cleaned_Data[[#This Row],[DateofTermination]]="","",YEAR(Cleaned_Data[[#This Row],[DateofTermination]]))</f>
        <v/>
      </c>
      <c r="AN256">
        <v>1</v>
      </c>
    </row>
    <row r="257" spans="1:40" x14ac:dyDescent="0.35">
      <c r="A257" t="s">
        <v>429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285</v>
      </c>
      <c r="N257" t="s">
        <v>42</v>
      </c>
      <c r="O257">
        <v>2330</v>
      </c>
      <c r="P257" s="1">
        <v>33381</v>
      </c>
      <c r="Q257" t="s">
        <v>43</v>
      </c>
      <c r="R257" t="s">
        <v>75</v>
      </c>
      <c r="S257" t="s">
        <v>45</v>
      </c>
      <c r="T257" t="s">
        <v>46</v>
      </c>
      <c r="U257" t="s">
        <v>47</v>
      </c>
      <c r="V257" t="s">
        <v>48</v>
      </c>
      <c r="W257" s="1">
        <v>42009</v>
      </c>
      <c r="X257" s="1"/>
      <c r="Y257" t="s">
        <v>49</v>
      </c>
      <c r="Z257" t="s">
        <v>50</v>
      </c>
      <c r="AA257" t="s">
        <v>132</v>
      </c>
      <c r="AB257" t="s">
        <v>133</v>
      </c>
      <c r="AC257" t="s">
        <v>207</v>
      </c>
      <c r="AD257" t="s">
        <v>60</v>
      </c>
      <c r="AE257">
        <v>5</v>
      </c>
      <c r="AF257">
        <v>3</v>
      </c>
      <c r="AG257">
        <v>5</v>
      </c>
      <c r="AH257" s="1">
        <v>43480</v>
      </c>
      <c r="AI257">
        <v>2</v>
      </c>
      <c r="AJ257">
        <v>29</v>
      </c>
      <c r="AK257">
        <v>5</v>
      </c>
      <c r="AL257">
        <v>1</v>
      </c>
      <c r="AM257" t="str">
        <f>IF(Cleaned_Data[[#This Row],[DateofTermination]]="","",YEAR(Cleaned_Data[[#This Row],[DateofTermination]]))</f>
        <v/>
      </c>
      <c r="AN257">
        <v>1</v>
      </c>
    </row>
    <row r="258" spans="1:40" x14ac:dyDescent="0.35">
      <c r="A258" t="s">
        <v>430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81</v>
      </c>
      <c r="N258" t="s">
        <v>42</v>
      </c>
      <c r="O258">
        <v>1851</v>
      </c>
      <c r="P258" s="1">
        <v>31808</v>
      </c>
      <c r="Q258" t="s">
        <v>43</v>
      </c>
      <c r="R258" t="s">
        <v>75</v>
      </c>
      <c r="S258" t="s">
        <v>45</v>
      </c>
      <c r="T258" t="s">
        <v>46</v>
      </c>
      <c r="U258" t="s">
        <v>47</v>
      </c>
      <c r="V258" t="s">
        <v>48</v>
      </c>
      <c r="W258" s="1">
        <v>40112</v>
      </c>
      <c r="X258" s="1">
        <v>42220</v>
      </c>
      <c r="Y258" t="s">
        <v>302</v>
      </c>
      <c r="Z258" t="s">
        <v>58</v>
      </c>
      <c r="AA258" t="s">
        <v>51</v>
      </c>
      <c r="AB258" t="s">
        <v>52</v>
      </c>
      <c r="AC258" t="s">
        <v>123</v>
      </c>
      <c r="AD258" t="s">
        <v>60</v>
      </c>
      <c r="AE258">
        <v>4.68</v>
      </c>
      <c r="AF258">
        <v>4</v>
      </c>
      <c r="AG258">
        <v>0</v>
      </c>
      <c r="AH258" s="1">
        <v>42039</v>
      </c>
      <c r="AI258">
        <v>20</v>
      </c>
      <c r="AJ258">
        <v>29</v>
      </c>
      <c r="AK258">
        <v>6</v>
      </c>
      <c r="AL258">
        <v>22</v>
      </c>
      <c r="AM258">
        <f>IF(Cleaned_Data[[#This Row],[DateofTermination]]="","",YEAR(Cleaned_Data[[#This Row],[DateofTermination]]))</f>
        <v>2015</v>
      </c>
      <c r="AN258">
        <v>1</v>
      </c>
    </row>
    <row r="259" spans="1:40" x14ac:dyDescent="0.35">
      <c r="A259" t="s">
        <v>431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81</v>
      </c>
      <c r="N259" t="s">
        <v>42</v>
      </c>
      <c r="O259">
        <v>2045</v>
      </c>
      <c r="P259" s="1">
        <v>20407</v>
      </c>
      <c r="Q259" t="s">
        <v>85</v>
      </c>
      <c r="R259" t="s">
        <v>44</v>
      </c>
      <c r="S259" t="s">
        <v>45</v>
      </c>
      <c r="T259" t="s">
        <v>46</v>
      </c>
      <c r="U259" t="s">
        <v>47</v>
      </c>
      <c r="V259" t="s">
        <v>48</v>
      </c>
      <c r="W259" s="1">
        <v>41911</v>
      </c>
      <c r="X259" s="1"/>
      <c r="Y259" t="s">
        <v>49</v>
      </c>
      <c r="Z259" t="s">
        <v>50</v>
      </c>
      <c r="AA259" t="s">
        <v>51</v>
      </c>
      <c r="AB259" t="s">
        <v>88</v>
      </c>
      <c r="AC259" t="s">
        <v>67</v>
      </c>
      <c r="AD259" t="s">
        <v>54</v>
      </c>
      <c r="AE259">
        <v>4.3</v>
      </c>
      <c r="AF259">
        <v>3</v>
      </c>
      <c r="AG259">
        <v>0</v>
      </c>
      <c r="AH259" s="1">
        <v>43493</v>
      </c>
      <c r="AI259">
        <v>4</v>
      </c>
      <c r="AJ259">
        <v>64</v>
      </c>
      <c r="AK259">
        <v>5</v>
      </c>
      <c r="AL259">
        <v>16</v>
      </c>
      <c r="AM259" t="str">
        <f>IF(Cleaned_Data[[#This Row],[DateofTermination]]="","",YEAR(Cleaned_Data[[#This Row],[DateofTermination]]))</f>
        <v/>
      </c>
      <c r="AN259">
        <v>1</v>
      </c>
    </row>
    <row r="260" spans="1:40" x14ac:dyDescent="0.35">
      <c r="A260" t="s">
        <v>432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187</v>
      </c>
      <c r="N260" t="s">
        <v>42</v>
      </c>
      <c r="O260">
        <v>1886</v>
      </c>
      <c r="P260" s="1">
        <v>31921</v>
      </c>
      <c r="Q260" t="s">
        <v>43</v>
      </c>
      <c r="R260" t="s">
        <v>44</v>
      </c>
      <c r="S260" t="s">
        <v>56</v>
      </c>
      <c r="T260" t="s">
        <v>46</v>
      </c>
      <c r="U260" t="s">
        <v>47</v>
      </c>
      <c r="V260" t="s">
        <v>71</v>
      </c>
      <c r="W260" s="1">
        <v>41777</v>
      </c>
      <c r="X260" s="1"/>
      <c r="Y260" t="s">
        <v>49</v>
      </c>
      <c r="Z260" t="s">
        <v>50</v>
      </c>
      <c r="AA260" t="s">
        <v>147</v>
      </c>
      <c r="AB260" t="s">
        <v>188</v>
      </c>
      <c r="AC260" t="s">
        <v>72</v>
      </c>
      <c r="AD260" t="s">
        <v>124</v>
      </c>
      <c r="AE260">
        <v>2.4</v>
      </c>
      <c r="AF260">
        <v>4</v>
      </c>
      <c r="AG260">
        <v>0</v>
      </c>
      <c r="AH260" s="1">
        <v>43481</v>
      </c>
      <c r="AI260">
        <v>16</v>
      </c>
      <c r="AJ260">
        <v>33</v>
      </c>
      <c r="AK260">
        <v>6</v>
      </c>
      <c r="AL260">
        <v>15</v>
      </c>
      <c r="AM260" t="str">
        <f>IF(Cleaned_Data[[#This Row],[DateofTermination]]="","",YEAR(Cleaned_Data[[#This Row],[DateofTermination]]))</f>
        <v/>
      </c>
      <c r="AN260">
        <v>1</v>
      </c>
    </row>
    <row r="261" spans="1:40" x14ac:dyDescent="0.35">
      <c r="A261" t="s">
        <v>433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285</v>
      </c>
      <c r="N261" t="s">
        <v>42</v>
      </c>
      <c r="O261">
        <v>1844</v>
      </c>
      <c r="P261" s="1">
        <v>30527</v>
      </c>
      <c r="Q261" t="s">
        <v>43</v>
      </c>
      <c r="R261" t="s">
        <v>75</v>
      </c>
      <c r="S261" t="s">
        <v>63</v>
      </c>
      <c r="T261" t="s">
        <v>46</v>
      </c>
      <c r="U261" t="s">
        <v>47</v>
      </c>
      <c r="V261" t="s">
        <v>71</v>
      </c>
      <c r="W261" s="1">
        <v>40812</v>
      </c>
      <c r="X261" s="1">
        <v>41542</v>
      </c>
      <c r="Y261" t="s">
        <v>64</v>
      </c>
      <c r="Z261" t="s">
        <v>58</v>
      </c>
      <c r="AA261" t="s">
        <v>132</v>
      </c>
      <c r="AB261" t="s">
        <v>133</v>
      </c>
      <c r="AC261" t="s">
        <v>72</v>
      </c>
      <c r="AD261" t="s">
        <v>60</v>
      </c>
      <c r="AE261">
        <v>3.8</v>
      </c>
      <c r="AF261">
        <v>4</v>
      </c>
      <c r="AG261">
        <v>4</v>
      </c>
      <c r="AH261" s="1">
        <v>41501</v>
      </c>
      <c r="AI261">
        <v>17</v>
      </c>
      <c r="AJ261">
        <v>30</v>
      </c>
      <c r="AK261">
        <v>2</v>
      </c>
      <c r="AL261">
        <v>1</v>
      </c>
      <c r="AM261">
        <f>IF(Cleaned_Data[[#This Row],[DateofTermination]]="","",YEAR(Cleaned_Data[[#This Row],[DateofTermination]]))</f>
        <v>2013</v>
      </c>
      <c r="AN261">
        <v>1</v>
      </c>
    </row>
    <row r="262" spans="1:40" x14ac:dyDescent="0.35">
      <c r="A262" t="s">
        <v>434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41</v>
      </c>
      <c r="N262" t="s">
        <v>42</v>
      </c>
      <c r="O262">
        <v>2130</v>
      </c>
      <c r="P262" s="1">
        <v>31157</v>
      </c>
      <c r="Q262" t="s">
        <v>43</v>
      </c>
      <c r="R262" t="s">
        <v>75</v>
      </c>
      <c r="S262" t="s">
        <v>45</v>
      </c>
      <c r="T262" t="s">
        <v>46</v>
      </c>
      <c r="U262" t="s">
        <v>47</v>
      </c>
      <c r="V262" t="s">
        <v>48</v>
      </c>
      <c r="W262" s="1">
        <v>41589</v>
      </c>
      <c r="X262" s="1"/>
      <c r="Y262" t="s">
        <v>49</v>
      </c>
      <c r="Z262" t="s">
        <v>50</v>
      </c>
      <c r="AA262" t="s">
        <v>51</v>
      </c>
      <c r="AB262" t="s">
        <v>105</v>
      </c>
      <c r="AC262" t="s">
        <v>106</v>
      </c>
      <c r="AD262" t="s">
        <v>60</v>
      </c>
      <c r="AE262">
        <v>3.73</v>
      </c>
      <c r="AF262">
        <v>3</v>
      </c>
      <c r="AG262">
        <v>0</v>
      </c>
      <c r="AH262" s="1">
        <v>43489</v>
      </c>
      <c r="AI262">
        <v>16</v>
      </c>
      <c r="AJ262">
        <v>35</v>
      </c>
      <c r="AK262">
        <v>6</v>
      </c>
      <c r="AL262">
        <v>19</v>
      </c>
      <c r="AM262" t="str">
        <f>IF(Cleaned_Data[[#This Row],[DateofTermination]]="","",YEAR(Cleaned_Data[[#This Row],[DateofTermination]]))</f>
        <v/>
      </c>
      <c r="AN262">
        <v>1</v>
      </c>
    </row>
    <row r="263" spans="1:40" x14ac:dyDescent="0.35">
      <c r="A263" t="s">
        <v>435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111</v>
      </c>
      <c r="N263" t="s">
        <v>42</v>
      </c>
      <c r="O263">
        <v>2360</v>
      </c>
      <c r="P263" s="1">
        <v>25293</v>
      </c>
      <c r="Q263" t="s">
        <v>43</v>
      </c>
      <c r="R263" t="s">
        <v>75</v>
      </c>
      <c r="S263" t="s">
        <v>63</v>
      </c>
      <c r="T263" t="s">
        <v>46</v>
      </c>
      <c r="U263" t="s">
        <v>47</v>
      </c>
      <c r="V263" t="s">
        <v>71</v>
      </c>
      <c r="W263" s="1">
        <v>40822</v>
      </c>
      <c r="X263" s="1"/>
      <c r="Y263" t="s">
        <v>49</v>
      </c>
      <c r="Z263" t="s">
        <v>50</v>
      </c>
      <c r="AA263" t="s">
        <v>65</v>
      </c>
      <c r="AB263" t="s">
        <v>172</v>
      </c>
      <c r="AC263" t="s">
        <v>53</v>
      </c>
      <c r="AD263" t="s">
        <v>60</v>
      </c>
      <c r="AE263">
        <v>4.3</v>
      </c>
      <c r="AF263">
        <v>3</v>
      </c>
      <c r="AG263">
        <v>5</v>
      </c>
      <c r="AH263" s="1">
        <v>43679</v>
      </c>
      <c r="AI263">
        <v>19</v>
      </c>
      <c r="AJ263">
        <v>51</v>
      </c>
      <c r="AK263">
        <v>8</v>
      </c>
      <c r="AL263">
        <v>6</v>
      </c>
      <c r="AM263" t="str">
        <f>IF(Cleaned_Data[[#This Row],[DateofTermination]]="","",YEAR(Cleaned_Data[[#This Row],[DateofTermination]]))</f>
        <v/>
      </c>
      <c r="AN263">
        <v>1</v>
      </c>
    </row>
    <row r="264" spans="1:40" x14ac:dyDescent="0.35">
      <c r="A264" t="s">
        <v>436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185</v>
      </c>
      <c r="N264" t="s">
        <v>42</v>
      </c>
      <c r="O264">
        <v>1545</v>
      </c>
      <c r="P264" s="1">
        <v>28910</v>
      </c>
      <c r="Q264" t="s">
        <v>43</v>
      </c>
      <c r="R264" t="s">
        <v>44</v>
      </c>
      <c r="S264" t="s">
        <v>63</v>
      </c>
      <c r="T264" t="s">
        <v>46</v>
      </c>
      <c r="U264" t="s">
        <v>47</v>
      </c>
      <c r="V264" t="s">
        <v>95</v>
      </c>
      <c r="W264" s="1">
        <v>42551</v>
      </c>
      <c r="X264" s="1"/>
      <c r="Y264" t="s">
        <v>49</v>
      </c>
      <c r="Z264" t="s">
        <v>50</v>
      </c>
      <c r="AA264" t="s">
        <v>65</v>
      </c>
      <c r="AB264" t="s">
        <v>112</v>
      </c>
      <c r="AC264" t="s">
        <v>53</v>
      </c>
      <c r="AD264" t="s">
        <v>60</v>
      </c>
      <c r="AE264">
        <v>3.27</v>
      </c>
      <c r="AF264">
        <v>4</v>
      </c>
      <c r="AG264">
        <v>5</v>
      </c>
      <c r="AH264" s="1">
        <v>43479</v>
      </c>
      <c r="AI264">
        <v>13</v>
      </c>
      <c r="AJ264">
        <v>41</v>
      </c>
      <c r="AK264">
        <v>4</v>
      </c>
      <c r="AL264">
        <v>7</v>
      </c>
      <c r="AM264" t="str">
        <f>IF(Cleaned_Data[[#This Row],[DateofTermination]]="","",YEAR(Cleaned_Data[[#This Row],[DateofTermination]]))</f>
        <v/>
      </c>
      <c r="AN264">
        <v>1</v>
      </c>
    </row>
    <row r="265" spans="1:40" x14ac:dyDescent="0.35">
      <c r="A265" t="s">
        <v>437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41</v>
      </c>
      <c r="N265" t="s">
        <v>42</v>
      </c>
      <c r="O265">
        <v>2093</v>
      </c>
      <c r="P265" s="1">
        <v>28719</v>
      </c>
      <c r="Q265" t="s">
        <v>43</v>
      </c>
      <c r="R265" t="s">
        <v>75</v>
      </c>
      <c r="S265" t="s">
        <v>63</v>
      </c>
      <c r="T265" t="s">
        <v>46</v>
      </c>
      <c r="U265" t="s">
        <v>47</v>
      </c>
      <c r="V265" t="s">
        <v>48</v>
      </c>
      <c r="W265" s="1">
        <v>40959</v>
      </c>
      <c r="X265" s="1"/>
      <c r="Y265" t="s">
        <v>49</v>
      </c>
      <c r="Z265" t="s">
        <v>50</v>
      </c>
      <c r="AA265" t="s">
        <v>51</v>
      </c>
      <c r="AB265" t="s">
        <v>109</v>
      </c>
      <c r="AC265" t="s">
        <v>67</v>
      </c>
      <c r="AD265" t="s">
        <v>197</v>
      </c>
      <c r="AE265">
        <v>2.4</v>
      </c>
      <c r="AF265">
        <v>2</v>
      </c>
      <c r="AG265">
        <v>1</v>
      </c>
      <c r="AH265" s="1">
        <v>43521</v>
      </c>
      <c r="AI265">
        <v>20</v>
      </c>
      <c r="AJ265">
        <v>41</v>
      </c>
      <c r="AK265">
        <v>8</v>
      </c>
      <c r="AL265">
        <v>12</v>
      </c>
      <c r="AM265" t="str">
        <f>IF(Cleaned_Data[[#This Row],[DateofTermination]]="","",YEAR(Cleaned_Data[[#This Row],[DateofTermination]]))</f>
        <v/>
      </c>
      <c r="AN265">
        <v>1</v>
      </c>
    </row>
    <row r="266" spans="1:40" x14ac:dyDescent="0.35">
      <c r="A266" t="s">
        <v>438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135</v>
      </c>
      <c r="N266" t="s">
        <v>42</v>
      </c>
      <c r="O266">
        <v>2451</v>
      </c>
      <c r="P266" s="1">
        <v>27667</v>
      </c>
      <c r="Q266" t="s">
        <v>43</v>
      </c>
      <c r="R266" t="s">
        <v>75</v>
      </c>
      <c r="S266" t="s">
        <v>63</v>
      </c>
      <c r="T266" t="s">
        <v>46</v>
      </c>
      <c r="U266" t="s">
        <v>47</v>
      </c>
      <c r="V266" t="s">
        <v>48</v>
      </c>
      <c r="W266" s="1">
        <v>40949</v>
      </c>
      <c r="X266" s="1"/>
      <c r="Y266" t="s">
        <v>49</v>
      </c>
      <c r="Z266" t="s">
        <v>50</v>
      </c>
      <c r="AA266" t="s">
        <v>51</v>
      </c>
      <c r="AB266" t="s">
        <v>137</v>
      </c>
      <c r="AC266" t="s">
        <v>53</v>
      </c>
      <c r="AD266" t="s">
        <v>60</v>
      </c>
      <c r="AE266">
        <v>4.83</v>
      </c>
      <c r="AF266">
        <v>5</v>
      </c>
      <c r="AG266">
        <v>0</v>
      </c>
      <c r="AH266" s="1">
        <v>43510</v>
      </c>
      <c r="AI266">
        <v>15</v>
      </c>
      <c r="AJ266">
        <v>44</v>
      </c>
      <c r="AK266">
        <v>8</v>
      </c>
      <c r="AL266">
        <v>2</v>
      </c>
      <c r="AM266" t="str">
        <f>IF(Cleaned_Data[[#This Row],[DateofTermination]]="","",YEAR(Cleaned_Data[[#This Row],[DateofTermination]]))</f>
        <v/>
      </c>
      <c r="AN266">
        <v>1</v>
      </c>
    </row>
    <row r="267" spans="1:40" x14ac:dyDescent="0.35">
      <c r="A267" t="s">
        <v>439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41</v>
      </c>
      <c r="N267" t="s">
        <v>42</v>
      </c>
      <c r="O267">
        <v>2359</v>
      </c>
      <c r="P267" s="1">
        <v>26749</v>
      </c>
      <c r="Q267" t="s">
        <v>43</v>
      </c>
      <c r="R267" t="s">
        <v>75</v>
      </c>
      <c r="S267" t="s">
        <v>56</v>
      </c>
      <c r="T267" t="s">
        <v>46</v>
      </c>
      <c r="U267" t="s">
        <v>47</v>
      </c>
      <c r="V267" t="s">
        <v>48</v>
      </c>
      <c r="W267" s="1">
        <v>40676</v>
      </c>
      <c r="X267" s="1">
        <v>42184</v>
      </c>
      <c r="Y267" t="s">
        <v>86</v>
      </c>
      <c r="Z267" t="s">
        <v>58</v>
      </c>
      <c r="AA267" t="s">
        <v>51</v>
      </c>
      <c r="AB267" t="s">
        <v>114</v>
      </c>
      <c r="AC267" t="s">
        <v>53</v>
      </c>
      <c r="AD267" t="s">
        <v>54</v>
      </c>
      <c r="AE267">
        <v>4.0999999999999996</v>
      </c>
      <c r="AF267">
        <v>4</v>
      </c>
      <c r="AG267">
        <v>0</v>
      </c>
      <c r="AH267" s="1">
        <v>42038</v>
      </c>
      <c r="AI267">
        <v>16</v>
      </c>
      <c r="AJ267">
        <v>42</v>
      </c>
      <c r="AK267">
        <v>4</v>
      </c>
      <c r="AL267">
        <v>14</v>
      </c>
      <c r="AM267">
        <f>IF(Cleaned_Data[[#This Row],[DateofTermination]]="","",YEAR(Cleaned_Data[[#This Row],[DateofTermination]]))</f>
        <v>2015</v>
      </c>
      <c r="AN267">
        <v>1</v>
      </c>
    </row>
    <row r="268" spans="1:40" x14ac:dyDescent="0.35">
      <c r="A268" t="s">
        <v>440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41</v>
      </c>
      <c r="N268" t="s">
        <v>42</v>
      </c>
      <c r="O268">
        <v>2050</v>
      </c>
      <c r="P268" s="1">
        <v>30188</v>
      </c>
      <c r="Q268" t="s">
        <v>43</v>
      </c>
      <c r="R268" t="s">
        <v>75</v>
      </c>
      <c r="S268" t="s">
        <v>56</v>
      </c>
      <c r="T268" t="s">
        <v>46</v>
      </c>
      <c r="U268" t="s">
        <v>47</v>
      </c>
      <c r="V268" t="s">
        <v>116</v>
      </c>
      <c r="W268" s="1">
        <v>40817</v>
      </c>
      <c r="X268" s="1"/>
      <c r="Y268" t="s">
        <v>49</v>
      </c>
      <c r="Z268" t="s">
        <v>50</v>
      </c>
      <c r="AA268" t="s">
        <v>51</v>
      </c>
      <c r="AB268" t="s">
        <v>83</v>
      </c>
      <c r="AC268" t="s">
        <v>79</v>
      </c>
      <c r="AD268" t="s">
        <v>60</v>
      </c>
      <c r="AE268">
        <v>4.0999999999999996</v>
      </c>
      <c r="AF268">
        <v>4</v>
      </c>
      <c r="AG268">
        <v>0</v>
      </c>
      <c r="AH268" s="1">
        <v>43648</v>
      </c>
      <c r="AI268">
        <v>9</v>
      </c>
      <c r="AJ268">
        <v>37</v>
      </c>
      <c r="AK268">
        <v>8</v>
      </c>
      <c r="AL268">
        <v>20</v>
      </c>
      <c r="AM268" t="str">
        <f>IF(Cleaned_Data[[#This Row],[DateofTermination]]="","",YEAR(Cleaned_Data[[#This Row],[DateofTermination]]))</f>
        <v/>
      </c>
      <c r="AN268">
        <v>1</v>
      </c>
    </row>
    <row r="269" spans="1:40" x14ac:dyDescent="0.35">
      <c r="A269" t="s">
        <v>441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145</v>
      </c>
      <c r="N269" t="s">
        <v>442</v>
      </c>
      <c r="O269">
        <v>89139</v>
      </c>
      <c r="P269" s="1">
        <v>31120</v>
      </c>
      <c r="Q269" t="s">
        <v>43</v>
      </c>
      <c r="R269" t="s">
        <v>44</v>
      </c>
      <c r="S269" t="s">
        <v>63</v>
      </c>
      <c r="T269" t="s">
        <v>46</v>
      </c>
      <c r="U269" t="s">
        <v>47</v>
      </c>
      <c r="V269" t="s">
        <v>48</v>
      </c>
      <c r="W269" s="1">
        <v>41978</v>
      </c>
      <c r="X269" s="1"/>
      <c r="Y269" t="s">
        <v>49</v>
      </c>
      <c r="Z269" t="s">
        <v>50</v>
      </c>
      <c r="AA269" t="s">
        <v>147</v>
      </c>
      <c r="AB269" t="s">
        <v>166</v>
      </c>
      <c r="AC269" t="s">
        <v>207</v>
      </c>
      <c r="AD269" t="s">
        <v>197</v>
      </c>
      <c r="AE269">
        <v>1.81</v>
      </c>
      <c r="AF269">
        <v>2</v>
      </c>
      <c r="AG269">
        <v>0</v>
      </c>
      <c r="AH269" s="1">
        <v>43482</v>
      </c>
      <c r="AI269">
        <v>5</v>
      </c>
      <c r="AJ269">
        <v>35</v>
      </c>
      <c r="AK269">
        <v>5</v>
      </c>
      <c r="AL269">
        <v>21</v>
      </c>
      <c r="AM269" t="str">
        <f>IF(Cleaned_Data[[#This Row],[DateofTermination]]="","",YEAR(Cleaned_Data[[#This Row],[DateofTermination]]))</f>
        <v/>
      </c>
      <c r="AN269">
        <v>1</v>
      </c>
    </row>
    <row r="270" spans="1:40" x14ac:dyDescent="0.35">
      <c r="A270" t="s">
        <v>443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140</v>
      </c>
      <c r="N270" t="s">
        <v>42</v>
      </c>
      <c r="O270">
        <v>2703</v>
      </c>
      <c r="P270" s="1">
        <v>28577</v>
      </c>
      <c r="Q270" t="s">
        <v>43</v>
      </c>
      <c r="R270" t="s">
        <v>44</v>
      </c>
      <c r="S270" t="s">
        <v>45</v>
      </c>
      <c r="T270" t="s">
        <v>46</v>
      </c>
      <c r="U270" t="s">
        <v>47</v>
      </c>
      <c r="V270" t="s">
        <v>48</v>
      </c>
      <c r="W270" s="1">
        <v>41911</v>
      </c>
      <c r="X270" s="1"/>
      <c r="Y270" t="s">
        <v>49</v>
      </c>
      <c r="Z270" t="s">
        <v>50</v>
      </c>
      <c r="AA270" t="s">
        <v>132</v>
      </c>
      <c r="AB270" t="s">
        <v>133</v>
      </c>
      <c r="AC270" t="s">
        <v>67</v>
      </c>
      <c r="AD270" t="s">
        <v>60</v>
      </c>
      <c r="AE270">
        <v>3.9</v>
      </c>
      <c r="AF270">
        <v>5</v>
      </c>
      <c r="AG270">
        <v>5</v>
      </c>
      <c r="AH270" s="1">
        <v>43483</v>
      </c>
      <c r="AI270">
        <v>9</v>
      </c>
      <c r="AJ270">
        <v>42</v>
      </c>
      <c r="AK270">
        <v>5</v>
      </c>
      <c r="AL270">
        <v>1</v>
      </c>
      <c r="AM270" t="str">
        <f>IF(Cleaned_Data[[#This Row],[DateofTermination]]="","",YEAR(Cleaned_Data[[#This Row],[DateofTermination]]))</f>
        <v/>
      </c>
      <c r="AN270">
        <v>1</v>
      </c>
    </row>
    <row r="271" spans="1:40" x14ac:dyDescent="0.35">
      <c r="A271" t="s">
        <v>444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41</v>
      </c>
      <c r="N271" t="s">
        <v>42</v>
      </c>
      <c r="O271">
        <v>2301</v>
      </c>
      <c r="P271" s="1">
        <v>25065</v>
      </c>
      <c r="Q271" t="s">
        <v>43</v>
      </c>
      <c r="R271" t="s">
        <v>44</v>
      </c>
      <c r="S271" t="s">
        <v>63</v>
      </c>
      <c r="T271" t="s">
        <v>46</v>
      </c>
      <c r="U271" t="s">
        <v>47</v>
      </c>
      <c r="V271" t="s">
        <v>95</v>
      </c>
      <c r="W271" s="1">
        <v>41687</v>
      </c>
      <c r="X271" s="1"/>
      <c r="Y271" t="s">
        <v>49</v>
      </c>
      <c r="Z271" t="s">
        <v>50</v>
      </c>
      <c r="AA271" t="s">
        <v>51</v>
      </c>
      <c r="AB271" t="s">
        <v>117</v>
      </c>
      <c r="AC271" t="s">
        <v>53</v>
      </c>
      <c r="AD271" t="s">
        <v>60</v>
      </c>
      <c r="AE271">
        <v>4.7</v>
      </c>
      <c r="AF271">
        <v>3</v>
      </c>
      <c r="AG271">
        <v>0</v>
      </c>
      <c r="AH271" s="1">
        <v>43770</v>
      </c>
      <c r="AI271">
        <v>4</v>
      </c>
      <c r="AJ271">
        <v>51</v>
      </c>
      <c r="AK271">
        <v>6</v>
      </c>
      <c r="AL271">
        <v>18</v>
      </c>
      <c r="AM271" t="str">
        <f>IF(Cleaned_Data[[#This Row],[DateofTermination]]="","",YEAR(Cleaned_Data[[#This Row],[DateofTermination]]))</f>
        <v/>
      </c>
      <c r="AN271">
        <v>1</v>
      </c>
    </row>
    <row r="272" spans="1:40" x14ac:dyDescent="0.35">
      <c r="A272" t="s">
        <v>445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145</v>
      </c>
      <c r="N272" t="s">
        <v>446</v>
      </c>
      <c r="O272">
        <v>59102</v>
      </c>
      <c r="P272" s="1">
        <v>32074</v>
      </c>
      <c r="Q272" t="s">
        <v>43</v>
      </c>
      <c r="R272" t="s">
        <v>75</v>
      </c>
      <c r="S272" t="s">
        <v>63</v>
      </c>
      <c r="T272" t="s">
        <v>46</v>
      </c>
      <c r="U272" t="s">
        <v>47</v>
      </c>
      <c r="V272" t="s">
        <v>71</v>
      </c>
      <c r="W272" s="1">
        <v>40448</v>
      </c>
      <c r="X272" s="1"/>
      <c r="Y272" t="s">
        <v>49</v>
      </c>
      <c r="Z272" t="s">
        <v>50</v>
      </c>
      <c r="AA272" t="s">
        <v>147</v>
      </c>
      <c r="AB272" t="s">
        <v>148</v>
      </c>
      <c r="AC272" t="s">
        <v>67</v>
      </c>
      <c r="AD272" t="s">
        <v>60</v>
      </c>
      <c r="AE272">
        <v>4.0999999999999996</v>
      </c>
      <c r="AF272">
        <v>4</v>
      </c>
      <c r="AG272">
        <v>0</v>
      </c>
      <c r="AH272" s="1">
        <v>43496</v>
      </c>
      <c r="AI272">
        <v>18</v>
      </c>
      <c r="AJ272">
        <v>32</v>
      </c>
      <c r="AK272">
        <v>9</v>
      </c>
      <c r="AL272">
        <v>17</v>
      </c>
      <c r="AM272" t="str">
        <f>IF(Cleaned_Data[[#This Row],[DateofTermination]]="","",YEAR(Cleaned_Data[[#This Row],[DateofTermination]]))</f>
        <v/>
      </c>
      <c r="AN272">
        <v>1</v>
      </c>
    </row>
    <row r="273" spans="1:40" x14ac:dyDescent="0.35">
      <c r="A273" t="s">
        <v>447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135</v>
      </c>
      <c r="N273" t="s">
        <v>42</v>
      </c>
      <c r="O273">
        <v>1776</v>
      </c>
      <c r="P273" s="1">
        <v>19503</v>
      </c>
      <c r="Q273" t="s">
        <v>85</v>
      </c>
      <c r="R273" t="s">
        <v>75</v>
      </c>
      <c r="S273" t="s">
        <v>63</v>
      </c>
      <c r="T273" t="s">
        <v>46</v>
      </c>
      <c r="U273" t="s">
        <v>47</v>
      </c>
      <c r="V273" t="s">
        <v>71</v>
      </c>
      <c r="W273" s="1">
        <v>40026</v>
      </c>
      <c r="X273" s="1"/>
      <c r="Y273" t="s">
        <v>49</v>
      </c>
      <c r="Z273" t="s">
        <v>50</v>
      </c>
      <c r="AA273" t="s">
        <v>51</v>
      </c>
      <c r="AB273" t="s">
        <v>137</v>
      </c>
      <c r="AC273" t="s">
        <v>67</v>
      </c>
      <c r="AD273" t="s">
        <v>60</v>
      </c>
      <c r="AE273">
        <v>3.73</v>
      </c>
      <c r="AF273">
        <v>4</v>
      </c>
      <c r="AG273">
        <v>0</v>
      </c>
      <c r="AH273" s="1">
        <v>43489</v>
      </c>
      <c r="AI273">
        <v>12</v>
      </c>
      <c r="AJ273">
        <v>67</v>
      </c>
      <c r="AK273">
        <v>10</v>
      </c>
      <c r="AL273">
        <v>2</v>
      </c>
      <c r="AM273" t="str">
        <f>IF(Cleaned_Data[[#This Row],[DateofTermination]]="","",YEAR(Cleaned_Data[[#This Row],[DateofTermination]]))</f>
        <v/>
      </c>
      <c r="AN273">
        <v>1</v>
      </c>
    </row>
    <row r="274" spans="1:40" x14ac:dyDescent="0.35">
      <c r="A274" t="s">
        <v>448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41</v>
      </c>
      <c r="N274" t="s">
        <v>42</v>
      </c>
      <c r="O274">
        <v>2747</v>
      </c>
      <c r="P274" s="1">
        <v>27653</v>
      </c>
      <c r="Q274" t="s">
        <v>43</v>
      </c>
      <c r="R274" t="s">
        <v>44</v>
      </c>
      <c r="S274" t="s">
        <v>63</v>
      </c>
      <c r="T274" t="s">
        <v>46</v>
      </c>
      <c r="U274" t="s">
        <v>76</v>
      </c>
      <c r="V274" t="s">
        <v>48</v>
      </c>
      <c r="W274" s="1">
        <v>42125</v>
      </c>
      <c r="X274" s="1"/>
      <c r="Y274" t="s">
        <v>49</v>
      </c>
      <c r="Z274" t="s">
        <v>50</v>
      </c>
      <c r="AA274" t="s">
        <v>51</v>
      </c>
      <c r="AB274" t="s">
        <v>52</v>
      </c>
      <c r="AC274" t="s">
        <v>79</v>
      </c>
      <c r="AD274" t="s">
        <v>60</v>
      </c>
      <c r="AE274">
        <v>4.3600000000000003</v>
      </c>
      <c r="AF274">
        <v>5</v>
      </c>
      <c r="AG274">
        <v>0</v>
      </c>
      <c r="AH274" s="1">
        <v>43489</v>
      </c>
      <c r="AI274">
        <v>10</v>
      </c>
      <c r="AJ274">
        <v>44</v>
      </c>
      <c r="AK274">
        <v>5</v>
      </c>
      <c r="AL274">
        <v>22</v>
      </c>
      <c r="AM274" t="str">
        <f>IF(Cleaned_Data[[#This Row],[DateofTermination]]="","",YEAR(Cleaned_Data[[#This Row],[DateofTermination]]))</f>
        <v/>
      </c>
      <c r="AN274">
        <v>1</v>
      </c>
    </row>
    <row r="275" spans="1:40" x14ac:dyDescent="0.35">
      <c r="A275" t="s">
        <v>449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41</v>
      </c>
      <c r="N275" t="s">
        <v>42</v>
      </c>
      <c r="O275">
        <v>2718</v>
      </c>
      <c r="P275" s="1">
        <v>24852</v>
      </c>
      <c r="Q275" t="s">
        <v>43</v>
      </c>
      <c r="R275" t="s">
        <v>75</v>
      </c>
      <c r="S275" t="s">
        <v>45</v>
      </c>
      <c r="T275" t="s">
        <v>90</v>
      </c>
      <c r="U275" t="s">
        <v>47</v>
      </c>
      <c r="V275" t="s">
        <v>95</v>
      </c>
      <c r="W275" s="1">
        <v>40677</v>
      </c>
      <c r="X275" s="1"/>
      <c r="Y275" t="s">
        <v>49</v>
      </c>
      <c r="Z275" t="s">
        <v>50</v>
      </c>
      <c r="AA275" t="s">
        <v>51</v>
      </c>
      <c r="AB275" t="s">
        <v>88</v>
      </c>
      <c r="AC275" t="s">
        <v>67</v>
      </c>
      <c r="AD275" t="s">
        <v>60</v>
      </c>
      <c r="AE275">
        <v>3.4</v>
      </c>
      <c r="AF275">
        <v>5</v>
      </c>
      <c r="AG275">
        <v>0</v>
      </c>
      <c r="AH275" s="1">
        <v>43496</v>
      </c>
      <c r="AI275">
        <v>13</v>
      </c>
      <c r="AJ275">
        <v>52</v>
      </c>
      <c r="AK275">
        <v>9</v>
      </c>
      <c r="AL275">
        <v>16</v>
      </c>
      <c r="AM275" t="str">
        <f>IF(Cleaned_Data[[#This Row],[DateofTermination]]="","",YEAR(Cleaned_Data[[#This Row],[DateofTermination]]))</f>
        <v/>
      </c>
      <c r="AN275">
        <v>1</v>
      </c>
    </row>
    <row r="276" spans="1:40" x14ac:dyDescent="0.35">
      <c r="A276" t="s">
        <v>450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100</v>
      </c>
      <c r="N276" t="s">
        <v>42</v>
      </c>
      <c r="O276">
        <v>2140</v>
      </c>
      <c r="P276" s="1">
        <v>30452</v>
      </c>
      <c r="Q276" t="s">
        <v>43</v>
      </c>
      <c r="R276" t="s">
        <v>44</v>
      </c>
      <c r="S276" t="s">
        <v>45</v>
      </c>
      <c r="T276" t="s">
        <v>46</v>
      </c>
      <c r="U276" t="s">
        <v>47</v>
      </c>
      <c r="V276" t="s">
        <v>48</v>
      </c>
      <c r="W276" s="1">
        <v>41827</v>
      </c>
      <c r="X276" s="1"/>
      <c r="Y276" t="s">
        <v>49</v>
      </c>
      <c r="Z276" t="s">
        <v>50</v>
      </c>
      <c r="AA276" t="s">
        <v>101</v>
      </c>
      <c r="AB276" t="s">
        <v>102</v>
      </c>
      <c r="AC276" t="s">
        <v>53</v>
      </c>
      <c r="AD276" t="s">
        <v>54</v>
      </c>
      <c r="AE276">
        <v>4.5</v>
      </c>
      <c r="AF276">
        <v>5</v>
      </c>
      <c r="AG276">
        <v>5</v>
      </c>
      <c r="AH276" s="1">
        <v>43514</v>
      </c>
      <c r="AI276">
        <v>1</v>
      </c>
      <c r="AJ276">
        <v>37</v>
      </c>
      <c r="AK276">
        <v>5</v>
      </c>
      <c r="AL276">
        <v>10</v>
      </c>
      <c r="AM276" t="str">
        <f>IF(Cleaned_Data[[#This Row],[DateofTermination]]="","",YEAR(Cleaned_Data[[#This Row],[DateofTermination]]))</f>
        <v/>
      </c>
      <c r="AN276">
        <v>1</v>
      </c>
    </row>
    <row r="277" spans="1:40" x14ac:dyDescent="0.35">
      <c r="A277" t="s">
        <v>451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202</v>
      </c>
      <c r="N277" t="s">
        <v>42</v>
      </c>
      <c r="O277">
        <v>2134</v>
      </c>
      <c r="P277" s="1">
        <v>30481</v>
      </c>
      <c r="Q277" t="s">
        <v>43</v>
      </c>
      <c r="R277" t="s">
        <v>44</v>
      </c>
      <c r="S277" t="s">
        <v>63</v>
      </c>
      <c r="T277" t="s">
        <v>46</v>
      </c>
      <c r="U277" t="s">
        <v>47</v>
      </c>
      <c r="V277" t="s">
        <v>48</v>
      </c>
      <c r="W277" s="1">
        <v>42845</v>
      </c>
      <c r="X277" s="1"/>
      <c r="Y277" t="s">
        <v>49</v>
      </c>
      <c r="Z277" t="s">
        <v>50</v>
      </c>
      <c r="AA277" t="s">
        <v>65</v>
      </c>
      <c r="AB277" t="s">
        <v>203</v>
      </c>
      <c r="AC277" t="s">
        <v>67</v>
      </c>
      <c r="AD277" t="s">
        <v>60</v>
      </c>
      <c r="AE277">
        <v>3.4</v>
      </c>
      <c r="AF277">
        <v>3</v>
      </c>
      <c r="AG277">
        <v>6</v>
      </c>
      <c r="AH277" s="1">
        <v>43497</v>
      </c>
      <c r="AI277">
        <v>14</v>
      </c>
      <c r="AJ277">
        <v>37</v>
      </c>
      <c r="AK277">
        <v>3</v>
      </c>
      <c r="AL277">
        <v>13</v>
      </c>
      <c r="AM277" t="str">
        <f>IF(Cleaned_Data[[#This Row],[DateofTermination]]="","",YEAR(Cleaned_Data[[#This Row],[DateofTermination]]))</f>
        <v/>
      </c>
      <c r="AN277">
        <v>1</v>
      </c>
    </row>
    <row r="278" spans="1:40" x14ac:dyDescent="0.35">
      <c r="A278" t="s">
        <v>452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41</v>
      </c>
      <c r="N278" t="s">
        <v>42</v>
      </c>
      <c r="O278">
        <v>1801</v>
      </c>
      <c r="P278" s="1">
        <v>31121</v>
      </c>
      <c r="Q278" t="s">
        <v>43</v>
      </c>
      <c r="R278" t="s">
        <v>75</v>
      </c>
      <c r="S278" t="s">
        <v>63</v>
      </c>
      <c r="T278" t="s">
        <v>170</v>
      </c>
      <c r="U278" t="s">
        <v>47</v>
      </c>
      <c r="V278" t="s">
        <v>71</v>
      </c>
      <c r="W278" s="1">
        <v>39930</v>
      </c>
      <c r="X278" s="1">
        <v>41278</v>
      </c>
      <c r="Y278" t="s">
        <v>57</v>
      </c>
      <c r="Z278" t="s">
        <v>58</v>
      </c>
      <c r="AA278" t="s">
        <v>51</v>
      </c>
      <c r="AB278" t="s">
        <v>93</v>
      </c>
      <c r="AC278" t="s">
        <v>72</v>
      </c>
      <c r="AD278" t="s">
        <v>60</v>
      </c>
      <c r="AE278">
        <v>4.5</v>
      </c>
      <c r="AF278">
        <v>5</v>
      </c>
      <c r="AG278">
        <v>0</v>
      </c>
      <c r="AH278" s="1">
        <v>40954</v>
      </c>
      <c r="AI278">
        <v>11</v>
      </c>
      <c r="AJ278">
        <v>28</v>
      </c>
      <c r="AK278">
        <v>4</v>
      </c>
      <c r="AL278">
        <v>39</v>
      </c>
      <c r="AM278">
        <f>IF(Cleaned_Data[[#This Row],[DateofTermination]]="","",YEAR(Cleaned_Data[[#This Row],[DateofTermination]]))</f>
        <v>2013</v>
      </c>
      <c r="AN278">
        <v>1</v>
      </c>
    </row>
    <row r="279" spans="1:40" x14ac:dyDescent="0.35">
      <c r="A279" t="s">
        <v>453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81</v>
      </c>
      <c r="N279" t="s">
        <v>42</v>
      </c>
      <c r="O279">
        <v>2129</v>
      </c>
      <c r="P279" s="1">
        <v>25293</v>
      </c>
      <c r="Q279" t="s">
        <v>43</v>
      </c>
      <c r="R279" t="s">
        <v>75</v>
      </c>
      <c r="S279" t="s">
        <v>63</v>
      </c>
      <c r="T279" t="s">
        <v>46</v>
      </c>
      <c r="U279" t="s">
        <v>47</v>
      </c>
      <c r="V279" t="s">
        <v>48</v>
      </c>
      <c r="W279" s="1">
        <v>40679</v>
      </c>
      <c r="X279" s="1">
        <v>42954</v>
      </c>
      <c r="Y279" t="s">
        <v>57</v>
      </c>
      <c r="Z279" t="s">
        <v>58</v>
      </c>
      <c r="AA279" t="s">
        <v>51</v>
      </c>
      <c r="AB279" t="s">
        <v>88</v>
      </c>
      <c r="AC279" t="s">
        <v>79</v>
      </c>
      <c r="AD279" t="s">
        <v>60</v>
      </c>
      <c r="AE279">
        <v>3.93</v>
      </c>
      <c r="AF279">
        <v>3</v>
      </c>
      <c r="AG279">
        <v>0</v>
      </c>
      <c r="AH279" s="1">
        <v>42843</v>
      </c>
      <c r="AI279">
        <v>3</v>
      </c>
      <c r="AJ279">
        <v>48</v>
      </c>
      <c r="AK279">
        <v>6</v>
      </c>
      <c r="AL279">
        <v>16</v>
      </c>
      <c r="AM279">
        <f>IF(Cleaned_Data[[#This Row],[DateofTermination]]="","",YEAR(Cleaned_Data[[#This Row],[DateofTermination]]))</f>
        <v>2017</v>
      </c>
      <c r="AN279">
        <v>1</v>
      </c>
    </row>
    <row r="280" spans="1:40" x14ac:dyDescent="0.35">
      <c r="A280" t="s">
        <v>454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145</v>
      </c>
      <c r="N280" t="s">
        <v>455</v>
      </c>
      <c r="O280">
        <v>97756</v>
      </c>
      <c r="P280" s="1">
        <v>33381</v>
      </c>
      <c r="Q280" t="s">
        <v>43</v>
      </c>
      <c r="R280" t="s">
        <v>75</v>
      </c>
      <c r="S280" t="s">
        <v>45</v>
      </c>
      <c r="T280" t="s">
        <v>46</v>
      </c>
      <c r="U280" t="s">
        <v>47</v>
      </c>
      <c r="V280" t="s">
        <v>71</v>
      </c>
      <c r="W280" s="1">
        <v>41911</v>
      </c>
      <c r="X280" s="1"/>
      <c r="Y280" t="s">
        <v>49</v>
      </c>
      <c r="Z280" t="s">
        <v>50</v>
      </c>
      <c r="AA280" t="s">
        <v>147</v>
      </c>
      <c r="AB280" t="s">
        <v>166</v>
      </c>
      <c r="AC280" t="s">
        <v>67</v>
      </c>
      <c r="AD280" t="s">
        <v>60</v>
      </c>
      <c r="AE280">
        <v>3.69</v>
      </c>
      <c r="AF280">
        <v>3</v>
      </c>
      <c r="AG280">
        <v>0</v>
      </c>
      <c r="AH280" s="1">
        <v>43493</v>
      </c>
      <c r="AI280">
        <v>18</v>
      </c>
      <c r="AJ280">
        <v>29</v>
      </c>
      <c r="AK280">
        <v>5</v>
      </c>
      <c r="AL280">
        <v>21</v>
      </c>
      <c r="AM280" t="str">
        <f>IF(Cleaned_Data[[#This Row],[DateofTermination]]="","",YEAR(Cleaned_Data[[#This Row],[DateofTermination]]))</f>
        <v/>
      </c>
      <c r="AN280">
        <v>1</v>
      </c>
    </row>
    <row r="281" spans="1:40" x14ac:dyDescent="0.35">
      <c r="A281" t="s">
        <v>456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41</v>
      </c>
      <c r="N281" t="s">
        <v>42</v>
      </c>
      <c r="O281">
        <v>2066</v>
      </c>
      <c r="P281" s="1">
        <v>31808</v>
      </c>
      <c r="Q281" t="s">
        <v>43</v>
      </c>
      <c r="R281" t="s">
        <v>75</v>
      </c>
      <c r="S281" t="s">
        <v>45</v>
      </c>
      <c r="T281" t="s">
        <v>46</v>
      </c>
      <c r="U281" t="s">
        <v>47</v>
      </c>
      <c r="V281" t="s">
        <v>48</v>
      </c>
      <c r="W281" s="1">
        <v>40670</v>
      </c>
      <c r="X281" s="1">
        <v>42499</v>
      </c>
      <c r="Y281" t="s">
        <v>92</v>
      </c>
      <c r="Z281" t="s">
        <v>58</v>
      </c>
      <c r="AA281" t="s">
        <v>51</v>
      </c>
      <c r="AB281" t="s">
        <v>97</v>
      </c>
      <c r="AC281" t="s">
        <v>67</v>
      </c>
      <c r="AD281" t="s">
        <v>60</v>
      </c>
      <c r="AE281">
        <v>3.98</v>
      </c>
      <c r="AF281">
        <v>4</v>
      </c>
      <c r="AG281">
        <v>0</v>
      </c>
      <c r="AH281" s="1">
        <v>42403</v>
      </c>
      <c r="AI281">
        <v>1</v>
      </c>
      <c r="AJ281">
        <v>29</v>
      </c>
      <c r="AK281">
        <v>5</v>
      </c>
      <c r="AL281">
        <v>11</v>
      </c>
      <c r="AM281">
        <f>IF(Cleaned_Data[[#This Row],[DateofTermination]]="","",YEAR(Cleaned_Data[[#This Row],[DateofTermination]]))</f>
        <v>2016</v>
      </c>
      <c r="AN281">
        <v>1</v>
      </c>
    </row>
    <row r="282" spans="1:40" x14ac:dyDescent="0.35">
      <c r="A282" t="s">
        <v>457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81</v>
      </c>
      <c r="N282" t="s">
        <v>42</v>
      </c>
      <c r="O282">
        <v>2472</v>
      </c>
      <c r="P282" s="1">
        <v>20407</v>
      </c>
      <c r="Q282" t="s">
        <v>85</v>
      </c>
      <c r="R282" t="s">
        <v>44</v>
      </c>
      <c r="S282" t="s">
        <v>104</v>
      </c>
      <c r="T282" t="s">
        <v>46</v>
      </c>
      <c r="U282" t="s">
        <v>47</v>
      </c>
      <c r="V282" t="s">
        <v>48</v>
      </c>
      <c r="W282" s="1">
        <v>39258</v>
      </c>
      <c r="X282" s="1">
        <v>40420</v>
      </c>
      <c r="Y282" t="s">
        <v>218</v>
      </c>
      <c r="Z282" t="s">
        <v>58</v>
      </c>
      <c r="AA282" t="s">
        <v>51</v>
      </c>
      <c r="AB282" t="s">
        <v>93</v>
      </c>
      <c r="AC282" t="s">
        <v>242</v>
      </c>
      <c r="AD282" t="s">
        <v>60</v>
      </c>
      <c r="AE282">
        <v>4.0999999999999996</v>
      </c>
      <c r="AF282">
        <v>4</v>
      </c>
      <c r="AG282">
        <v>0</v>
      </c>
      <c r="AH282" s="1">
        <v>40373</v>
      </c>
      <c r="AI282">
        <v>15</v>
      </c>
      <c r="AJ282">
        <v>55</v>
      </c>
      <c r="AK282">
        <v>3</v>
      </c>
      <c r="AL282">
        <v>39</v>
      </c>
      <c r="AM282">
        <f>IF(Cleaned_Data[[#This Row],[DateofTermination]]="","",YEAR(Cleaned_Data[[#This Row],[DateofTermination]]))</f>
        <v>2010</v>
      </c>
      <c r="AN282">
        <v>1</v>
      </c>
    </row>
    <row r="283" spans="1:40" x14ac:dyDescent="0.35">
      <c r="A283" t="s">
        <v>458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41</v>
      </c>
      <c r="N283" t="s">
        <v>42</v>
      </c>
      <c r="O283">
        <v>2093</v>
      </c>
      <c r="P283" s="1">
        <v>31921</v>
      </c>
      <c r="Q283" t="s">
        <v>43</v>
      </c>
      <c r="R283" t="s">
        <v>75</v>
      </c>
      <c r="S283" t="s">
        <v>56</v>
      </c>
      <c r="T283" t="s">
        <v>46</v>
      </c>
      <c r="U283" t="s">
        <v>47</v>
      </c>
      <c r="V283" t="s">
        <v>71</v>
      </c>
      <c r="W283" s="1">
        <v>41323</v>
      </c>
      <c r="X283" s="1"/>
      <c r="Y283" t="s">
        <v>49</v>
      </c>
      <c r="Z283" t="s">
        <v>50</v>
      </c>
      <c r="AA283" t="s">
        <v>51</v>
      </c>
      <c r="AB283" t="s">
        <v>109</v>
      </c>
      <c r="AC283" t="s">
        <v>67</v>
      </c>
      <c r="AD283" t="s">
        <v>60</v>
      </c>
      <c r="AE283">
        <v>4.21</v>
      </c>
      <c r="AF283">
        <v>5</v>
      </c>
      <c r="AG283">
        <v>0</v>
      </c>
      <c r="AH283" s="1">
        <v>43479</v>
      </c>
      <c r="AI283">
        <v>4</v>
      </c>
      <c r="AJ283">
        <v>33</v>
      </c>
      <c r="AK283">
        <v>7</v>
      </c>
      <c r="AL283">
        <v>12</v>
      </c>
      <c r="AM283" t="str">
        <f>IF(Cleaned_Data[[#This Row],[DateofTermination]]="","",YEAR(Cleaned_Data[[#This Row],[DateofTermination]]))</f>
        <v/>
      </c>
      <c r="AN283">
        <v>1</v>
      </c>
    </row>
    <row r="284" spans="1:40" x14ac:dyDescent="0.35">
      <c r="A284" t="s">
        <v>459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145</v>
      </c>
      <c r="N284" t="s">
        <v>460</v>
      </c>
      <c r="O284">
        <v>58782</v>
      </c>
      <c r="P284" s="1">
        <v>30527</v>
      </c>
      <c r="Q284" t="s">
        <v>43</v>
      </c>
      <c r="R284" t="s">
        <v>44</v>
      </c>
      <c r="S284" t="s">
        <v>143</v>
      </c>
      <c r="T284" t="s">
        <v>46</v>
      </c>
      <c r="U284" t="s">
        <v>47</v>
      </c>
      <c r="V284" t="s">
        <v>48</v>
      </c>
      <c r="W284" s="1">
        <v>38961</v>
      </c>
      <c r="X284" s="1"/>
      <c r="Y284" t="s">
        <v>49</v>
      </c>
      <c r="Z284" t="s">
        <v>50</v>
      </c>
      <c r="AA284" t="s">
        <v>147</v>
      </c>
      <c r="AB284" t="s">
        <v>166</v>
      </c>
      <c r="AC284" t="s">
        <v>67</v>
      </c>
      <c r="AD284" t="s">
        <v>54</v>
      </c>
      <c r="AE284">
        <v>4.0999999999999996</v>
      </c>
      <c r="AF284">
        <v>3</v>
      </c>
      <c r="AG284">
        <v>0</v>
      </c>
      <c r="AH284" s="1">
        <v>43556</v>
      </c>
      <c r="AI284">
        <v>6</v>
      </c>
      <c r="AJ284">
        <v>36</v>
      </c>
      <c r="AK284">
        <v>13</v>
      </c>
      <c r="AL284">
        <v>21</v>
      </c>
      <c r="AM284" t="str">
        <f>IF(Cleaned_Data[[#This Row],[DateofTermination]]="","",YEAR(Cleaned_Data[[#This Row],[DateofTermination]]))</f>
        <v/>
      </c>
      <c r="AN284">
        <v>1</v>
      </c>
    </row>
    <row r="285" spans="1:40" x14ac:dyDescent="0.35">
      <c r="A285" t="s">
        <v>461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41</v>
      </c>
      <c r="N285" t="s">
        <v>42</v>
      </c>
      <c r="O285">
        <v>2021</v>
      </c>
      <c r="P285" s="1">
        <v>31157</v>
      </c>
      <c r="Q285" t="s">
        <v>43</v>
      </c>
      <c r="R285" t="s">
        <v>75</v>
      </c>
      <c r="S285" t="s">
        <v>45</v>
      </c>
      <c r="T285" t="s">
        <v>46</v>
      </c>
      <c r="U285" t="s">
        <v>47</v>
      </c>
      <c r="V285" t="s">
        <v>48</v>
      </c>
      <c r="W285" s="1">
        <v>41687</v>
      </c>
      <c r="X285" s="1"/>
      <c r="Y285" t="s">
        <v>49</v>
      </c>
      <c r="Z285" t="s">
        <v>50</v>
      </c>
      <c r="AA285" t="s">
        <v>51</v>
      </c>
      <c r="AB285" t="s">
        <v>114</v>
      </c>
      <c r="AC285" t="s">
        <v>53</v>
      </c>
      <c r="AD285" t="s">
        <v>124</v>
      </c>
      <c r="AE285">
        <v>2.44</v>
      </c>
      <c r="AF285">
        <v>5</v>
      </c>
      <c r="AG285">
        <v>0</v>
      </c>
      <c r="AH285" s="1">
        <v>43771</v>
      </c>
      <c r="AI285">
        <v>18</v>
      </c>
      <c r="AJ285">
        <v>35</v>
      </c>
      <c r="AK285">
        <v>6</v>
      </c>
      <c r="AL285">
        <v>14</v>
      </c>
      <c r="AM285" t="str">
        <f>IF(Cleaned_Data[[#This Row],[DateofTermination]]="","",YEAR(Cleaned_Data[[#This Row],[DateofTermination]]))</f>
        <v/>
      </c>
      <c r="AN285">
        <v>1</v>
      </c>
    </row>
    <row r="286" spans="1:40" x14ac:dyDescent="0.35">
      <c r="A286" t="s">
        <v>462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231</v>
      </c>
      <c r="N286" t="s">
        <v>42</v>
      </c>
      <c r="O286">
        <v>1420</v>
      </c>
      <c r="P286" s="1">
        <v>29097</v>
      </c>
      <c r="Q286" t="s">
        <v>43</v>
      </c>
      <c r="R286" t="s">
        <v>44</v>
      </c>
      <c r="S286" t="s">
        <v>63</v>
      </c>
      <c r="T286" t="s">
        <v>46</v>
      </c>
      <c r="U286" t="s">
        <v>47</v>
      </c>
      <c r="V286" t="s">
        <v>48</v>
      </c>
      <c r="W286" s="1">
        <v>42125</v>
      </c>
      <c r="X286" s="1">
        <v>42706</v>
      </c>
      <c r="Y286" t="s">
        <v>385</v>
      </c>
      <c r="Z286" t="s">
        <v>58</v>
      </c>
      <c r="AA286" t="s">
        <v>65</v>
      </c>
      <c r="AB286" t="s">
        <v>112</v>
      </c>
      <c r="AC286" t="s">
        <v>123</v>
      </c>
      <c r="AD286" t="s">
        <v>60</v>
      </c>
      <c r="AE286">
        <v>5</v>
      </c>
      <c r="AF286">
        <v>3</v>
      </c>
      <c r="AG286">
        <v>5</v>
      </c>
      <c r="AH286" s="1">
        <v>42109</v>
      </c>
      <c r="AI286">
        <v>11</v>
      </c>
      <c r="AJ286">
        <v>37</v>
      </c>
      <c r="AK286">
        <v>2</v>
      </c>
      <c r="AL286">
        <v>7</v>
      </c>
      <c r="AM286">
        <f>IF(Cleaned_Data[[#This Row],[DateofTermination]]="","",YEAR(Cleaned_Data[[#This Row],[DateofTermination]]))</f>
        <v>2016</v>
      </c>
      <c r="AN286">
        <v>1</v>
      </c>
    </row>
    <row r="287" spans="1:40" x14ac:dyDescent="0.35">
      <c r="A287" t="s">
        <v>463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100</v>
      </c>
      <c r="N287" t="s">
        <v>42</v>
      </c>
      <c r="O287">
        <v>2451</v>
      </c>
      <c r="P287" s="1">
        <v>28910</v>
      </c>
      <c r="Q287" t="s">
        <v>43</v>
      </c>
      <c r="R287" t="s">
        <v>44</v>
      </c>
      <c r="S287" t="s">
        <v>45</v>
      </c>
      <c r="T287" t="s">
        <v>170</v>
      </c>
      <c r="U287" t="s">
        <v>47</v>
      </c>
      <c r="V287" t="s">
        <v>71</v>
      </c>
      <c r="W287" s="1">
        <v>41323</v>
      </c>
      <c r="X287" s="1">
        <v>43205</v>
      </c>
      <c r="Y287" t="s">
        <v>385</v>
      </c>
      <c r="Z287" t="s">
        <v>58</v>
      </c>
      <c r="AA287" t="s">
        <v>101</v>
      </c>
      <c r="AB287" t="s">
        <v>102</v>
      </c>
      <c r="AC287" t="s">
        <v>72</v>
      </c>
      <c r="AD287" t="s">
        <v>60</v>
      </c>
      <c r="AE287">
        <v>4.5999999999999996</v>
      </c>
      <c r="AF287">
        <v>3</v>
      </c>
      <c r="AG287">
        <v>4</v>
      </c>
      <c r="AH287" s="1">
        <v>43071</v>
      </c>
      <c r="AI287">
        <v>9</v>
      </c>
      <c r="AJ287">
        <v>39</v>
      </c>
      <c r="AK287">
        <v>5</v>
      </c>
      <c r="AL287">
        <v>10</v>
      </c>
      <c r="AM287">
        <f>IF(Cleaned_Data[[#This Row],[DateofTermination]]="","",YEAR(Cleaned_Data[[#This Row],[DateofTermination]]))</f>
        <v>2018</v>
      </c>
      <c r="AN287">
        <v>1</v>
      </c>
    </row>
    <row r="288" spans="1:40" x14ac:dyDescent="0.35">
      <c r="A288" t="s">
        <v>464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81</v>
      </c>
      <c r="N288" t="s">
        <v>42</v>
      </c>
      <c r="O288">
        <v>1778</v>
      </c>
      <c r="P288" s="1">
        <v>28719</v>
      </c>
      <c r="Q288" t="s">
        <v>43</v>
      </c>
      <c r="R288" t="s">
        <v>75</v>
      </c>
      <c r="S288" t="s">
        <v>45</v>
      </c>
      <c r="T288" t="s">
        <v>46</v>
      </c>
      <c r="U288" t="s">
        <v>47</v>
      </c>
      <c r="V288" t="s">
        <v>48</v>
      </c>
      <c r="W288" s="1">
        <v>40817</v>
      </c>
      <c r="X288" s="1">
        <v>41677</v>
      </c>
      <c r="Y288" t="s">
        <v>86</v>
      </c>
      <c r="Z288" t="s">
        <v>58</v>
      </c>
      <c r="AA288" t="s">
        <v>51</v>
      </c>
      <c r="AB288" t="s">
        <v>97</v>
      </c>
      <c r="AC288" t="s">
        <v>53</v>
      </c>
      <c r="AD288" t="s">
        <v>60</v>
      </c>
      <c r="AE288">
        <v>4.4000000000000004</v>
      </c>
      <c r="AF288">
        <v>3</v>
      </c>
      <c r="AG288">
        <v>0</v>
      </c>
      <c r="AH288" s="1">
        <v>41760</v>
      </c>
      <c r="AI288">
        <v>5</v>
      </c>
      <c r="AJ288">
        <v>35</v>
      </c>
      <c r="AK288">
        <v>2</v>
      </c>
      <c r="AL288">
        <v>11</v>
      </c>
      <c r="AM288">
        <f>IF(Cleaned_Data[[#This Row],[DateofTermination]]="","",YEAR(Cleaned_Data[[#This Row],[DateofTermination]]))</f>
        <v>2014</v>
      </c>
      <c r="AN288">
        <v>1</v>
      </c>
    </row>
    <row r="289" spans="1:40" x14ac:dyDescent="0.35">
      <c r="A289" t="s">
        <v>465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231</v>
      </c>
      <c r="N289" t="s">
        <v>42</v>
      </c>
      <c r="O289">
        <v>2343</v>
      </c>
      <c r="P289" s="1">
        <v>25293</v>
      </c>
      <c r="Q289" t="s">
        <v>43</v>
      </c>
      <c r="R289" t="s">
        <v>44</v>
      </c>
      <c r="S289" t="s">
        <v>63</v>
      </c>
      <c r="T289" t="s">
        <v>90</v>
      </c>
      <c r="U289" t="s">
        <v>47</v>
      </c>
      <c r="V289" t="s">
        <v>48</v>
      </c>
      <c r="W289" s="1">
        <v>42093</v>
      </c>
      <c r="X289" s="1"/>
      <c r="Y289" t="s">
        <v>49</v>
      </c>
      <c r="Z289" t="s">
        <v>50</v>
      </c>
      <c r="AA289" t="s">
        <v>65</v>
      </c>
      <c r="AB289" t="s">
        <v>112</v>
      </c>
      <c r="AC289" t="s">
        <v>106</v>
      </c>
      <c r="AD289" t="s">
        <v>60</v>
      </c>
      <c r="AE289">
        <v>5</v>
      </c>
      <c r="AF289">
        <v>4</v>
      </c>
      <c r="AG289">
        <v>7</v>
      </c>
      <c r="AH289" s="1">
        <v>43479</v>
      </c>
      <c r="AI289">
        <v>8</v>
      </c>
      <c r="AJ289">
        <v>51</v>
      </c>
      <c r="AK289">
        <v>5</v>
      </c>
      <c r="AL289">
        <v>7</v>
      </c>
      <c r="AM289" t="str">
        <f>IF(Cleaned_Data[[#This Row],[DateofTermination]]="","",YEAR(Cleaned_Data[[#This Row],[DateofTermination]]))</f>
        <v/>
      </c>
      <c r="AN289">
        <v>1</v>
      </c>
    </row>
    <row r="290" spans="1:40" x14ac:dyDescent="0.35">
      <c r="A290" t="s">
        <v>466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145</v>
      </c>
      <c r="N290" t="s">
        <v>467</v>
      </c>
      <c r="O290">
        <v>85006</v>
      </c>
      <c r="P290" s="1">
        <v>33381</v>
      </c>
      <c r="Q290" t="s">
        <v>43</v>
      </c>
      <c r="R290" t="s">
        <v>75</v>
      </c>
      <c r="S290" t="s">
        <v>63</v>
      </c>
      <c r="T290" t="s">
        <v>46</v>
      </c>
      <c r="U290" t="s">
        <v>47</v>
      </c>
      <c r="V290" t="s">
        <v>116</v>
      </c>
      <c r="W290" s="1">
        <v>40670</v>
      </c>
      <c r="X290" s="1"/>
      <c r="Y290" t="s">
        <v>49</v>
      </c>
      <c r="Z290" t="s">
        <v>50</v>
      </c>
      <c r="AA290" t="s">
        <v>147</v>
      </c>
      <c r="AB290" t="s">
        <v>148</v>
      </c>
      <c r="AC290" t="s">
        <v>67</v>
      </c>
      <c r="AD290" t="s">
        <v>60</v>
      </c>
      <c r="AE290">
        <v>2.81</v>
      </c>
      <c r="AF290">
        <v>3</v>
      </c>
      <c r="AG290">
        <v>0</v>
      </c>
      <c r="AH290" s="1">
        <v>43482</v>
      </c>
      <c r="AI290">
        <v>16</v>
      </c>
      <c r="AJ290">
        <v>29</v>
      </c>
      <c r="AK290">
        <v>9</v>
      </c>
      <c r="AL290">
        <v>17</v>
      </c>
      <c r="AM290" t="str">
        <f>IF(Cleaned_Data[[#This Row],[DateofTermination]]="","",YEAR(Cleaned_Data[[#This Row],[DateofTermination]]))</f>
        <v/>
      </c>
      <c r="AN290">
        <v>1</v>
      </c>
    </row>
    <row r="291" spans="1:40" x14ac:dyDescent="0.35">
      <c r="A291" t="s">
        <v>468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41</v>
      </c>
      <c r="N291" t="s">
        <v>42</v>
      </c>
      <c r="O291">
        <v>2171</v>
      </c>
      <c r="P291" s="1">
        <v>31808</v>
      </c>
      <c r="Q291" t="s">
        <v>43</v>
      </c>
      <c r="R291" t="s">
        <v>44</v>
      </c>
      <c r="S291" t="s">
        <v>56</v>
      </c>
      <c r="T291" t="s">
        <v>46</v>
      </c>
      <c r="U291" t="s">
        <v>47</v>
      </c>
      <c r="V291" t="s">
        <v>48</v>
      </c>
      <c r="W291" s="1">
        <v>41134</v>
      </c>
      <c r="X291" s="1">
        <v>42492</v>
      </c>
      <c r="Y291" t="s">
        <v>302</v>
      </c>
      <c r="Z291" t="s">
        <v>58</v>
      </c>
      <c r="AA291" t="s">
        <v>51</v>
      </c>
      <c r="AB291" t="s">
        <v>83</v>
      </c>
      <c r="AC291" t="s">
        <v>53</v>
      </c>
      <c r="AD291" t="s">
        <v>54</v>
      </c>
      <c r="AE291">
        <v>4.5</v>
      </c>
      <c r="AF291">
        <v>5</v>
      </c>
      <c r="AG291">
        <v>0</v>
      </c>
      <c r="AH291" s="1">
        <v>42371</v>
      </c>
      <c r="AI291">
        <v>15</v>
      </c>
      <c r="AJ291">
        <v>29</v>
      </c>
      <c r="AK291">
        <v>4</v>
      </c>
      <c r="AL291">
        <v>20</v>
      </c>
      <c r="AM291">
        <f>IF(Cleaned_Data[[#This Row],[DateofTermination]]="","",YEAR(Cleaned_Data[[#This Row],[DateofTermination]]))</f>
        <v>2016</v>
      </c>
      <c r="AN291">
        <v>1</v>
      </c>
    </row>
    <row r="292" spans="1:40" x14ac:dyDescent="0.35">
      <c r="A292" t="s">
        <v>469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135</v>
      </c>
      <c r="N292" t="s">
        <v>42</v>
      </c>
      <c r="O292">
        <v>2169</v>
      </c>
      <c r="P292" s="1">
        <v>25121</v>
      </c>
      <c r="Q292" t="s">
        <v>43</v>
      </c>
      <c r="R292" t="s">
        <v>44</v>
      </c>
      <c r="S292" t="s">
        <v>56</v>
      </c>
      <c r="T292" t="s">
        <v>46</v>
      </c>
      <c r="U292" t="s">
        <v>47</v>
      </c>
      <c r="V292" t="s">
        <v>48</v>
      </c>
      <c r="W292" s="1">
        <v>40551</v>
      </c>
      <c r="X292" s="1"/>
      <c r="Y292" t="s">
        <v>49</v>
      </c>
      <c r="Z292" t="s">
        <v>50</v>
      </c>
      <c r="AA292" t="s">
        <v>51</v>
      </c>
      <c r="AB292" t="s">
        <v>137</v>
      </c>
      <c r="AC292" t="s">
        <v>106</v>
      </c>
      <c r="AD292" t="s">
        <v>60</v>
      </c>
      <c r="AE292">
        <v>3.93</v>
      </c>
      <c r="AF292">
        <v>3</v>
      </c>
      <c r="AG292">
        <v>0</v>
      </c>
      <c r="AH292" s="1">
        <v>43523</v>
      </c>
      <c r="AI292">
        <v>19</v>
      </c>
      <c r="AJ292">
        <v>51</v>
      </c>
      <c r="AK292">
        <v>9</v>
      </c>
      <c r="AL292">
        <v>2</v>
      </c>
      <c r="AM292" t="str">
        <f>IF(Cleaned_Data[[#This Row],[DateofTermination]]="","",YEAR(Cleaned_Data[[#This Row],[DateofTermination]]))</f>
        <v/>
      </c>
      <c r="AN292">
        <v>1</v>
      </c>
    </row>
    <row r="293" spans="1:40" x14ac:dyDescent="0.35">
      <c r="A293" t="s">
        <v>470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145</v>
      </c>
      <c r="N293" t="s">
        <v>471</v>
      </c>
      <c r="O293">
        <v>4063</v>
      </c>
      <c r="P293" s="1">
        <v>32819</v>
      </c>
      <c r="Q293" t="s">
        <v>43</v>
      </c>
      <c r="R293" t="s">
        <v>44</v>
      </c>
      <c r="S293" t="s">
        <v>45</v>
      </c>
      <c r="T293" t="s">
        <v>46</v>
      </c>
      <c r="U293" t="s">
        <v>47</v>
      </c>
      <c r="V293" t="s">
        <v>95</v>
      </c>
      <c r="W293" s="1">
        <v>41032</v>
      </c>
      <c r="X293" s="1"/>
      <c r="Y293" t="s">
        <v>49</v>
      </c>
      <c r="Z293" t="s">
        <v>50</v>
      </c>
      <c r="AA293" t="s">
        <v>147</v>
      </c>
      <c r="AB293" t="s">
        <v>148</v>
      </c>
      <c r="AC293" t="s">
        <v>207</v>
      </c>
      <c r="AD293" t="s">
        <v>60</v>
      </c>
      <c r="AE293">
        <v>4.5</v>
      </c>
      <c r="AF293">
        <v>4</v>
      </c>
      <c r="AG293">
        <v>0</v>
      </c>
      <c r="AH293" s="1">
        <v>43483</v>
      </c>
      <c r="AI293">
        <v>11</v>
      </c>
      <c r="AJ293">
        <v>30</v>
      </c>
      <c r="AK293">
        <v>8</v>
      </c>
      <c r="AL293">
        <v>17</v>
      </c>
      <c r="AM293" t="str">
        <f>IF(Cleaned_Data[[#This Row],[DateofTermination]]="","",YEAR(Cleaned_Data[[#This Row],[DateofTermination]]))</f>
        <v/>
      </c>
      <c r="AN293">
        <v>1</v>
      </c>
    </row>
    <row r="294" spans="1:40" x14ac:dyDescent="0.35">
      <c r="A294" t="s">
        <v>472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74</v>
      </c>
      <c r="N294" t="s">
        <v>42</v>
      </c>
      <c r="O294">
        <v>1960</v>
      </c>
      <c r="P294" s="1">
        <v>31601</v>
      </c>
      <c r="Q294" t="s">
        <v>43</v>
      </c>
      <c r="R294" t="s">
        <v>44</v>
      </c>
      <c r="S294" t="s">
        <v>63</v>
      </c>
      <c r="T294" t="s">
        <v>46</v>
      </c>
      <c r="U294" t="s">
        <v>47</v>
      </c>
      <c r="V294" t="s">
        <v>71</v>
      </c>
      <c r="W294" s="1">
        <v>42051</v>
      </c>
      <c r="X294" s="1">
        <v>42788</v>
      </c>
      <c r="Y294" t="s">
        <v>224</v>
      </c>
      <c r="Z294" t="s">
        <v>78</v>
      </c>
      <c r="AA294" t="s">
        <v>65</v>
      </c>
      <c r="AB294" t="s">
        <v>66</v>
      </c>
      <c r="AC294" t="s">
        <v>106</v>
      </c>
      <c r="AD294" t="s">
        <v>60</v>
      </c>
      <c r="AE294">
        <v>4.33</v>
      </c>
      <c r="AF294">
        <v>3</v>
      </c>
      <c r="AG294">
        <v>7</v>
      </c>
      <c r="AH294" s="1">
        <v>42781</v>
      </c>
      <c r="AI294">
        <v>9</v>
      </c>
      <c r="AJ294">
        <v>31</v>
      </c>
      <c r="AK294">
        <v>2</v>
      </c>
      <c r="AL294">
        <v>4</v>
      </c>
      <c r="AM294">
        <f>IF(Cleaned_Data[[#This Row],[DateofTermination]]="","",YEAR(Cleaned_Data[[#This Row],[DateofTermination]]))</f>
        <v>2017</v>
      </c>
      <c r="AN294">
        <v>1</v>
      </c>
    </row>
    <row r="295" spans="1:40" x14ac:dyDescent="0.35">
      <c r="A295" t="s">
        <v>473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41</v>
      </c>
      <c r="N295" t="s">
        <v>42</v>
      </c>
      <c r="O295">
        <v>2747</v>
      </c>
      <c r="P295" s="1">
        <v>31477</v>
      </c>
      <c r="Q295" t="s">
        <v>43</v>
      </c>
      <c r="R295" t="s">
        <v>75</v>
      </c>
      <c r="S295" t="s">
        <v>63</v>
      </c>
      <c r="T295" t="s">
        <v>46</v>
      </c>
      <c r="U295" t="s">
        <v>47</v>
      </c>
      <c r="V295" t="s">
        <v>48</v>
      </c>
      <c r="W295" s="1">
        <v>40812</v>
      </c>
      <c r="X295" s="1">
        <v>42584</v>
      </c>
      <c r="Y295" t="s">
        <v>474</v>
      </c>
      <c r="Z295" t="s">
        <v>78</v>
      </c>
      <c r="AA295" t="s">
        <v>51</v>
      </c>
      <c r="AB295" t="s">
        <v>117</v>
      </c>
      <c r="AC295" t="s">
        <v>79</v>
      </c>
      <c r="AD295" t="s">
        <v>54</v>
      </c>
      <c r="AE295">
        <v>4.3</v>
      </c>
      <c r="AF295">
        <v>5</v>
      </c>
      <c r="AG295">
        <v>0</v>
      </c>
      <c r="AH295" s="1">
        <v>42006</v>
      </c>
      <c r="AI295">
        <v>18</v>
      </c>
      <c r="AJ295">
        <v>30</v>
      </c>
      <c r="AK295">
        <v>5</v>
      </c>
      <c r="AL295">
        <v>18</v>
      </c>
      <c r="AM295">
        <f>IF(Cleaned_Data[[#This Row],[DateofTermination]]="","",YEAR(Cleaned_Data[[#This Row],[DateofTermination]]))</f>
        <v>2016</v>
      </c>
      <c r="AN295">
        <v>1</v>
      </c>
    </row>
    <row r="296" spans="1:40" x14ac:dyDescent="0.35">
      <c r="A296" t="s">
        <v>475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41</v>
      </c>
      <c r="N296" t="s">
        <v>42</v>
      </c>
      <c r="O296">
        <v>2124</v>
      </c>
      <c r="P296" s="1">
        <v>31202</v>
      </c>
      <c r="Q296" t="s">
        <v>43</v>
      </c>
      <c r="R296" t="s">
        <v>75</v>
      </c>
      <c r="S296" t="s">
        <v>45</v>
      </c>
      <c r="T296" t="s">
        <v>46</v>
      </c>
      <c r="U296" t="s">
        <v>47</v>
      </c>
      <c r="V296" t="s">
        <v>48</v>
      </c>
      <c r="W296" s="1">
        <v>42131</v>
      </c>
      <c r="X296" s="1"/>
      <c r="Y296" t="s">
        <v>49</v>
      </c>
      <c r="Z296" t="s">
        <v>50</v>
      </c>
      <c r="AA296" t="s">
        <v>51</v>
      </c>
      <c r="AB296" t="s">
        <v>52</v>
      </c>
      <c r="AC296" t="s">
        <v>53</v>
      </c>
      <c r="AD296" t="s">
        <v>60</v>
      </c>
      <c r="AE296">
        <v>3.21</v>
      </c>
      <c r="AF296">
        <v>3</v>
      </c>
      <c r="AG296">
        <v>0</v>
      </c>
      <c r="AH296" s="1">
        <v>43494</v>
      </c>
      <c r="AI296">
        <v>7</v>
      </c>
      <c r="AJ296">
        <v>35</v>
      </c>
      <c r="AK296">
        <v>5</v>
      </c>
      <c r="AL296">
        <v>22</v>
      </c>
      <c r="AM296" t="str">
        <f>IF(Cleaned_Data[[#This Row],[DateofTermination]]="","",YEAR(Cleaned_Data[[#This Row],[DateofTermination]]))</f>
        <v/>
      </c>
      <c r="AN296">
        <v>1</v>
      </c>
    </row>
    <row r="297" spans="1:40" x14ac:dyDescent="0.35">
      <c r="A297" t="s">
        <v>476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81</v>
      </c>
      <c r="N297" t="s">
        <v>42</v>
      </c>
      <c r="O297">
        <v>2459</v>
      </c>
      <c r="P297" s="1">
        <v>28035</v>
      </c>
      <c r="Q297" t="s">
        <v>43</v>
      </c>
      <c r="R297" t="s">
        <v>44</v>
      </c>
      <c r="S297" t="s">
        <v>45</v>
      </c>
      <c r="T297" t="s">
        <v>46</v>
      </c>
      <c r="U297" t="s">
        <v>47</v>
      </c>
      <c r="V297" t="s">
        <v>71</v>
      </c>
      <c r="W297" s="1">
        <v>41869</v>
      </c>
      <c r="X297" s="1"/>
      <c r="Y297" t="s">
        <v>49</v>
      </c>
      <c r="Z297" t="s">
        <v>50</v>
      </c>
      <c r="AA297" t="s">
        <v>51</v>
      </c>
      <c r="AB297" t="s">
        <v>105</v>
      </c>
      <c r="AC297" t="s">
        <v>106</v>
      </c>
      <c r="AD297" t="s">
        <v>60</v>
      </c>
      <c r="AE297">
        <v>3.11</v>
      </c>
      <c r="AF297">
        <v>5</v>
      </c>
      <c r="AG297">
        <v>0</v>
      </c>
      <c r="AH297" s="1">
        <v>43801</v>
      </c>
      <c r="AI297">
        <v>4</v>
      </c>
      <c r="AJ297">
        <v>43</v>
      </c>
      <c r="AK297">
        <v>5</v>
      </c>
      <c r="AL297">
        <v>19</v>
      </c>
      <c r="AM297" t="str">
        <f>IF(Cleaned_Data[[#This Row],[DateofTermination]]="","",YEAR(Cleaned_Data[[#This Row],[DateofTermination]]))</f>
        <v/>
      </c>
      <c r="AN297">
        <v>1</v>
      </c>
    </row>
    <row r="298" spans="1:40" x14ac:dyDescent="0.35">
      <c r="A298" t="s">
        <v>477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135</v>
      </c>
      <c r="N298" t="s">
        <v>42</v>
      </c>
      <c r="O298">
        <v>2478</v>
      </c>
      <c r="P298" s="1">
        <v>20407</v>
      </c>
      <c r="Q298" t="s">
        <v>85</v>
      </c>
      <c r="R298" t="s">
        <v>75</v>
      </c>
      <c r="S298" t="s">
        <v>63</v>
      </c>
      <c r="T298" t="s">
        <v>46</v>
      </c>
      <c r="U298" t="s">
        <v>47</v>
      </c>
      <c r="V298" t="s">
        <v>71</v>
      </c>
      <c r="W298" s="1">
        <v>40812</v>
      </c>
      <c r="X298" s="1">
        <v>40940</v>
      </c>
      <c r="Y298" t="s">
        <v>57</v>
      </c>
      <c r="Z298" t="s">
        <v>58</v>
      </c>
      <c r="AA298" t="s">
        <v>51</v>
      </c>
      <c r="AB298" t="s">
        <v>137</v>
      </c>
      <c r="AC298" t="s">
        <v>72</v>
      </c>
      <c r="AD298" t="s">
        <v>60</v>
      </c>
      <c r="AE298">
        <v>4.5</v>
      </c>
      <c r="AF298">
        <v>3</v>
      </c>
      <c r="AG298">
        <v>0</v>
      </c>
      <c r="AH298" s="1">
        <v>40940</v>
      </c>
      <c r="AI298">
        <v>5</v>
      </c>
      <c r="AJ298">
        <v>56</v>
      </c>
      <c r="AK298">
        <v>0</v>
      </c>
      <c r="AL298">
        <v>2</v>
      </c>
      <c r="AM298">
        <f>IF(Cleaned_Data[[#This Row],[DateofTermination]]="","",YEAR(Cleaned_Data[[#This Row],[DateofTermination]]))</f>
        <v>2012</v>
      </c>
      <c r="AN298">
        <v>1</v>
      </c>
    </row>
    <row r="299" spans="1:40" x14ac:dyDescent="0.35">
      <c r="A299" t="s">
        <v>478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41</v>
      </c>
      <c r="N299" t="s">
        <v>42</v>
      </c>
      <c r="O299">
        <v>1887</v>
      </c>
      <c r="P299" s="1">
        <v>29259</v>
      </c>
      <c r="Q299" t="s">
        <v>43</v>
      </c>
      <c r="R299" t="s">
        <v>75</v>
      </c>
      <c r="S299" t="s">
        <v>45</v>
      </c>
      <c r="T299" t="s">
        <v>46</v>
      </c>
      <c r="U299" t="s">
        <v>47</v>
      </c>
      <c r="V299" t="s">
        <v>48</v>
      </c>
      <c r="W299" s="1">
        <v>41134</v>
      </c>
      <c r="X299" s="1">
        <v>42013</v>
      </c>
      <c r="Y299" t="s">
        <v>64</v>
      </c>
      <c r="Z299" t="s">
        <v>58</v>
      </c>
      <c r="AA299" t="s">
        <v>51</v>
      </c>
      <c r="AB299" t="s">
        <v>88</v>
      </c>
      <c r="AC299" t="s">
        <v>123</v>
      </c>
      <c r="AD299" t="s">
        <v>124</v>
      </c>
      <c r="AE299">
        <v>2.5</v>
      </c>
      <c r="AF299">
        <v>3</v>
      </c>
      <c r="AG299">
        <v>0</v>
      </c>
      <c r="AH299" s="1">
        <v>41768</v>
      </c>
      <c r="AI299">
        <v>13</v>
      </c>
      <c r="AJ299">
        <v>35</v>
      </c>
      <c r="AK299">
        <v>2</v>
      </c>
      <c r="AL299">
        <v>16</v>
      </c>
      <c r="AM299">
        <f>IF(Cleaned_Data[[#This Row],[DateofTermination]]="","",YEAR(Cleaned_Data[[#This Row],[DateofTermination]]))</f>
        <v>2015</v>
      </c>
      <c r="AN299">
        <v>1</v>
      </c>
    </row>
    <row r="300" spans="1:40" x14ac:dyDescent="0.35">
      <c r="A300" t="s">
        <v>479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322</v>
      </c>
      <c r="N300" t="s">
        <v>42</v>
      </c>
      <c r="O300">
        <v>1887</v>
      </c>
      <c r="P300" s="1">
        <v>29805</v>
      </c>
      <c r="Q300" t="s">
        <v>43</v>
      </c>
      <c r="R300" t="s">
        <v>44</v>
      </c>
      <c r="S300" t="s">
        <v>45</v>
      </c>
      <c r="T300" t="s">
        <v>46</v>
      </c>
      <c r="U300" t="s">
        <v>47</v>
      </c>
      <c r="V300" t="s">
        <v>95</v>
      </c>
      <c r="W300" s="1">
        <v>42791</v>
      </c>
      <c r="X300" s="1"/>
      <c r="Y300" t="s">
        <v>49</v>
      </c>
      <c r="Z300" t="s">
        <v>50</v>
      </c>
      <c r="AA300" t="s">
        <v>65</v>
      </c>
      <c r="AB300" t="s">
        <v>203</v>
      </c>
      <c r="AC300" t="s">
        <v>67</v>
      </c>
      <c r="AD300" t="s">
        <v>60</v>
      </c>
      <c r="AE300">
        <v>3.42</v>
      </c>
      <c r="AF300">
        <v>4</v>
      </c>
      <c r="AG300">
        <v>7</v>
      </c>
      <c r="AH300" s="1">
        <v>43556</v>
      </c>
      <c r="AI300">
        <v>17</v>
      </c>
      <c r="AJ300">
        <v>38</v>
      </c>
      <c r="AK300">
        <v>3</v>
      </c>
      <c r="AL300">
        <v>13</v>
      </c>
      <c r="AM300" t="str">
        <f>IF(Cleaned_Data[[#This Row],[DateofTermination]]="","",YEAR(Cleaned_Data[[#This Row],[DateofTermination]]))</f>
        <v/>
      </c>
      <c r="AN300">
        <v>1</v>
      </c>
    </row>
    <row r="301" spans="1:40" x14ac:dyDescent="0.35">
      <c r="A301" t="s">
        <v>480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185</v>
      </c>
      <c r="N301" t="s">
        <v>42</v>
      </c>
      <c r="O301">
        <v>2453</v>
      </c>
      <c r="P301" s="1">
        <v>28526</v>
      </c>
      <c r="Q301" t="s">
        <v>43</v>
      </c>
      <c r="R301" t="s">
        <v>75</v>
      </c>
      <c r="S301" t="s">
        <v>104</v>
      </c>
      <c r="T301" t="s">
        <v>46</v>
      </c>
      <c r="U301" t="s">
        <v>47</v>
      </c>
      <c r="V301" t="s">
        <v>95</v>
      </c>
      <c r="W301" s="1">
        <v>42093</v>
      </c>
      <c r="X301" s="1"/>
      <c r="Y301" t="s">
        <v>49</v>
      </c>
      <c r="Z301" t="s">
        <v>50</v>
      </c>
      <c r="AA301" t="s">
        <v>65</v>
      </c>
      <c r="AB301" t="s">
        <v>112</v>
      </c>
      <c r="AC301" t="s">
        <v>106</v>
      </c>
      <c r="AD301" t="s">
        <v>60</v>
      </c>
      <c r="AE301">
        <v>4.2</v>
      </c>
      <c r="AF301">
        <v>4</v>
      </c>
      <c r="AG301">
        <v>8</v>
      </c>
      <c r="AH301" s="1">
        <v>43587</v>
      </c>
      <c r="AI301">
        <v>7</v>
      </c>
      <c r="AJ301">
        <v>42</v>
      </c>
      <c r="AK301">
        <v>5</v>
      </c>
      <c r="AL301">
        <v>7</v>
      </c>
      <c r="AM301" t="str">
        <f>IF(Cleaned_Data[[#This Row],[DateofTermination]]="","",YEAR(Cleaned_Data[[#This Row],[DateofTermination]]))</f>
        <v/>
      </c>
      <c r="AN301">
        <v>1</v>
      </c>
    </row>
    <row r="302" spans="1:40" x14ac:dyDescent="0.35">
      <c r="A302" t="s">
        <v>481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41</v>
      </c>
      <c r="N302" t="s">
        <v>42</v>
      </c>
      <c r="O302">
        <v>2030</v>
      </c>
      <c r="P302" s="1">
        <v>31921</v>
      </c>
      <c r="Q302" t="s">
        <v>43</v>
      </c>
      <c r="R302" t="s">
        <v>44</v>
      </c>
      <c r="S302" t="s">
        <v>45</v>
      </c>
      <c r="T302" t="s">
        <v>46</v>
      </c>
      <c r="U302" t="s">
        <v>76</v>
      </c>
      <c r="V302" t="s">
        <v>48</v>
      </c>
      <c r="W302" s="1">
        <v>40817</v>
      </c>
      <c r="X302" s="1">
        <v>41774</v>
      </c>
      <c r="Y302" t="s">
        <v>82</v>
      </c>
      <c r="Z302" t="s">
        <v>58</v>
      </c>
      <c r="AA302" t="s">
        <v>51</v>
      </c>
      <c r="AB302" t="s">
        <v>93</v>
      </c>
      <c r="AC302" t="s">
        <v>53</v>
      </c>
      <c r="AD302" t="s">
        <v>60</v>
      </c>
      <c r="AE302">
        <v>5</v>
      </c>
      <c r="AF302">
        <v>5</v>
      </c>
      <c r="AG302">
        <v>0</v>
      </c>
      <c r="AH302" s="1">
        <v>41774</v>
      </c>
      <c r="AI302">
        <v>11</v>
      </c>
      <c r="AJ302">
        <v>27</v>
      </c>
      <c r="AK302">
        <v>3</v>
      </c>
      <c r="AL302">
        <v>39</v>
      </c>
      <c r="AM302">
        <f>IF(Cleaned_Data[[#This Row],[DateofTermination]]="","",YEAR(Cleaned_Data[[#This Row],[DateofTermination]]))</f>
        <v>2014</v>
      </c>
      <c r="AN302">
        <v>1</v>
      </c>
    </row>
    <row r="303" spans="1:40" x14ac:dyDescent="0.35">
      <c r="A303" t="s">
        <v>482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41</v>
      </c>
      <c r="N303" t="s">
        <v>42</v>
      </c>
      <c r="O303">
        <v>2324</v>
      </c>
      <c r="P303" s="1">
        <v>23994</v>
      </c>
      <c r="Q303" t="s">
        <v>43</v>
      </c>
      <c r="R303" t="s">
        <v>44</v>
      </c>
      <c r="S303" t="s">
        <v>63</v>
      </c>
      <c r="T303" t="s">
        <v>90</v>
      </c>
      <c r="U303" t="s">
        <v>47</v>
      </c>
      <c r="V303" t="s">
        <v>48</v>
      </c>
      <c r="W303" s="1">
        <v>40679</v>
      </c>
      <c r="X303" s="1">
        <v>42194</v>
      </c>
      <c r="Y303" t="s">
        <v>86</v>
      </c>
      <c r="Z303" t="s">
        <v>58</v>
      </c>
      <c r="AA303" t="s">
        <v>51</v>
      </c>
      <c r="AB303" t="s">
        <v>97</v>
      </c>
      <c r="AC303" t="s">
        <v>207</v>
      </c>
      <c r="AD303" t="s">
        <v>60</v>
      </c>
      <c r="AE303">
        <v>5</v>
      </c>
      <c r="AF303">
        <v>3</v>
      </c>
      <c r="AG303">
        <v>0</v>
      </c>
      <c r="AH303" s="1">
        <v>42050</v>
      </c>
      <c r="AI303">
        <v>7</v>
      </c>
      <c r="AJ303">
        <v>50</v>
      </c>
      <c r="AK303">
        <v>4</v>
      </c>
      <c r="AL303">
        <v>11</v>
      </c>
      <c r="AM303">
        <f>IF(Cleaned_Data[[#This Row],[DateofTermination]]="","",YEAR(Cleaned_Data[[#This Row],[DateofTermination]]))</f>
        <v>2015</v>
      </c>
      <c r="AN303">
        <v>1</v>
      </c>
    </row>
    <row r="304" spans="1:40" x14ac:dyDescent="0.35">
      <c r="A304" t="s">
        <v>483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41</v>
      </c>
      <c r="N304" t="s">
        <v>42</v>
      </c>
      <c r="O304">
        <v>1876</v>
      </c>
      <c r="P304" s="1">
        <v>30527</v>
      </c>
      <c r="Q304" t="s">
        <v>43</v>
      </c>
      <c r="R304" t="s">
        <v>75</v>
      </c>
      <c r="S304" t="s">
        <v>56</v>
      </c>
      <c r="T304" t="s">
        <v>46</v>
      </c>
      <c r="U304" t="s">
        <v>47</v>
      </c>
      <c r="V304" t="s">
        <v>48</v>
      </c>
      <c r="W304" s="1">
        <v>40817</v>
      </c>
      <c r="X304" s="1">
        <v>41043</v>
      </c>
      <c r="Y304" t="s">
        <v>57</v>
      </c>
      <c r="Z304" t="s">
        <v>58</v>
      </c>
      <c r="AA304" t="s">
        <v>51</v>
      </c>
      <c r="AB304" t="s">
        <v>105</v>
      </c>
      <c r="AC304" t="s">
        <v>79</v>
      </c>
      <c r="AD304" t="s">
        <v>60</v>
      </c>
      <c r="AE304">
        <v>3.6</v>
      </c>
      <c r="AF304">
        <v>5</v>
      </c>
      <c r="AG304">
        <v>0</v>
      </c>
      <c r="AH304" s="1">
        <v>40696</v>
      </c>
      <c r="AI304">
        <v>9</v>
      </c>
      <c r="AJ304">
        <v>29</v>
      </c>
      <c r="AK304">
        <v>1</v>
      </c>
      <c r="AL304">
        <v>19</v>
      </c>
      <c r="AM304">
        <f>IF(Cleaned_Data[[#This Row],[DateofTermination]]="","",YEAR(Cleaned_Data[[#This Row],[DateofTermination]]))</f>
        <v>2012</v>
      </c>
      <c r="AN304">
        <v>1</v>
      </c>
    </row>
    <row r="305" spans="1:40" x14ac:dyDescent="0.35">
      <c r="A305" t="s">
        <v>484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41</v>
      </c>
      <c r="N305" t="s">
        <v>42</v>
      </c>
      <c r="O305">
        <v>2109</v>
      </c>
      <c r="P305" s="1">
        <v>25244</v>
      </c>
      <c r="Q305" t="s">
        <v>43</v>
      </c>
      <c r="R305" t="s">
        <v>75</v>
      </c>
      <c r="S305" t="s">
        <v>45</v>
      </c>
      <c r="T305" t="s">
        <v>46</v>
      </c>
      <c r="U305" t="s">
        <v>76</v>
      </c>
      <c r="V305" t="s">
        <v>71</v>
      </c>
      <c r="W305" s="1">
        <v>41153</v>
      </c>
      <c r="X305" s="1">
        <v>42182</v>
      </c>
      <c r="Y305" t="s">
        <v>168</v>
      </c>
      <c r="Z305" t="s">
        <v>58</v>
      </c>
      <c r="AA305" t="s">
        <v>51</v>
      </c>
      <c r="AB305" t="s">
        <v>105</v>
      </c>
      <c r="AC305" t="s">
        <v>72</v>
      </c>
      <c r="AD305" t="s">
        <v>60</v>
      </c>
      <c r="AE305">
        <v>4.3</v>
      </c>
      <c r="AF305">
        <v>4</v>
      </c>
      <c r="AG305">
        <v>0</v>
      </c>
      <c r="AH305" s="1">
        <v>41676</v>
      </c>
      <c r="AI305">
        <v>16</v>
      </c>
      <c r="AJ305">
        <v>46</v>
      </c>
      <c r="AK305">
        <v>3</v>
      </c>
      <c r="AL305">
        <v>19</v>
      </c>
      <c r="AM305">
        <f>IF(Cleaned_Data[[#This Row],[DateofTermination]]="","",YEAR(Cleaned_Data[[#This Row],[DateofTermination]]))</f>
        <v>2015</v>
      </c>
      <c r="AN305">
        <v>1</v>
      </c>
    </row>
    <row r="306" spans="1:40" x14ac:dyDescent="0.35">
      <c r="A306" t="s">
        <v>485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81</v>
      </c>
      <c r="N306" t="s">
        <v>42</v>
      </c>
      <c r="O306">
        <v>2045</v>
      </c>
      <c r="P306" s="1">
        <v>21377</v>
      </c>
      <c r="Q306" t="s">
        <v>85</v>
      </c>
      <c r="R306" t="s">
        <v>44</v>
      </c>
      <c r="S306" t="s">
        <v>45</v>
      </c>
      <c r="T306" t="s">
        <v>46</v>
      </c>
      <c r="U306" t="s">
        <v>47</v>
      </c>
      <c r="V306" t="s">
        <v>48</v>
      </c>
      <c r="W306" s="1">
        <v>41456</v>
      </c>
      <c r="X306" s="1">
        <v>42421</v>
      </c>
      <c r="Y306" t="s">
        <v>136</v>
      </c>
      <c r="Z306" t="s">
        <v>58</v>
      </c>
      <c r="AA306" t="s">
        <v>51</v>
      </c>
      <c r="AB306" t="s">
        <v>109</v>
      </c>
      <c r="AC306" t="s">
        <v>53</v>
      </c>
      <c r="AD306" t="s">
        <v>54</v>
      </c>
      <c r="AE306">
        <v>5</v>
      </c>
      <c r="AF306">
        <v>3</v>
      </c>
      <c r="AG306">
        <v>0</v>
      </c>
      <c r="AH306" s="1">
        <v>43484</v>
      </c>
      <c r="AI306">
        <v>7</v>
      </c>
      <c r="AJ306">
        <v>58</v>
      </c>
      <c r="AK306">
        <v>3</v>
      </c>
      <c r="AL306">
        <v>12</v>
      </c>
      <c r="AM306">
        <f>IF(Cleaned_Data[[#This Row],[DateofTermination]]="","",YEAR(Cleaned_Data[[#This Row],[DateofTermination]]))</f>
        <v>2016</v>
      </c>
      <c r="AN306">
        <v>1</v>
      </c>
    </row>
    <row r="307" spans="1:40" x14ac:dyDescent="0.35">
      <c r="A307" t="s">
        <v>486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81</v>
      </c>
      <c r="N307" t="s">
        <v>42</v>
      </c>
      <c r="O307">
        <v>2302</v>
      </c>
      <c r="P307" s="1">
        <v>31157</v>
      </c>
      <c r="Q307" t="s">
        <v>43</v>
      </c>
      <c r="R307" t="s">
        <v>75</v>
      </c>
      <c r="S307" t="s">
        <v>45</v>
      </c>
      <c r="T307" t="s">
        <v>46</v>
      </c>
      <c r="U307" t="s">
        <v>47</v>
      </c>
      <c r="V307" t="s">
        <v>48</v>
      </c>
      <c r="W307" s="1">
        <v>41911</v>
      </c>
      <c r="X307" s="1"/>
      <c r="Y307" t="s">
        <v>49</v>
      </c>
      <c r="Z307" t="s">
        <v>50</v>
      </c>
      <c r="AA307" t="s">
        <v>51</v>
      </c>
      <c r="AB307" t="s">
        <v>114</v>
      </c>
      <c r="AC307" t="s">
        <v>53</v>
      </c>
      <c r="AD307" t="s">
        <v>60</v>
      </c>
      <c r="AE307">
        <v>3.4</v>
      </c>
      <c r="AF307">
        <v>4</v>
      </c>
      <c r="AG307">
        <v>0</v>
      </c>
      <c r="AH307" s="1">
        <v>43517</v>
      </c>
      <c r="AI307">
        <v>14</v>
      </c>
      <c r="AJ307">
        <v>35</v>
      </c>
      <c r="AK307">
        <v>5</v>
      </c>
      <c r="AL307">
        <v>14</v>
      </c>
      <c r="AM307" t="str">
        <f>IF(Cleaned_Data[[#This Row],[DateofTermination]]="","",YEAR(Cleaned_Data[[#This Row],[DateofTermination]]))</f>
        <v/>
      </c>
      <c r="AN307">
        <v>1</v>
      </c>
    </row>
    <row r="308" spans="1:40" x14ac:dyDescent="0.35">
      <c r="A308" t="s">
        <v>487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81</v>
      </c>
      <c r="N308" t="s">
        <v>42</v>
      </c>
      <c r="O308">
        <v>1810</v>
      </c>
      <c r="P308" s="1">
        <v>31356</v>
      </c>
      <c r="Q308" t="s">
        <v>43</v>
      </c>
      <c r="R308" t="s">
        <v>44</v>
      </c>
      <c r="S308" t="s">
        <v>45</v>
      </c>
      <c r="T308" t="s">
        <v>46</v>
      </c>
      <c r="U308" t="s">
        <v>47</v>
      </c>
      <c r="V308" t="s">
        <v>48</v>
      </c>
      <c r="W308" s="1">
        <v>41827</v>
      </c>
      <c r="X308" s="1"/>
      <c r="Y308" t="s">
        <v>49</v>
      </c>
      <c r="Z308" t="s">
        <v>50</v>
      </c>
      <c r="AA308" t="s">
        <v>51</v>
      </c>
      <c r="AB308" t="s">
        <v>83</v>
      </c>
      <c r="AC308" t="s">
        <v>53</v>
      </c>
      <c r="AD308" t="s">
        <v>60</v>
      </c>
      <c r="AE308">
        <v>4.07</v>
      </c>
      <c r="AF308">
        <v>4</v>
      </c>
      <c r="AG308">
        <v>0</v>
      </c>
      <c r="AH308" s="1">
        <v>43524</v>
      </c>
      <c r="AI308">
        <v>13</v>
      </c>
      <c r="AJ308">
        <v>34</v>
      </c>
      <c r="AK308">
        <v>5</v>
      </c>
      <c r="AL308">
        <v>20</v>
      </c>
      <c r="AM308" t="str">
        <f>IF(Cleaned_Data[[#This Row],[DateofTermination]]="","",YEAR(Cleaned_Data[[#This Row],[DateofTermination]]))</f>
        <v/>
      </c>
      <c r="AN308">
        <v>1</v>
      </c>
    </row>
    <row r="309" spans="1:40" x14ac:dyDescent="0.35">
      <c r="A309" t="s">
        <v>488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41</v>
      </c>
      <c r="N309" t="s">
        <v>42</v>
      </c>
      <c r="O309">
        <v>2458</v>
      </c>
      <c r="P309" s="1">
        <v>30046</v>
      </c>
      <c r="Q309" t="s">
        <v>43</v>
      </c>
      <c r="R309" t="s">
        <v>75</v>
      </c>
      <c r="S309" t="s">
        <v>45</v>
      </c>
      <c r="T309" t="s">
        <v>46</v>
      </c>
      <c r="U309" t="s">
        <v>47</v>
      </c>
      <c r="V309" t="s">
        <v>95</v>
      </c>
      <c r="W309" s="1">
        <v>39487</v>
      </c>
      <c r="X309" s="1">
        <v>42276</v>
      </c>
      <c r="Y309" t="s">
        <v>57</v>
      </c>
      <c r="Z309" t="s">
        <v>58</v>
      </c>
      <c r="AA309" t="s">
        <v>51</v>
      </c>
      <c r="AB309" t="s">
        <v>109</v>
      </c>
      <c r="AC309" t="s">
        <v>79</v>
      </c>
      <c r="AD309" t="s">
        <v>197</v>
      </c>
      <c r="AE309">
        <v>3.2</v>
      </c>
      <c r="AF309">
        <v>2</v>
      </c>
      <c r="AG309">
        <v>0</v>
      </c>
      <c r="AH309" s="1">
        <v>42044</v>
      </c>
      <c r="AI309">
        <v>4</v>
      </c>
      <c r="AJ309">
        <v>33</v>
      </c>
      <c r="AK309">
        <v>8</v>
      </c>
      <c r="AL309">
        <v>12</v>
      </c>
      <c r="AM309">
        <f>IF(Cleaned_Data[[#This Row],[DateofTermination]]="","",YEAR(Cleaned_Data[[#This Row],[DateofTermination]]))</f>
        <v>2015</v>
      </c>
      <c r="AN309">
        <v>1</v>
      </c>
    </row>
    <row r="310" spans="1:40" x14ac:dyDescent="0.35">
      <c r="A310" t="s">
        <v>489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490</v>
      </c>
      <c r="N310" t="s">
        <v>42</v>
      </c>
      <c r="O310">
        <v>2067</v>
      </c>
      <c r="P310" s="1">
        <v>29097</v>
      </c>
      <c r="Q310" t="s">
        <v>43</v>
      </c>
      <c r="R310" t="s">
        <v>75</v>
      </c>
      <c r="S310" t="s">
        <v>45</v>
      </c>
      <c r="T310" t="s">
        <v>46</v>
      </c>
      <c r="U310" t="s">
        <v>47</v>
      </c>
      <c r="V310" t="s">
        <v>48</v>
      </c>
      <c r="W310" s="1">
        <v>40455</v>
      </c>
      <c r="X310" s="1"/>
      <c r="Y310" t="s">
        <v>49</v>
      </c>
      <c r="Z310" t="s">
        <v>50</v>
      </c>
      <c r="AA310" t="s">
        <v>65</v>
      </c>
      <c r="AB310" t="s">
        <v>137</v>
      </c>
      <c r="AC310" t="s">
        <v>106</v>
      </c>
      <c r="AD310" t="s">
        <v>54</v>
      </c>
      <c r="AE310">
        <v>4.5999999999999996</v>
      </c>
      <c r="AF310">
        <v>5</v>
      </c>
      <c r="AG310">
        <v>6</v>
      </c>
      <c r="AH310" s="1">
        <v>43517</v>
      </c>
      <c r="AI310">
        <v>16</v>
      </c>
      <c r="AJ310">
        <v>40</v>
      </c>
      <c r="AK310">
        <v>9</v>
      </c>
      <c r="AL310">
        <v>2</v>
      </c>
      <c r="AM310" t="str">
        <f>IF(Cleaned_Data[[#This Row],[DateofTermination]]="","",YEAR(Cleaned_Data[[#This Row],[DateofTermination]]))</f>
        <v/>
      </c>
      <c r="AN310">
        <v>1</v>
      </c>
    </row>
    <row r="311" spans="1:40" x14ac:dyDescent="0.35">
      <c r="A311" t="s">
        <v>491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69</v>
      </c>
      <c r="N311" t="s">
        <v>42</v>
      </c>
      <c r="O311">
        <v>2148</v>
      </c>
      <c r="P311" s="1">
        <v>28910</v>
      </c>
      <c r="Q311" t="s">
        <v>43</v>
      </c>
      <c r="R311" t="s">
        <v>75</v>
      </c>
      <c r="S311" t="s">
        <v>45</v>
      </c>
      <c r="T311" t="s">
        <v>46</v>
      </c>
      <c r="U311" t="s">
        <v>47</v>
      </c>
      <c r="V311" t="s">
        <v>48</v>
      </c>
      <c r="W311" s="1">
        <v>42093</v>
      </c>
      <c r="X311" s="1"/>
      <c r="Y311" t="s">
        <v>49</v>
      </c>
      <c r="Z311" t="s">
        <v>50</v>
      </c>
      <c r="AA311" t="s">
        <v>65</v>
      </c>
      <c r="AB311" t="s">
        <v>66</v>
      </c>
      <c r="AC311" t="s">
        <v>106</v>
      </c>
      <c r="AD311" t="s">
        <v>60</v>
      </c>
      <c r="AE311">
        <v>5</v>
      </c>
      <c r="AF311">
        <v>3</v>
      </c>
      <c r="AG311">
        <v>5</v>
      </c>
      <c r="AH311" s="1">
        <v>43467</v>
      </c>
      <c r="AI311">
        <v>11</v>
      </c>
      <c r="AJ311">
        <v>41</v>
      </c>
      <c r="AK311">
        <v>5</v>
      </c>
      <c r="AL311">
        <v>4</v>
      </c>
      <c r="AM311" t="str">
        <f>IF(Cleaned_Data[[#This Row],[DateofTermination]]="","",YEAR(Cleaned_Data[[#This Row],[DateofTermination]]))</f>
        <v/>
      </c>
      <c r="AN311">
        <v>1</v>
      </c>
    </row>
    <row r="312" spans="1:40" x14ac:dyDescent="0.35">
      <c r="A312" t="s">
        <v>492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41</v>
      </c>
      <c r="N312" t="s">
        <v>42</v>
      </c>
      <c r="O312">
        <v>1730</v>
      </c>
      <c r="P312" s="1">
        <v>28719</v>
      </c>
      <c r="Q312" t="s">
        <v>43</v>
      </c>
      <c r="R312" t="s">
        <v>75</v>
      </c>
      <c r="S312" t="s">
        <v>104</v>
      </c>
      <c r="T312" t="s">
        <v>46</v>
      </c>
      <c r="U312" t="s">
        <v>47</v>
      </c>
      <c r="V312" t="s">
        <v>95</v>
      </c>
      <c r="W312" s="1">
        <v>41911</v>
      </c>
      <c r="X312" s="1"/>
      <c r="Y312" t="s">
        <v>49</v>
      </c>
      <c r="Z312" t="s">
        <v>50</v>
      </c>
      <c r="AA312" t="s">
        <v>51</v>
      </c>
      <c r="AB312" t="s">
        <v>114</v>
      </c>
      <c r="AC312" t="s">
        <v>53</v>
      </c>
      <c r="AD312" t="s">
        <v>60</v>
      </c>
      <c r="AE312">
        <v>4.5</v>
      </c>
      <c r="AF312">
        <v>5</v>
      </c>
      <c r="AG312">
        <v>0</v>
      </c>
      <c r="AH312" s="1">
        <v>43495</v>
      </c>
      <c r="AI312">
        <v>2</v>
      </c>
      <c r="AJ312">
        <v>41</v>
      </c>
      <c r="AK312">
        <v>5</v>
      </c>
      <c r="AL312">
        <v>14</v>
      </c>
      <c r="AM312" t="str">
        <f>IF(Cleaned_Data[[#This Row],[DateofTermination]]="","",YEAR(Cleaned_Data[[#This Row],[DateofTermination]]))</f>
        <v/>
      </c>
      <c r="AN31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9B941-0199-4294-822E-909C42B37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Ijeoma Okeke</dc:creator>
  <cp:lastModifiedBy>Ijeoma Okeke</cp:lastModifiedBy>
  <dcterms:created xsi:type="dcterms:W3CDTF">2026-07-15T21:38:48Z</dcterms:created>
  <dcterms:modified xsi:type="dcterms:W3CDTF">2026-07-16T19:28:44Z</dcterms:modified>
</cp:coreProperties>
</file>